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/>
  <workbookPr filterPrivacy="1" codeName="ThisWorkbook"/>
  <xr:revisionPtr revIDLastSave="0" documentId="13_ncr:1_{E9FE0594-862C-3E48-A20C-D02BAC2D3BD8}" xr6:coauthVersionLast="47" xr6:coauthVersionMax="47" xr10:uidLastSave="{00000000-0000-0000-0000-000000000000}"/>
  <bookViews>
    <workbookView xWindow="0" yWindow="500" windowWidth="38400" windowHeight="19060" tabRatio="754" activeTab="3" xr2:uid="{00000000-000D-0000-FFFF-FFFF00000000}"/>
  </bookViews>
  <sheets>
    <sheet name="Summary" sheetId="80" r:id="rId1"/>
    <sheet name="Scenario Manager" sheetId="95" r:id="rId2"/>
    <sheet name="Operations" sheetId="83" r:id="rId3"/>
    <sheet name="Taxes" sheetId="90" r:id="rId4"/>
    <sheet name="Financials &amp; Metrics" sheetId="91" r:id="rId5"/>
    <sheet name="Debt" sheetId="92" r:id="rId6"/>
    <sheet name="CorporateCF" sheetId="93" r:id="rId7"/>
    <sheet name="FCFE" sheetId="97" r:id="rId8"/>
    <sheet name="N" sheetId="41" r:id="rId9"/>
  </sheets>
  <definedNames>
    <definedName name="__123Graph_A" hidden="1">#REF!</definedName>
    <definedName name="__123Graph_X" hidden="1">#REF!</definedName>
    <definedName name="_AtRisk_FitDataRange_FIT_4FD4C_901A6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Key1" hidden="1">#REF!</definedName>
    <definedName name="_Key2" hidden="1">#REF!</definedName>
    <definedName name="_Key21" hidden="1">#REF!</definedName>
    <definedName name="_ol">#REF!</definedName>
    <definedName name="_Old2">#REF!</definedName>
    <definedName name="_Order1" hidden="1">255</definedName>
    <definedName name="_Order2" hidden="1">255</definedName>
    <definedName name="_Sort" hidden="1">#REF!</definedName>
    <definedName name="_Sort1" hidden="1">#REF!</definedName>
    <definedName name="_www1" hidden="1">#REF!</definedName>
    <definedName name="Abbrev">#REF!</definedName>
    <definedName name="adsf" hidden="1">#REF!</definedName>
    <definedName name="BulkDensityConcentrate">#REF!</definedName>
    <definedName name="CAN_to_US">#REF!</definedName>
    <definedName name="CashCosts">#REF!</definedName>
    <definedName name="ClientName">#REF!</definedName>
    <definedName name="Co_Cu_TonProcessedByHydroMet">#REF!</definedName>
    <definedName name="CompactMaintCost">#REF!</definedName>
    <definedName name="CompactOpCost">#REF!</definedName>
    <definedName name="CompactTireCost">#REF!</definedName>
    <definedName name="ContextHelpID" hidden="1">#REF!</definedName>
    <definedName name="CoProd_Y0">#REF!</definedName>
    <definedName name="CoProd_Y1">#REF!</definedName>
    <definedName name="CoProd_Y2">#REF!</definedName>
    <definedName name="CoProd_Y3">#REF!</definedName>
    <definedName name="CoProd_Y4">#REF!</definedName>
    <definedName name="CoProd_Y5">#REF!</definedName>
    <definedName name="CoProd_Y6">#REF!</definedName>
    <definedName name="CoProd_Y7">#REF!</definedName>
    <definedName name="CoProd_Y8">#REF!</definedName>
    <definedName name="CoProd_Y9">#REF!</definedName>
    <definedName name="CoProd_YM1">#REF!</definedName>
    <definedName name="CoProd_YM2">#REF!</definedName>
    <definedName name="CuProd__Y9">#REF!</definedName>
    <definedName name="CuProd_Y0">#REF!</definedName>
    <definedName name="CuProd_Y1">#REF!</definedName>
    <definedName name="CuProd_Y2">#REF!</definedName>
    <definedName name="CuProd_Y3">#REF!</definedName>
    <definedName name="CuProd_Y4">#REF!</definedName>
    <definedName name="CuProd_Y5">#REF!</definedName>
    <definedName name="CuProd_Y6">#REF!</definedName>
    <definedName name="CuProd_Y7">#REF!</definedName>
    <definedName name="CuProd_Y8">#REF!</definedName>
    <definedName name="CuProd_Y9">#REF!</definedName>
    <definedName name="CuProd_YM1">#REF!</definedName>
    <definedName name="CuProd_YM2">#REF!</definedName>
    <definedName name="Currencies">#REF!</definedName>
    <definedName name="Days_Year">N!$F$4</definedName>
    <definedName name="DozerMainCost">#REF!</definedName>
    <definedName name="DozerOpCost">#REF!</definedName>
    <definedName name="ExchangeRates">#REF!</definedName>
    <definedName name="ExitStatus" hidden="1">#REF!</definedName>
    <definedName name="f" hidden="1">#REF!</definedName>
    <definedName name="Grades">#REF!</definedName>
    <definedName name="Grades2">#REF!</definedName>
    <definedName name="Grams_Oz">N!$F$13</definedName>
    <definedName name="HaulTruckMaintCost">#REF!</definedName>
    <definedName name="HaulTruckOpCost">#REF!</definedName>
    <definedName name="HaulTruckTireCost">#REF!</definedName>
    <definedName name="hr_to_year">#REF!</definedName>
    <definedName name="HydroMet">#REF!</definedName>
    <definedName name="HydroMobileFleetMaintCost">#REF!</definedName>
    <definedName name="HydroMobileFleetOpCost">#REF!</definedName>
    <definedName name="HydroMobileFleetTireCost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bs_per_kg">N!$F$16</definedName>
    <definedName name="Lbs_Ton">N!$F$15</definedName>
    <definedName name="Lbs_Tonne">N!$F$14</definedName>
    <definedName name="Li_LCE">#REF!</definedName>
    <definedName name="listBase" hidden="1">#REF!</definedName>
    <definedName name="ListSize" hidden="1">#REF!</definedName>
    <definedName name="Mass2">#REF!</definedName>
    <definedName name="Metals">#REF!</definedName>
    <definedName name="Metals3">#REF!</definedName>
    <definedName name="Million">N!$F$10</definedName>
    <definedName name="MillMobileFleetMaintCost">#REF!</definedName>
    <definedName name="MillMobileFleetOpCost">#REF!</definedName>
    <definedName name="MillMobileFleetTireCost">#REF!</definedName>
    <definedName name="MillProd_Y0">#REF!</definedName>
    <definedName name="MillProd_Y1">#REF!</definedName>
    <definedName name="MillProd_Y2">#REF!</definedName>
    <definedName name="MillProd_Y3">#REF!</definedName>
    <definedName name="MillProd_Y4">#REF!</definedName>
    <definedName name="MillProd_Y5">#REF!</definedName>
    <definedName name="MillProd_Y6">#REF!</definedName>
    <definedName name="MillProd_Y7">#REF!</definedName>
    <definedName name="MillProd_Y8">#REF!</definedName>
    <definedName name="MillProd_Y9">#REF!</definedName>
    <definedName name="MillProd_YM1">#REF!</definedName>
    <definedName name="MillProd_YM2">#REF!</definedName>
    <definedName name="MillSite">#REF!</definedName>
    <definedName name="Mining_Profile">#REF!</definedName>
    <definedName name="Months_Qtr">N!$F$7</definedName>
    <definedName name="Months_Yr">N!$F$5</definedName>
    <definedName name="MOTOR">#REF!</definedName>
    <definedName name="Mt_to_st">#REF!</definedName>
    <definedName name="Name_Project">#REF!</definedName>
    <definedName name="NewMatrix1">#REF!</definedName>
    <definedName name="NewMatrix3">#REF!</definedName>
    <definedName name="NewMatrix4">#REF!</definedName>
    <definedName name="NewMatrix5">#REF!</definedName>
    <definedName name="NewMatrix6">#REF!</definedName>
    <definedName name="NewMatrix7">#REF!</definedName>
    <definedName name="O2_density">#REF!</definedName>
    <definedName name="Old">#REF!</definedName>
    <definedName name="oldd">#REF!</definedName>
    <definedName name="p">#REF!</definedName>
    <definedName name="Pal_Workbook_GUID" hidden="1">"YJXK56KP2Y6MZ5K7VQA89295"</definedName>
    <definedName name="PalisadeReportWorkbookCreatedBy">"AtRisk"</definedName>
    <definedName name="PercentMoistureConcentrate">#REF!</definedName>
    <definedName name="PercentMoistureTailing">#REF!</definedName>
    <definedName name="PPM_PCT">#REF!</definedName>
    <definedName name="Price_Profile">#REF!</definedName>
    <definedName name="ProjectName">#REF!</definedName>
    <definedName name="ProjectNumber">#REF!</definedName>
    <definedName name="qqqqqqqqqqqqqq1" hidden="1">#REF!</definedName>
    <definedName name="qqqqqqqqqqqqqqq" hidden="1">#REF!</definedName>
    <definedName name="Qtrs_Yr">N!$F$6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-1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rt_area">#REF!</definedName>
    <definedName name="st_to_lb">#REF!</definedName>
    <definedName name="Status">#REF!</definedName>
    <definedName name="Status2">#REF!</definedName>
    <definedName name="Step1Dimensions" hidden="1">#REF!</definedName>
    <definedName name="Step2Manual" hidden="1">#REF!</definedName>
    <definedName name="Step2NumSizes" hidden="1">#REF!</definedName>
    <definedName name="Step2Ratio" hidden="1">#REF!</definedName>
    <definedName name="Step2TopSize" hidden="1">#REF!</definedName>
    <definedName name="Step2VertMassNames" hidden="1">#REF!</definedName>
    <definedName name="Step3LowSG" hidden="1">#REF!</definedName>
    <definedName name="Step3Manual" hidden="1">#REF!</definedName>
    <definedName name="Step3NumSGs" hidden="1">#REF!</definedName>
    <definedName name="Step3SGInterval" hidden="1">#REF!</definedName>
    <definedName name="Step4NumItems" hidden="1">#REF!</definedName>
    <definedName name="Step4StreamNames" hidden="1">#REF!</definedName>
    <definedName name="Step5NumItems" hidden="1">#REF!</definedName>
    <definedName name="Step5UnitNames" hidden="1">#REF!</definedName>
    <definedName name="Step6NumItems" hidden="1">#REF!</definedName>
    <definedName name="Thousand">N!$F$9</definedName>
    <definedName name="TitleOPEX">#REF!</definedName>
    <definedName name="Units">#REF!</definedName>
    <definedName name="US_to_CAN">#REF!</definedName>
    <definedName name="Verysmallnumber">N!$F$11</definedName>
    <definedName name="www" hidden="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97" l="1"/>
  <c r="S3" i="97"/>
  <c r="T3" i="97"/>
  <c r="U3" i="97"/>
  <c r="V3" i="97"/>
  <c r="W3" i="97"/>
  <c r="X3" i="97"/>
  <c r="Y3" i="97"/>
  <c r="Z3" i="97"/>
  <c r="AA3" i="97"/>
  <c r="AB3" i="97"/>
  <c r="AC3" i="97"/>
  <c r="AD3" i="97"/>
  <c r="AE3" i="97"/>
  <c r="AF3" i="97"/>
  <c r="AG3" i="97"/>
  <c r="R4" i="97"/>
  <c r="S4" i="97"/>
  <c r="T4" i="97"/>
  <c r="U4" i="97"/>
  <c r="V4" i="97"/>
  <c r="W4" i="97"/>
  <c r="X4" i="97"/>
  <c r="Y4" i="97"/>
  <c r="Z4" i="97"/>
  <c r="AA4" i="97"/>
  <c r="AB4" i="97"/>
  <c r="AC4" i="97"/>
  <c r="AD4" i="97"/>
  <c r="AE4" i="97"/>
  <c r="AF4" i="97"/>
  <c r="AG4" i="97"/>
  <c r="R5" i="97"/>
  <c r="S5" i="97"/>
  <c r="T5" i="97"/>
  <c r="U5" i="97"/>
  <c r="V5" i="97"/>
  <c r="W5" i="97"/>
  <c r="X5" i="97"/>
  <c r="Y5" i="97"/>
  <c r="Z5" i="97"/>
  <c r="AA5" i="97"/>
  <c r="AB5" i="97"/>
  <c r="AC5" i="97"/>
  <c r="AD5" i="97"/>
  <c r="AE5" i="97"/>
  <c r="AF5" i="97"/>
  <c r="AG5" i="97"/>
  <c r="K3" i="97"/>
  <c r="L3" i="97"/>
  <c r="M3" i="97"/>
  <c r="N3" i="97"/>
  <c r="O3" i="97"/>
  <c r="P3" i="97"/>
  <c r="Q3" i="97"/>
  <c r="K4" i="97"/>
  <c r="L4" i="97"/>
  <c r="M4" i="97"/>
  <c r="N4" i="97"/>
  <c r="O4" i="97"/>
  <c r="P4" i="97"/>
  <c r="Q4" i="97"/>
  <c r="K5" i="97"/>
  <c r="L5" i="97"/>
  <c r="M5" i="97"/>
  <c r="N5" i="97"/>
  <c r="O5" i="97"/>
  <c r="P5" i="97"/>
  <c r="Q5" i="97"/>
  <c r="G3" i="97"/>
  <c r="H3" i="97"/>
  <c r="I3" i="97"/>
  <c r="J3" i="97"/>
  <c r="G4" i="97"/>
  <c r="H4" i="97"/>
  <c r="I4" i="97"/>
  <c r="J4" i="97"/>
  <c r="G5" i="97"/>
  <c r="H5" i="97"/>
  <c r="I5" i="97"/>
  <c r="J5" i="97"/>
  <c r="F4" i="97"/>
  <c r="F5" i="97"/>
  <c r="F3" i="97"/>
  <c r="C2" i="97"/>
  <c r="C3" i="97"/>
  <c r="D3" i="97"/>
  <c r="C4" i="97"/>
  <c r="C5" i="97"/>
  <c r="B3" i="97"/>
  <c r="B4" i="97"/>
  <c r="B5" i="97"/>
  <c r="B2" i="97"/>
  <c r="C69" i="80"/>
  <c r="C60" i="80"/>
  <c r="M41" i="83" l="1"/>
  <c r="U16" i="97"/>
  <c r="G23" i="97"/>
  <c r="H23" i="97"/>
  <c r="E95" i="93"/>
  <c r="C42" i="91"/>
  <c r="J153" i="93"/>
  <c r="Y115" i="83"/>
  <c r="AC114" i="83"/>
  <c r="AB114" i="83"/>
  <c r="AA114" i="83"/>
  <c r="Z114" i="83"/>
  <c r="Y114" i="83"/>
  <c r="X113" i="83"/>
  <c r="V113" i="83"/>
  <c r="U113" i="83"/>
  <c r="T113" i="83"/>
  <c r="S113" i="83"/>
  <c r="N113" i="83"/>
  <c r="P113" i="83"/>
  <c r="O113" i="83"/>
  <c r="J5" i="83" l="1"/>
  <c r="G80" i="83" l="1"/>
  <c r="E19" i="95"/>
  <c r="F36" i="83" s="1"/>
  <c r="DE148" i="93"/>
  <c r="DD148" i="93"/>
  <c r="DC148" i="93"/>
  <c r="DB148" i="93"/>
  <c r="DA148" i="93"/>
  <c r="CZ148" i="93"/>
  <c r="CY148" i="93"/>
  <c r="CX148" i="93"/>
  <c r="CW148" i="93"/>
  <c r="CV148" i="93"/>
  <c r="CU148" i="93"/>
  <c r="CT148" i="93"/>
  <c r="CS148" i="93"/>
  <c r="CR148" i="93"/>
  <c r="CQ148" i="93"/>
  <c r="CP148" i="93"/>
  <c r="CO148" i="93"/>
  <c r="CN148" i="93"/>
  <c r="CM148" i="93"/>
  <c r="CL148" i="93"/>
  <c r="CK148" i="93"/>
  <c r="CJ148" i="93"/>
  <c r="CI148" i="93"/>
  <c r="CH148" i="93"/>
  <c r="CG148" i="93"/>
  <c r="CF148" i="93"/>
  <c r="CE148" i="93"/>
  <c r="CD148" i="93"/>
  <c r="CC148" i="93"/>
  <c r="CB148" i="93"/>
  <c r="CA148" i="93"/>
  <c r="BZ148" i="93"/>
  <c r="BY148" i="93"/>
  <c r="BX148" i="93"/>
  <c r="BW148" i="93"/>
  <c r="BV148" i="93"/>
  <c r="BU148" i="93"/>
  <c r="BT148" i="93"/>
  <c r="BS148" i="93"/>
  <c r="BR148" i="93"/>
  <c r="BQ148" i="93"/>
  <c r="BP148" i="93"/>
  <c r="BO148" i="93"/>
  <c r="BN148" i="93"/>
  <c r="BM148" i="93"/>
  <c r="BL148" i="93"/>
  <c r="BK148" i="93"/>
  <c r="BJ148" i="93"/>
  <c r="BI148" i="93"/>
  <c r="BH148" i="93"/>
  <c r="BG148" i="93"/>
  <c r="BF148" i="93"/>
  <c r="BE148" i="93"/>
  <c r="BD148" i="93"/>
  <c r="BC148" i="93"/>
  <c r="BB148" i="93"/>
  <c r="BA148" i="93"/>
  <c r="AZ148" i="93"/>
  <c r="AY148" i="93"/>
  <c r="AX148" i="93"/>
  <c r="AW148" i="93"/>
  <c r="AV148" i="93"/>
  <c r="AU148" i="93"/>
  <c r="AT148" i="93"/>
  <c r="AS148" i="93"/>
  <c r="AR148" i="93"/>
  <c r="AQ148" i="93"/>
  <c r="AP148" i="93"/>
  <c r="AO148" i="93"/>
  <c r="AN148" i="93"/>
  <c r="AM148" i="93"/>
  <c r="AL148" i="93"/>
  <c r="AK148" i="93"/>
  <c r="AJ148" i="93"/>
  <c r="AI148" i="93"/>
  <c r="AH148" i="93"/>
  <c r="AG148" i="93"/>
  <c r="AF148" i="93"/>
  <c r="AE148" i="93"/>
  <c r="AD148" i="93"/>
  <c r="AC148" i="93"/>
  <c r="AB148" i="93"/>
  <c r="AA148" i="93"/>
  <c r="Z148" i="93"/>
  <c r="Y148" i="93"/>
  <c r="X148" i="93"/>
  <c r="W148" i="93"/>
  <c r="V148" i="93"/>
  <c r="U148" i="93"/>
  <c r="T148" i="93"/>
  <c r="S148" i="93"/>
  <c r="R148" i="93"/>
  <c r="Q148" i="93"/>
  <c r="P148" i="93"/>
  <c r="O148" i="93"/>
  <c r="N148" i="93"/>
  <c r="M148" i="93"/>
  <c r="L148" i="93"/>
  <c r="K148" i="93"/>
  <c r="J148" i="93"/>
  <c r="I50" i="83"/>
  <c r="E11" i="95"/>
  <c r="F45" i="83" s="1"/>
  <c r="E36" i="83" l="1"/>
  <c r="E6" i="83"/>
  <c r="J45" i="83"/>
  <c r="K45" i="83"/>
  <c r="L45" i="83"/>
  <c r="M45" i="83"/>
  <c r="J6" i="83" l="1"/>
  <c r="DE137" i="93"/>
  <c r="DD137" i="93"/>
  <c r="DC137" i="93"/>
  <c r="DB137" i="93"/>
  <c r="DA137" i="93"/>
  <c r="CZ137" i="93"/>
  <c r="CY137" i="93"/>
  <c r="CX137" i="93"/>
  <c r="CW137" i="93"/>
  <c r="CV137" i="93"/>
  <c r="CU137" i="93"/>
  <c r="CT137" i="93"/>
  <c r="CS137" i="93"/>
  <c r="CR137" i="93"/>
  <c r="CQ137" i="93"/>
  <c r="CP137" i="93"/>
  <c r="CO137" i="93"/>
  <c r="CN137" i="93"/>
  <c r="CM137" i="93"/>
  <c r="CL137" i="93"/>
  <c r="CK137" i="93"/>
  <c r="CJ137" i="93"/>
  <c r="CI137" i="93"/>
  <c r="CH137" i="93"/>
  <c r="CG137" i="93"/>
  <c r="CF137" i="93"/>
  <c r="CE137" i="93"/>
  <c r="CD137" i="93"/>
  <c r="CC137" i="93"/>
  <c r="CB137" i="93"/>
  <c r="CA137" i="93"/>
  <c r="BZ137" i="93"/>
  <c r="BY137" i="93"/>
  <c r="BX137" i="93"/>
  <c r="BW137" i="93"/>
  <c r="BV137" i="93"/>
  <c r="BU137" i="93"/>
  <c r="BT137" i="93"/>
  <c r="BS137" i="93"/>
  <c r="BR137" i="93"/>
  <c r="BQ137" i="93"/>
  <c r="BP137" i="93"/>
  <c r="BO137" i="93"/>
  <c r="BN137" i="93"/>
  <c r="BM137" i="93"/>
  <c r="BL137" i="93"/>
  <c r="BK137" i="93"/>
  <c r="BJ137" i="93"/>
  <c r="BI137" i="93"/>
  <c r="BH137" i="93"/>
  <c r="BG137" i="93"/>
  <c r="BF137" i="93"/>
  <c r="BE137" i="93"/>
  <c r="BD137" i="93"/>
  <c r="BC137" i="93"/>
  <c r="BB137" i="93"/>
  <c r="BA137" i="93"/>
  <c r="AZ137" i="93"/>
  <c r="AY137" i="93"/>
  <c r="AX137" i="93"/>
  <c r="AW137" i="93"/>
  <c r="AV137" i="93"/>
  <c r="AU137" i="93"/>
  <c r="AT137" i="93"/>
  <c r="AS137" i="93"/>
  <c r="AR137" i="93"/>
  <c r="AQ137" i="93"/>
  <c r="AP137" i="93"/>
  <c r="AO137" i="93"/>
  <c r="AN137" i="93"/>
  <c r="AM137" i="93"/>
  <c r="AL137" i="93"/>
  <c r="AK137" i="93"/>
  <c r="AJ137" i="93"/>
  <c r="AI137" i="93"/>
  <c r="AH137" i="93"/>
  <c r="AG137" i="93"/>
  <c r="AF137" i="93"/>
  <c r="AE137" i="93"/>
  <c r="AD137" i="93"/>
  <c r="AC137" i="93"/>
  <c r="AB137" i="93"/>
  <c r="AA137" i="93"/>
  <c r="Z137" i="93"/>
  <c r="Y137" i="93"/>
  <c r="X137" i="93"/>
  <c r="W137" i="93"/>
  <c r="V137" i="93"/>
  <c r="U137" i="93"/>
  <c r="T137" i="93"/>
  <c r="S137" i="93"/>
  <c r="J23" i="91"/>
  <c r="N23" i="91"/>
  <c r="M23" i="91"/>
  <c r="L23" i="91"/>
  <c r="K23" i="91"/>
  <c r="X116" i="83"/>
  <c r="W116" i="83"/>
  <c r="W22" i="91" s="1"/>
  <c r="V116" i="83"/>
  <c r="U116" i="83"/>
  <c r="T116" i="83"/>
  <c r="S116" i="83"/>
  <c r="S22" i="91" s="1"/>
  <c r="R116" i="83"/>
  <c r="Q116" i="83"/>
  <c r="Q22" i="91" s="1"/>
  <c r="P116" i="83"/>
  <c r="P22" i="91" s="1"/>
  <c r="O116" i="83"/>
  <c r="M116" i="83"/>
  <c r="M118" i="83" s="1"/>
  <c r="L116" i="83"/>
  <c r="K116" i="83"/>
  <c r="K22" i="91" s="1"/>
  <c r="J116" i="83"/>
  <c r="J118" i="83" s="1"/>
  <c r="N116" i="83"/>
  <c r="G78" i="83"/>
  <c r="G94" i="83"/>
  <c r="G93" i="83"/>
  <c r="G87" i="83"/>
  <c r="G86" i="83"/>
  <c r="G79" i="83"/>
  <c r="G7" i="95"/>
  <c r="H7" i="95" s="1"/>
  <c r="I7" i="95" s="1"/>
  <c r="J7" i="95" s="1"/>
  <c r="K7" i="95" s="1"/>
  <c r="L7" i="95" s="1"/>
  <c r="M7" i="95" s="1"/>
  <c r="N7" i="95" s="1"/>
  <c r="N8" i="95" s="1"/>
  <c r="N118" i="83" l="1"/>
  <c r="L118" i="83"/>
  <c r="J22" i="91"/>
  <c r="V22" i="91"/>
  <c r="K118" i="83"/>
  <c r="L22" i="91"/>
  <c r="X22" i="91"/>
  <c r="M22" i="91"/>
  <c r="N22" i="91"/>
  <c r="O22" i="91"/>
  <c r="R22" i="91"/>
  <c r="T22" i="91"/>
  <c r="U22" i="91"/>
  <c r="G8" i="95"/>
  <c r="K8" i="95"/>
  <c r="M8" i="95"/>
  <c r="L8" i="95"/>
  <c r="J8" i="95"/>
  <c r="I8" i="95"/>
  <c r="H8" i="95"/>
  <c r="E18" i="95"/>
  <c r="F101" i="83" s="1"/>
  <c r="E8" i="95"/>
  <c r="E14" i="95"/>
  <c r="F80" i="83" s="1"/>
  <c r="E80" i="83" s="1"/>
  <c r="J80" i="83" s="1"/>
  <c r="J82" i="83" s="1"/>
  <c r="E13" i="95"/>
  <c r="F62" i="83" s="1"/>
  <c r="E12" i="95"/>
  <c r="F48" i="83" s="1"/>
  <c r="E48" i="83" s="1"/>
  <c r="E10" i="95"/>
  <c r="F9" i="83" s="1"/>
  <c r="E9" i="83" s="1"/>
  <c r="E17" i="95"/>
  <c r="E9" i="95"/>
  <c r="F20" i="83" s="1"/>
  <c r="O7" i="95"/>
  <c r="E16" i="95"/>
  <c r="F72" i="83" s="1"/>
  <c r="E72" i="83" s="1"/>
  <c r="E15" i="95"/>
  <c r="F93" i="83" l="1"/>
  <c r="E93" i="83" s="1"/>
  <c r="J93" i="83" s="1"/>
  <c r="F94" i="83"/>
  <c r="E94" i="83" s="1"/>
  <c r="F86" i="83"/>
  <c r="E86" i="83" s="1"/>
  <c r="J86" i="83" s="1"/>
  <c r="F87" i="83"/>
  <c r="E87" i="83" s="1"/>
  <c r="J87" i="83" s="1"/>
  <c r="J89" i="83" s="1"/>
  <c r="E79" i="83"/>
  <c r="F78" i="83"/>
  <c r="E78" i="83" s="1"/>
  <c r="J78" i="83" s="1"/>
  <c r="P7" i="95"/>
  <c r="O8" i="95"/>
  <c r="K102" i="83"/>
  <c r="K104" i="83" s="1"/>
  <c r="L102" i="83"/>
  <c r="L104" i="83" s="1"/>
  <c r="Q102" i="83"/>
  <c r="Q104" i="83" s="1"/>
  <c r="P102" i="83"/>
  <c r="P104" i="83" s="1"/>
  <c r="R102" i="83"/>
  <c r="R104" i="83" s="1"/>
  <c r="S102" i="83"/>
  <c r="S104" i="83" s="1"/>
  <c r="T102" i="83"/>
  <c r="T104" i="83" s="1"/>
  <c r="U102" i="83"/>
  <c r="U104" i="83" s="1"/>
  <c r="V102" i="83"/>
  <c r="V104" i="83" s="1"/>
  <c r="X102" i="83"/>
  <c r="X104" i="83" s="1"/>
  <c r="O102" i="83"/>
  <c r="O104" i="83" s="1"/>
  <c r="W102" i="83"/>
  <c r="W104" i="83" s="1"/>
  <c r="M102" i="83"/>
  <c r="M104" i="83" s="1"/>
  <c r="J102" i="83"/>
  <c r="J104" i="83" s="1"/>
  <c r="E14" i="83"/>
  <c r="E16" i="83"/>
  <c r="E15" i="83"/>
  <c r="E17" i="83"/>
  <c r="E18" i="83"/>
  <c r="E13" i="83"/>
  <c r="N102" i="83"/>
  <c r="N104" i="83" s="1"/>
  <c r="E6" i="92"/>
  <c r="E6" i="93" s="1"/>
  <c r="E5" i="92"/>
  <c r="E5" i="93" s="1"/>
  <c r="J66" i="93"/>
  <c r="I66" i="93" s="1"/>
  <c r="K65" i="93"/>
  <c r="J65" i="93"/>
  <c r="L22" i="93"/>
  <c r="K22" i="93"/>
  <c r="K4" i="93"/>
  <c r="E18" i="92"/>
  <c r="L4" i="92"/>
  <c r="K4" i="92"/>
  <c r="J33" i="92" l="1"/>
  <c r="I33" i="92" s="1"/>
  <c r="I65" i="93"/>
  <c r="K5" i="93"/>
  <c r="L5" i="92"/>
  <c r="J5" i="92"/>
  <c r="K5" i="92"/>
  <c r="J28" i="92"/>
  <c r="Q7" i="95"/>
  <c r="P8" i="95"/>
  <c r="J6" i="92"/>
  <c r="K6" i="92"/>
  <c r="K8" i="92" s="1"/>
  <c r="L6" i="92"/>
  <c r="L8" i="92" s="1"/>
  <c r="M4" i="92"/>
  <c r="J5" i="93"/>
  <c r="J6" i="93"/>
  <c r="K6" i="93"/>
  <c r="L4" i="93"/>
  <c r="I28" i="92" l="1"/>
  <c r="E14" i="93" s="1"/>
  <c r="F23" i="97"/>
  <c r="J34" i="93"/>
  <c r="J35" i="93" s="1"/>
  <c r="J8" i="92"/>
  <c r="K34" i="93"/>
  <c r="K35" i="93" s="1"/>
  <c r="J30" i="92"/>
  <c r="J22" i="93"/>
  <c r="R7" i="95"/>
  <c r="Q8" i="95"/>
  <c r="M6" i="92"/>
  <c r="M8" i="92" s="1"/>
  <c r="M29" i="92" s="1"/>
  <c r="M5" i="92"/>
  <c r="N4" i="92"/>
  <c r="M4" i="93"/>
  <c r="L6" i="93"/>
  <c r="L5" i="93"/>
  <c r="I23" i="97" l="1"/>
  <c r="K27" i="92"/>
  <c r="J32" i="92"/>
  <c r="M22" i="93"/>
  <c r="J7" i="92"/>
  <c r="J40" i="92" s="1"/>
  <c r="J49" i="92" s="1"/>
  <c r="S7" i="95"/>
  <c r="R8" i="95"/>
  <c r="L34" i="93"/>
  <c r="L35" i="93" s="1"/>
  <c r="K30" i="92"/>
  <c r="L27" i="92" s="1"/>
  <c r="N4" i="93"/>
  <c r="M6" i="93"/>
  <c r="M5" i="93"/>
  <c r="O4" i="92"/>
  <c r="N6" i="92"/>
  <c r="N8" i="92" s="1"/>
  <c r="N29" i="92" s="1"/>
  <c r="N5" i="92"/>
  <c r="J23" i="97" l="1"/>
  <c r="J35" i="92"/>
  <c r="N22" i="93"/>
  <c r="J19" i="93"/>
  <c r="J39" i="92"/>
  <c r="J48" i="92" s="1"/>
  <c r="J42" i="92"/>
  <c r="J51" i="92" s="1"/>
  <c r="T7" i="95"/>
  <c r="S8" i="95"/>
  <c r="L30" i="92"/>
  <c r="M27" i="92" s="1"/>
  <c r="K7" i="92"/>
  <c r="K32" i="92"/>
  <c r="P4" i="92"/>
  <c r="O6" i="92"/>
  <c r="O8" i="92" s="1"/>
  <c r="O29" i="92" s="1"/>
  <c r="O5" i="92"/>
  <c r="O4" i="93"/>
  <c r="N6" i="93"/>
  <c r="N5" i="93"/>
  <c r="M34" i="93"/>
  <c r="M35" i="93" s="1"/>
  <c r="K23" i="97" l="1"/>
  <c r="O22" i="93"/>
  <c r="J20" i="93"/>
  <c r="J26" i="93"/>
  <c r="L7" i="92"/>
  <c r="L42" i="92" s="1"/>
  <c r="L51" i="92" s="1"/>
  <c r="U7" i="95"/>
  <c r="T8" i="95"/>
  <c r="N34" i="93"/>
  <c r="N35" i="93" s="1"/>
  <c r="K19" i="93"/>
  <c r="K35" i="92"/>
  <c r="P6" i="92"/>
  <c r="P8" i="92" s="1"/>
  <c r="P29" i="92" s="1"/>
  <c r="P5" i="92"/>
  <c r="Q4" i="92"/>
  <c r="K42" i="92"/>
  <c r="K51" i="92" s="1"/>
  <c r="K39" i="92"/>
  <c r="K48" i="92" s="1"/>
  <c r="K40" i="92"/>
  <c r="K49" i="92" s="1"/>
  <c r="L32" i="92"/>
  <c r="O6" i="93"/>
  <c r="P4" i="93"/>
  <c r="O5" i="93"/>
  <c r="M30" i="92"/>
  <c r="N27" i="92" s="1"/>
  <c r="L23" i="97" l="1"/>
  <c r="P22" i="93"/>
  <c r="K20" i="93"/>
  <c r="K26" i="93"/>
  <c r="L39" i="92"/>
  <c r="L48" i="92" s="1"/>
  <c r="L40" i="92"/>
  <c r="L49" i="92" s="1"/>
  <c r="V7" i="95"/>
  <c r="U8" i="95"/>
  <c r="O34" i="93"/>
  <c r="O35" i="93" s="1"/>
  <c r="N30" i="92"/>
  <c r="O27" i="92" s="1"/>
  <c r="L19" i="93"/>
  <c r="L35" i="92"/>
  <c r="M7" i="92"/>
  <c r="M32" i="92"/>
  <c r="P5" i="93"/>
  <c r="P6" i="93"/>
  <c r="Q4" i="93"/>
  <c r="Q6" i="92"/>
  <c r="Q8" i="92" s="1"/>
  <c r="Q29" i="92" s="1"/>
  <c r="Q5" i="92"/>
  <c r="R4" i="92"/>
  <c r="M23" i="97" l="1"/>
  <c r="Q22" i="93"/>
  <c r="L20" i="93"/>
  <c r="L26" i="93"/>
  <c r="W7" i="95"/>
  <c r="W8" i="95" s="1"/>
  <c r="V8" i="95"/>
  <c r="N7" i="92"/>
  <c r="N32" i="92"/>
  <c r="R5" i="92"/>
  <c r="R6" i="92"/>
  <c r="R8" i="92" s="1"/>
  <c r="R29" i="92" s="1"/>
  <c r="S4" i="92"/>
  <c r="P34" i="93"/>
  <c r="P35" i="93" s="1"/>
  <c r="O30" i="92"/>
  <c r="P27" i="92" s="1"/>
  <c r="M19" i="93"/>
  <c r="M35" i="92"/>
  <c r="M40" i="92" s="1"/>
  <c r="M49" i="92" s="1"/>
  <c r="Q6" i="93"/>
  <c r="Q5" i="93"/>
  <c r="R4" i="93"/>
  <c r="N23" i="97" l="1"/>
  <c r="N19" i="93"/>
  <c r="N26" i="93" s="1"/>
  <c r="R22" i="93"/>
  <c r="M20" i="93"/>
  <c r="M26" i="93"/>
  <c r="Q34" i="93"/>
  <c r="Q35" i="93" s="1"/>
  <c r="N35" i="92"/>
  <c r="M42" i="92"/>
  <c r="M51" i="92" s="1"/>
  <c r="P30" i="92"/>
  <c r="Q27" i="92" s="1"/>
  <c r="O7" i="92"/>
  <c r="O32" i="92"/>
  <c r="R5" i="93"/>
  <c r="R6" i="93"/>
  <c r="S4" i="93"/>
  <c r="S6" i="92"/>
  <c r="S8" i="92" s="1"/>
  <c r="S29" i="92" s="1"/>
  <c r="S5" i="92"/>
  <c r="T4" i="92"/>
  <c r="O23" i="97" l="1"/>
  <c r="N20" i="93"/>
  <c r="S22" i="93"/>
  <c r="R34" i="93"/>
  <c r="R35" i="93" s="1"/>
  <c r="T6" i="92"/>
  <c r="T8" i="92" s="1"/>
  <c r="T29" i="92" s="1"/>
  <c r="T5" i="92"/>
  <c r="U4" i="92"/>
  <c r="S5" i="93"/>
  <c r="S6" i="93"/>
  <c r="T4" i="93"/>
  <c r="O19" i="93"/>
  <c r="O35" i="92"/>
  <c r="P7" i="92"/>
  <c r="Q30" i="92"/>
  <c r="R27" i="92" s="1"/>
  <c r="P32" i="92"/>
  <c r="P23" i="97" l="1"/>
  <c r="T22" i="93"/>
  <c r="O20" i="93"/>
  <c r="O26" i="93"/>
  <c r="T5" i="93"/>
  <c r="U4" i="93"/>
  <c r="T6" i="93"/>
  <c r="S34" i="93"/>
  <c r="S35" i="93" s="1"/>
  <c r="Q32" i="92"/>
  <c r="R30" i="92"/>
  <c r="S27" i="92" s="1"/>
  <c r="U5" i="92"/>
  <c r="U6" i="92"/>
  <c r="U8" i="92" s="1"/>
  <c r="U29" i="92" s="1"/>
  <c r="Q23" i="97" s="1"/>
  <c r="V4" i="92"/>
  <c r="P19" i="93"/>
  <c r="P35" i="92"/>
  <c r="Q7" i="92"/>
  <c r="U22" i="93" l="1"/>
  <c r="P20" i="93"/>
  <c r="P26" i="93"/>
  <c r="R7" i="92"/>
  <c r="Q19" i="93"/>
  <c r="Q35" i="92"/>
  <c r="U5" i="93"/>
  <c r="V4" i="93"/>
  <c r="U6" i="93"/>
  <c r="T34" i="93"/>
  <c r="T35" i="93" s="1"/>
  <c r="S30" i="92"/>
  <c r="T27" i="92" s="1"/>
  <c r="R32" i="92"/>
  <c r="W4" i="92"/>
  <c r="V6" i="92"/>
  <c r="V8" i="92" s="1"/>
  <c r="V29" i="92" s="1"/>
  <c r="R23" i="97" s="1"/>
  <c r="V5" i="92"/>
  <c r="V22" i="93" l="1"/>
  <c r="Q20" i="93"/>
  <c r="Q26" i="93"/>
  <c r="U34" i="93"/>
  <c r="U35" i="93" s="1"/>
  <c r="S7" i="92"/>
  <c r="V5" i="93"/>
  <c r="V6" i="93"/>
  <c r="W4" i="93"/>
  <c r="T30" i="92"/>
  <c r="U27" i="92" s="1"/>
  <c r="S32" i="92"/>
  <c r="W5" i="92"/>
  <c r="X4" i="92"/>
  <c r="W6" i="92"/>
  <c r="W8" i="92" s="1"/>
  <c r="W29" i="92" s="1"/>
  <c r="S23" i="97" s="1"/>
  <c r="R19" i="93"/>
  <c r="R35" i="92"/>
  <c r="W22" i="93" l="1"/>
  <c r="R20" i="93"/>
  <c r="R26" i="93"/>
  <c r="T32" i="92"/>
  <c r="W6" i="93"/>
  <c r="W5" i="93"/>
  <c r="X4" i="93"/>
  <c r="V34" i="93"/>
  <c r="V35" i="93" s="1"/>
  <c r="Y4" i="92"/>
  <c r="X6" i="92"/>
  <c r="X8" i="92" s="1"/>
  <c r="X29" i="92" s="1"/>
  <c r="T23" i="97" s="1"/>
  <c r="X5" i="92"/>
  <c r="S19" i="93"/>
  <c r="S35" i="92"/>
  <c r="U30" i="92"/>
  <c r="V27" i="92" s="1"/>
  <c r="T7" i="92"/>
  <c r="X22" i="93" l="1"/>
  <c r="T35" i="92"/>
  <c r="S20" i="93"/>
  <c r="S26" i="93"/>
  <c r="T19" i="93"/>
  <c r="W34" i="93"/>
  <c r="W35" i="93" s="1"/>
  <c r="U32" i="92"/>
  <c r="Y6" i="92"/>
  <c r="Y8" i="92" s="1"/>
  <c r="Y29" i="92" s="1"/>
  <c r="U23" i="97" s="1"/>
  <c r="Y5" i="92"/>
  <c r="Z4" i="92"/>
  <c r="X6" i="93"/>
  <c r="Y4" i="93"/>
  <c r="X5" i="93"/>
  <c r="V30" i="92"/>
  <c r="W27" i="92" s="1"/>
  <c r="U7" i="92"/>
  <c r="Y22" i="93" l="1"/>
  <c r="T20" i="93"/>
  <c r="T26" i="93"/>
  <c r="X34" i="93"/>
  <c r="X35" i="93" s="1"/>
  <c r="Z6" i="92"/>
  <c r="Z8" i="92" s="1"/>
  <c r="Z29" i="92" s="1"/>
  <c r="V23" i="97" s="1"/>
  <c r="Z5" i="92"/>
  <c r="AA4" i="92"/>
  <c r="V7" i="92"/>
  <c r="U35" i="92"/>
  <c r="U19" i="93"/>
  <c r="V32" i="92"/>
  <c r="W30" i="92"/>
  <c r="X27" i="92" s="1"/>
  <c r="Y6" i="93"/>
  <c r="Z4" i="93"/>
  <c r="Y5" i="93"/>
  <c r="Z22" i="93" l="1"/>
  <c r="U20" i="93"/>
  <c r="U26" i="93"/>
  <c r="AB4" i="92"/>
  <c r="AA5" i="92"/>
  <c r="AA6" i="92"/>
  <c r="AA8" i="92" s="1"/>
  <c r="AA29" i="92" s="1"/>
  <c r="W23" i="97" s="1"/>
  <c r="X30" i="92"/>
  <c r="Y27" i="92" s="1"/>
  <c r="W7" i="92"/>
  <c r="V19" i="93"/>
  <c r="V35" i="92"/>
  <c r="W32" i="92"/>
  <c r="Y34" i="93"/>
  <c r="Y35" i="93" s="1"/>
  <c r="AA4" i="93"/>
  <c r="Z6" i="93"/>
  <c r="Z5" i="93"/>
  <c r="AA22" i="93" l="1"/>
  <c r="V20" i="93"/>
  <c r="V26" i="93"/>
  <c r="Z34" i="93"/>
  <c r="Z35" i="93" s="1"/>
  <c r="AC4" i="92"/>
  <c r="AB5" i="92"/>
  <c r="AB6" i="92"/>
  <c r="AB8" i="92" s="1"/>
  <c r="AB29" i="92" s="1"/>
  <c r="X23" i="97" s="1"/>
  <c r="W19" i="93"/>
  <c r="W35" i="92"/>
  <c r="AA6" i="93"/>
  <c r="AB4" i="93"/>
  <c r="AA5" i="93"/>
  <c r="Y30" i="92"/>
  <c r="Z27" i="92" s="1"/>
  <c r="X7" i="92"/>
  <c r="X32" i="92"/>
  <c r="AB22" i="93" l="1"/>
  <c r="W20" i="93"/>
  <c r="W26" i="93"/>
  <c r="AA34" i="93"/>
  <c r="AA35" i="93" s="1"/>
  <c r="Z30" i="92"/>
  <c r="AA27" i="92" s="1"/>
  <c r="X19" i="93"/>
  <c r="X35" i="92"/>
  <c r="X40" i="92"/>
  <c r="X49" i="92" s="1"/>
  <c r="X42" i="92"/>
  <c r="X51" i="92" s="1"/>
  <c r="AC6" i="92"/>
  <c r="AC8" i="92" s="1"/>
  <c r="AC29" i="92" s="1"/>
  <c r="AC22" i="93" s="1"/>
  <c r="AD4" i="92"/>
  <c r="AC5" i="92"/>
  <c r="Y7" i="92"/>
  <c r="Y32" i="92"/>
  <c r="AB6" i="93"/>
  <c r="AC4" i="93"/>
  <c r="AB5" i="93"/>
  <c r="X20" i="93" l="1"/>
  <c r="X26" i="93"/>
  <c r="AB34" i="93"/>
  <c r="AB35" i="93" s="1"/>
  <c r="AC6" i="93"/>
  <c r="AC5" i="93"/>
  <c r="AD4" i="93"/>
  <c r="Y40" i="92"/>
  <c r="Y49" i="92" s="1"/>
  <c r="Y39" i="92"/>
  <c r="Y48" i="92" s="1"/>
  <c r="Y42" i="92"/>
  <c r="Y51" i="92" s="1"/>
  <c r="Z32" i="92"/>
  <c r="Y19" i="93"/>
  <c r="Y35" i="92"/>
  <c r="Z7" i="92"/>
  <c r="AD5" i="92"/>
  <c r="AD6" i="92"/>
  <c r="AD8" i="92" s="1"/>
  <c r="AD29" i="92" s="1"/>
  <c r="AD22" i="93" s="1"/>
  <c r="AE4" i="92"/>
  <c r="AA30" i="92"/>
  <c r="AB27" i="92" s="1"/>
  <c r="Y20" i="93" l="1"/>
  <c r="Y26" i="93"/>
  <c r="AC34" i="93"/>
  <c r="AC35" i="93" s="1"/>
  <c r="AA32" i="92"/>
  <c r="AE6" i="92"/>
  <c r="AE8" i="92" s="1"/>
  <c r="AE29" i="92" s="1"/>
  <c r="AE22" i="93" s="1"/>
  <c r="AE5" i="92"/>
  <c r="AF4" i="92"/>
  <c r="Z40" i="92"/>
  <c r="Z49" i="92" s="1"/>
  <c r="Z39" i="92"/>
  <c r="Z48" i="92" s="1"/>
  <c r="Z42" i="92"/>
  <c r="Z51" i="92" s="1"/>
  <c r="AD5" i="93"/>
  <c r="AD6" i="93"/>
  <c r="AE4" i="93"/>
  <c r="AB30" i="92"/>
  <c r="AC27" i="92" s="1"/>
  <c r="AA7" i="92"/>
  <c r="Z19" i="93"/>
  <c r="Z35" i="92"/>
  <c r="AA19" i="93" l="1"/>
  <c r="AA26" i="93" s="1"/>
  <c r="Z20" i="93"/>
  <c r="Z26" i="93"/>
  <c r="AA35" i="92"/>
  <c r="AB32" i="92"/>
  <c r="AB7" i="92"/>
  <c r="AB39" i="92" s="1"/>
  <c r="AB48" i="92" s="1"/>
  <c r="AE5" i="93"/>
  <c r="AE6" i="93"/>
  <c r="AF4" i="93"/>
  <c r="AG4" i="92"/>
  <c r="AF5" i="92"/>
  <c r="AF6" i="92"/>
  <c r="AF8" i="92" s="1"/>
  <c r="AF29" i="92" s="1"/>
  <c r="AF22" i="93" s="1"/>
  <c r="AA42" i="92"/>
  <c r="AA51" i="92" s="1"/>
  <c r="AA40" i="92"/>
  <c r="AA49" i="92" s="1"/>
  <c r="AA39" i="92"/>
  <c r="AA48" i="92" s="1"/>
  <c r="AD34" i="93"/>
  <c r="AD35" i="93" s="1"/>
  <c r="AC30" i="92"/>
  <c r="AD27" i="92" s="1"/>
  <c r="AB19" i="93" l="1"/>
  <c r="AB20" i="93" s="1"/>
  <c r="AA20" i="93"/>
  <c r="AB42" i="92"/>
  <c r="AB51" i="92" s="1"/>
  <c r="AB40" i="92"/>
  <c r="AB49" i="92" s="1"/>
  <c r="AB35" i="92"/>
  <c r="AG6" i="92"/>
  <c r="AG8" i="92" s="1"/>
  <c r="AG29" i="92" s="1"/>
  <c r="AG22" i="93" s="1"/>
  <c r="AG5" i="92"/>
  <c r="AH4" i="92"/>
  <c r="AD30" i="92"/>
  <c r="AE27" i="92" s="1"/>
  <c r="AC32" i="92"/>
  <c r="AC7" i="92"/>
  <c r="AF5" i="93"/>
  <c r="AF6" i="93"/>
  <c r="AG4" i="93"/>
  <c r="AE34" i="93"/>
  <c r="AE35" i="93" s="1"/>
  <c r="AB26" i="93" l="1"/>
  <c r="AC42" i="92"/>
  <c r="AC51" i="92" s="1"/>
  <c r="AC39" i="92"/>
  <c r="AC48" i="92" s="1"/>
  <c r="AC40" i="92"/>
  <c r="AC49" i="92" s="1"/>
  <c r="AC19" i="93"/>
  <c r="AC35" i="92"/>
  <c r="AD7" i="92"/>
  <c r="AF34" i="93"/>
  <c r="AF35" i="93" s="1"/>
  <c r="AD32" i="92"/>
  <c r="AE30" i="92"/>
  <c r="AF27" i="92" s="1"/>
  <c r="AH4" i="93"/>
  <c r="AG5" i="93"/>
  <c r="AG6" i="93"/>
  <c r="AI4" i="92"/>
  <c r="AH6" i="92"/>
  <c r="AH8" i="92" s="1"/>
  <c r="AH29" i="92" s="1"/>
  <c r="AH22" i="93" s="1"/>
  <c r="AH5" i="92"/>
  <c r="AC20" i="93" l="1"/>
  <c r="AC26" i="93"/>
  <c r="AE32" i="92"/>
  <c r="AE35" i="92" s="1"/>
  <c r="AE7" i="92"/>
  <c r="AE42" i="92" s="1"/>
  <c r="AE51" i="92" s="1"/>
  <c r="AD19" i="93"/>
  <c r="AD35" i="92"/>
  <c r="AD39" i="92"/>
  <c r="AD48" i="92" s="1"/>
  <c r="AD42" i="92"/>
  <c r="AD51" i="92" s="1"/>
  <c r="AD40" i="92"/>
  <c r="AD49" i="92" s="1"/>
  <c r="AI6" i="92"/>
  <c r="AI8" i="92" s="1"/>
  <c r="AI29" i="92" s="1"/>
  <c r="AI22" i="93" s="1"/>
  <c r="AI5" i="92"/>
  <c r="AJ4" i="92"/>
  <c r="AG34" i="93"/>
  <c r="AG35" i="93" s="1"/>
  <c r="AH5" i="93"/>
  <c r="AH6" i="93"/>
  <c r="AI4" i="93"/>
  <c r="AF30" i="92"/>
  <c r="AG27" i="92" s="1"/>
  <c r="AD20" i="93" l="1"/>
  <c r="AD26" i="93"/>
  <c r="AE19" i="93"/>
  <c r="AH34" i="93"/>
  <c r="AH35" i="93" s="1"/>
  <c r="AE39" i="92"/>
  <c r="AE48" i="92" s="1"/>
  <c r="AE40" i="92"/>
  <c r="AE49" i="92" s="1"/>
  <c r="AG30" i="92"/>
  <c r="AH27" i="92" s="1"/>
  <c r="AF7" i="92"/>
  <c r="AI6" i="93"/>
  <c r="AJ4" i="93"/>
  <c r="AI5" i="93"/>
  <c r="AF32" i="92"/>
  <c r="AJ6" i="92"/>
  <c r="AJ8" i="92" s="1"/>
  <c r="AJ29" i="92" s="1"/>
  <c r="AJ22" i="93" s="1"/>
  <c r="AJ5" i="92"/>
  <c r="AK4" i="92"/>
  <c r="AE20" i="93" l="1"/>
  <c r="AE26" i="93"/>
  <c r="AI34" i="93"/>
  <c r="AI35" i="93" s="1"/>
  <c r="AG7" i="92"/>
  <c r="AF42" i="92"/>
  <c r="AF51" i="92" s="1"/>
  <c r="AF40" i="92"/>
  <c r="AF49" i="92" s="1"/>
  <c r="AF39" i="92"/>
  <c r="AF48" i="92" s="1"/>
  <c r="AH30" i="92"/>
  <c r="AI27" i="92" s="1"/>
  <c r="AG32" i="92"/>
  <c r="AJ6" i="93"/>
  <c r="AK4" i="93"/>
  <c r="AJ5" i="93"/>
  <c r="AF19" i="93"/>
  <c r="AF35" i="92"/>
  <c r="AK6" i="92"/>
  <c r="AK8" i="92" s="1"/>
  <c r="AK29" i="92" s="1"/>
  <c r="AK22" i="93" s="1"/>
  <c r="AK5" i="92"/>
  <c r="AL4" i="92"/>
  <c r="AF20" i="93" l="1"/>
  <c r="AF26" i="93"/>
  <c r="AJ34" i="93"/>
  <c r="AJ35" i="93" s="1"/>
  <c r="AH7" i="92"/>
  <c r="AH39" i="92" s="1"/>
  <c r="AH48" i="92" s="1"/>
  <c r="AL5" i="92"/>
  <c r="AM4" i="92"/>
  <c r="AL6" i="92"/>
  <c r="AL8" i="92" s="1"/>
  <c r="AL29" i="92" s="1"/>
  <c r="AL22" i="93" s="1"/>
  <c r="AG39" i="92"/>
  <c r="AG48" i="92" s="1"/>
  <c r="AG40" i="92"/>
  <c r="AG49" i="92" s="1"/>
  <c r="AG42" i="92"/>
  <c r="AG51" i="92" s="1"/>
  <c r="AG19" i="93"/>
  <c r="AG35" i="92"/>
  <c r="AI30" i="92"/>
  <c r="AJ27" i="92" s="1"/>
  <c r="AL4" i="93"/>
  <c r="AK6" i="93"/>
  <c r="AK5" i="93"/>
  <c r="AH32" i="92"/>
  <c r="AG20" i="93" l="1"/>
  <c r="AG26" i="93"/>
  <c r="AH40" i="92"/>
  <c r="AH49" i="92" s="1"/>
  <c r="AH42" i="92"/>
  <c r="AH51" i="92" s="1"/>
  <c r="AK34" i="93"/>
  <c r="AK35" i="93" s="1"/>
  <c r="AI32" i="92"/>
  <c r="AI19" i="93" s="1"/>
  <c r="AJ30" i="92"/>
  <c r="AK27" i="92" s="1"/>
  <c r="AM5" i="92"/>
  <c r="AM6" i="92"/>
  <c r="AM8" i="92" s="1"/>
  <c r="AM29" i="92" s="1"/>
  <c r="AM22" i="93" s="1"/>
  <c r="AN4" i="92"/>
  <c r="AM4" i="93"/>
  <c r="AL6" i="93"/>
  <c r="AL5" i="93"/>
  <c r="AI7" i="92"/>
  <c r="AH19" i="93"/>
  <c r="AH35" i="92"/>
  <c r="AI20" i="93" l="1"/>
  <c r="AI26" i="93"/>
  <c r="AH20" i="93"/>
  <c r="AH26" i="93"/>
  <c r="AL34" i="93"/>
  <c r="AL35" i="93" s="1"/>
  <c r="AI35" i="92"/>
  <c r="AJ32" i="92"/>
  <c r="AJ35" i="92" s="1"/>
  <c r="AK30" i="92"/>
  <c r="AL27" i="92" s="1"/>
  <c r="AM6" i="93"/>
  <c r="AN4" i="93"/>
  <c r="AM5" i="93"/>
  <c r="AI39" i="92"/>
  <c r="AI48" i="92" s="1"/>
  <c r="AI42" i="92"/>
  <c r="AI51" i="92" s="1"/>
  <c r="AI40" i="92"/>
  <c r="AI49" i="92" s="1"/>
  <c r="AJ7" i="92"/>
  <c r="AN5" i="92"/>
  <c r="AO4" i="92"/>
  <c r="AN6" i="92"/>
  <c r="AN8" i="92" s="1"/>
  <c r="AN29" i="92" s="1"/>
  <c r="AN22" i="93" s="1"/>
  <c r="AM34" i="93" l="1"/>
  <c r="AM35" i="93" s="1"/>
  <c r="AK7" i="92"/>
  <c r="AK42" i="92" s="1"/>
  <c r="AK51" i="92" s="1"/>
  <c r="AK32" i="92"/>
  <c r="AK19" i="93" s="1"/>
  <c r="AJ19" i="93"/>
  <c r="AL30" i="92"/>
  <c r="AM27" i="92" s="1"/>
  <c r="AO5" i="92"/>
  <c r="AP4" i="92"/>
  <c r="AO6" i="92"/>
  <c r="AO8" i="92" s="1"/>
  <c r="AO29" i="92" s="1"/>
  <c r="AO22" i="93" s="1"/>
  <c r="AO4" i="93"/>
  <c r="AN6" i="93"/>
  <c r="AN5" i="93"/>
  <c r="AJ39" i="92"/>
  <c r="AJ48" i="92" s="1"/>
  <c r="AJ40" i="92"/>
  <c r="AJ49" i="92" s="1"/>
  <c r="AJ42" i="92"/>
  <c r="AJ51" i="92" s="1"/>
  <c r="AJ20" i="93" l="1"/>
  <c r="AJ26" i="93"/>
  <c r="AK20" i="93"/>
  <c r="AK26" i="93"/>
  <c r="AN34" i="93"/>
  <c r="AN35" i="93" s="1"/>
  <c r="AK35" i="92"/>
  <c r="AK40" i="92"/>
  <c r="AK49" i="92" s="1"/>
  <c r="AK39" i="92"/>
  <c r="AK48" i="92" s="1"/>
  <c r="AL32" i="92"/>
  <c r="AL35" i="92" s="1"/>
  <c r="AO6" i="93"/>
  <c r="AP4" i="93"/>
  <c r="AO5" i="93"/>
  <c r="AP5" i="92"/>
  <c r="AP6" i="92"/>
  <c r="AP8" i="92" s="1"/>
  <c r="AP29" i="92" s="1"/>
  <c r="AP22" i="93" s="1"/>
  <c r="AQ4" i="92"/>
  <c r="AM30" i="92"/>
  <c r="AN27" i="92" s="1"/>
  <c r="AL7" i="92"/>
  <c r="AO34" i="93" l="1"/>
  <c r="AO35" i="93" s="1"/>
  <c r="AL19" i="93"/>
  <c r="AQ6" i="92"/>
  <c r="AQ8" i="92" s="1"/>
  <c r="AQ29" i="92" s="1"/>
  <c r="AQ22" i="93" s="1"/>
  <c r="AR4" i="92"/>
  <c r="AQ5" i="92"/>
  <c r="AL40" i="92"/>
  <c r="AL49" i="92" s="1"/>
  <c r="AL42" i="92"/>
  <c r="AL51" i="92" s="1"/>
  <c r="AL39" i="92"/>
  <c r="AL48" i="92" s="1"/>
  <c r="AN30" i="92"/>
  <c r="AO27" i="92" s="1"/>
  <c r="AM7" i="92"/>
  <c r="AP6" i="93"/>
  <c r="AP5" i="93"/>
  <c r="AQ4" i="93"/>
  <c r="AM32" i="92"/>
  <c r="AL20" i="93" l="1"/>
  <c r="AL26" i="93"/>
  <c r="AN32" i="92"/>
  <c r="AP34" i="93"/>
  <c r="AP35" i="93" s="1"/>
  <c r="AM39" i="92"/>
  <c r="AM48" i="92" s="1"/>
  <c r="AM42" i="92"/>
  <c r="AM51" i="92" s="1"/>
  <c r="AM40" i="92"/>
  <c r="AM49" i="92" s="1"/>
  <c r="AO30" i="92"/>
  <c r="AP27" i="92" s="1"/>
  <c r="AN7" i="92"/>
  <c r="AR6" i="92"/>
  <c r="AR8" i="92" s="1"/>
  <c r="AR29" i="92" s="1"/>
  <c r="AR22" i="93" s="1"/>
  <c r="AS4" i="92"/>
  <c r="AR5" i="92"/>
  <c r="AM19" i="93"/>
  <c r="AM35" i="92"/>
  <c r="AQ6" i="93"/>
  <c r="AQ5" i="93"/>
  <c r="AR4" i="93"/>
  <c r="AM20" i="93" l="1"/>
  <c r="AM26" i="93"/>
  <c r="AQ34" i="93"/>
  <c r="AQ35" i="93" s="1"/>
  <c r="AP30" i="92"/>
  <c r="AQ27" i="92" s="1"/>
  <c r="AO7" i="92"/>
  <c r="AO32" i="92"/>
  <c r="AN19" i="93"/>
  <c r="AN35" i="92"/>
  <c r="AS6" i="92"/>
  <c r="AS8" i="92" s="1"/>
  <c r="AS29" i="92" s="1"/>
  <c r="AS22" i="93" s="1"/>
  <c r="AT4" i="92"/>
  <c r="AS5" i="92"/>
  <c r="AR6" i="93"/>
  <c r="AR5" i="93"/>
  <c r="AS4" i="93"/>
  <c r="AN42" i="92"/>
  <c r="AN51" i="92" s="1"/>
  <c r="AN39" i="92"/>
  <c r="AN48" i="92" s="1"/>
  <c r="AN40" i="92"/>
  <c r="AN49" i="92" s="1"/>
  <c r="AN20" i="93" l="1"/>
  <c r="AN26" i="93"/>
  <c r="AO42" i="92"/>
  <c r="AO51" i="92" s="1"/>
  <c r="AO39" i="92"/>
  <c r="AO48" i="92" s="1"/>
  <c r="AO40" i="92"/>
  <c r="AO49" i="92" s="1"/>
  <c r="AU4" i="92"/>
  <c r="AT6" i="92"/>
  <c r="AT8" i="92" s="1"/>
  <c r="AT29" i="92" s="1"/>
  <c r="AT22" i="93" s="1"/>
  <c r="AT5" i="92"/>
  <c r="AQ30" i="92"/>
  <c r="AR27" i="92" s="1"/>
  <c r="AP7" i="92"/>
  <c r="AP32" i="92"/>
  <c r="AO35" i="92"/>
  <c r="AO19" i="93"/>
  <c r="AR34" i="93"/>
  <c r="AR35" i="93" s="1"/>
  <c r="AS5" i="93"/>
  <c r="AS6" i="93"/>
  <c r="AT4" i="93"/>
  <c r="AO20" i="93" l="1"/>
  <c r="AO26" i="93"/>
  <c r="AQ7" i="92"/>
  <c r="AQ42" i="92" s="1"/>
  <c r="AQ51" i="92" s="1"/>
  <c r="AQ32" i="92"/>
  <c r="AQ19" i="93" s="1"/>
  <c r="AV4" i="92"/>
  <c r="AU6" i="92"/>
  <c r="AU8" i="92" s="1"/>
  <c r="AU29" i="92" s="1"/>
  <c r="AU22" i="93" s="1"/>
  <c r="AU5" i="92"/>
  <c r="AT5" i="93"/>
  <c r="AU4" i="93"/>
  <c r="AT6" i="93"/>
  <c r="AP19" i="93"/>
  <c r="AP35" i="92"/>
  <c r="AP42" i="92"/>
  <c r="AP51" i="92" s="1"/>
  <c r="AP39" i="92"/>
  <c r="AP48" i="92" s="1"/>
  <c r="AP40" i="92"/>
  <c r="AP49" i="92" s="1"/>
  <c r="AS34" i="93"/>
  <c r="AS35" i="93" s="1"/>
  <c r="AR30" i="92"/>
  <c r="AS27" i="92" s="1"/>
  <c r="AP20" i="93" l="1"/>
  <c r="AP26" i="93"/>
  <c r="AQ20" i="93"/>
  <c r="AQ26" i="93"/>
  <c r="AQ35" i="92"/>
  <c r="AQ39" i="92"/>
  <c r="AQ48" i="92" s="1"/>
  <c r="AQ40" i="92"/>
  <c r="AQ49" i="92" s="1"/>
  <c r="AR7" i="92"/>
  <c r="AR39" i="92" s="1"/>
  <c r="AR48" i="92" s="1"/>
  <c r="AS30" i="92"/>
  <c r="AT27" i="92" s="1"/>
  <c r="AV6" i="92"/>
  <c r="AV8" i="92" s="1"/>
  <c r="AV29" i="92" s="1"/>
  <c r="AV22" i="93" s="1"/>
  <c r="AV5" i="92"/>
  <c r="AW4" i="92"/>
  <c r="AV4" i="93"/>
  <c r="AU5" i="93"/>
  <c r="AU6" i="93"/>
  <c r="AT34" i="93"/>
  <c r="AT35" i="93" s="1"/>
  <c r="AR32" i="92"/>
  <c r="AR40" i="92" l="1"/>
  <c r="AR49" i="92" s="1"/>
  <c r="AR42" i="92"/>
  <c r="AR51" i="92" s="1"/>
  <c r="AS32" i="92"/>
  <c r="AS35" i="92" s="1"/>
  <c r="AS7" i="92"/>
  <c r="AS42" i="92" s="1"/>
  <c r="AS51" i="92" s="1"/>
  <c r="AR19" i="93"/>
  <c r="AR35" i="92"/>
  <c r="AW6" i="92"/>
  <c r="AW8" i="92" s="1"/>
  <c r="AW29" i="92" s="1"/>
  <c r="AW22" i="93" s="1"/>
  <c r="AW5" i="92"/>
  <c r="AX4" i="92"/>
  <c r="AT30" i="92"/>
  <c r="AU27" i="92" s="1"/>
  <c r="AV5" i="93"/>
  <c r="AV6" i="93"/>
  <c r="AW4" i="93"/>
  <c r="AU34" i="93"/>
  <c r="AU35" i="93" s="1"/>
  <c r="AR20" i="93" l="1"/>
  <c r="AR26" i="93"/>
  <c r="AS40" i="92"/>
  <c r="AS49" i="92" s="1"/>
  <c r="AS39" i="92"/>
  <c r="AS48" i="92" s="1"/>
  <c r="AS19" i="93"/>
  <c r="AT32" i="92"/>
  <c r="AU30" i="92"/>
  <c r="AV27" i="92" s="1"/>
  <c r="AW5" i="93"/>
  <c r="AW6" i="93"/>
  <c r="AX4" i="93"/>
  <c r="AV34" i="93"/>
  <c r="AV35" i="93" s="1"/>
  <c r="AY4" i="92"/>
  <c r="AX6" i="92"/>
  <c r="AX8" i="92" s="1"/>
  <c r="AX29" i="92" s="1"/>
  <c r="AX22" i="93" s="1"/>
  <c r="AX5" i="92"/>
  <c r="AT7" i="92"/>
  <c r="AS20" i="93" l="1"/>
  <c r="AS26" i="93"/>
  <c r="AU32" i="92"/>
  <c r="AU19" i="93" s="1"/>
  <c r="AU7" i="92"/>
  <c r="AU42" i="92" s="1"/>
  <c r="AU51" i="92" s="1"/>
  <c r="AW34" i="93"/>
  <c r="AW35" i="93" s="1"/>
  <c r="AT40" i="92"/>
  <c r="AT49" i="92" s="1"/>
  <c r="AT42" i="92"/>
  <c r="AT51" i="92" s="1"/>
  <c r="AT39" i="92"/>
  <c r="AT48" i="92" s="1"/>
  <c r="AV30" i="92"/>
  <c r="AW27" i="92" s="1"/>
  <c r="AY5" i="92"/>
  <c r="AY6" i="92"/>
  <c r="AY8" i="92" s="1"/>
  <c r="AY29" i="92" s="1"/>
  <c r="AY22" i="93" s="1"/>
  <c r="AZ4" i="92"/>
  <c r="AY4" i="93"/>
  <c r="AX6" i="93"/>
  <c r="AX5" i="93"/>
  <c r="AT19" i="93"/>
  <c r="AT35" i="92"/>
  <c r="AT20" i="93" l="1"/>
  <c r="AT26" i="93"/>
  <c r="AU20" i="93"/>
  <c r="AU26" i="93"/>
  <c r="AU39" i="92"/>
  <c r="AU48" i="92" s="1"/>
  <c r="AU40" i="92"/>
  <c r="AU49" i="92" s="1"/>
  <c r="AU35" i="92"/>
  <c r="AY6" i="93"/>
  <c r="AZ4" i="93"/>
  <c r="AY5" i="93"/>
  <c r="AW30" i="92"/>
  <c r="AX27" i="92" s="1"/>
  <c r="AV7" i="92"/>
  <c r="AV32" i="92"/>
  <c r="AZ5" i="92"/>
  <c r="BA4" i="92"/>
  <c r="AZ6" i="92"/>
  <c r="AZ8" i="92" s="1"/>
  <c r="AZ29" i="92" s="1"/>
  <c r="AZ22" i="93" s="1"/>
  <c r="AX34" i="93"/>
  <c r="AX35" i="93" s="1"/>
  <c r="AY34" i="93" l="1"/>
  <c r="AY35" i="93" s="1"/>
  <c r="AW7" i="92"/>
  <c r="AW39" i="92" s="1"/>
  <c r="AW48" i="92" s="1"/>
  <c r="AW32" i="92"/>
  <c r="AW35" i="92" s="1"/>
  <c r="BA5" i="92"/>
  <c r="BA6" i="92"/>
  <c r="BA8" i="92" s="1"/>
  <c r="BA29" i="92" s="1"/>
  <c r="BA22" i="93" s="1"/>
  <c r="BB4" i="92"/>
  <c r="AV19" i="93"/>
  <c r="AV35" i="92"/>
  <c r="BA4" i="93"/>
  <c r="AZ5" i="93"/>
  <c r="AZ6" i="93"/>
  <c r="AV39" i="92"/>
  <c r="AV48" i="92" s="1"/>
  <c r="AV40" i="92"/>
  <c r="AV49" i="92" s="1"/>
  <c r="AV42" i="92"/>
  <c r="AV51" i="92" s="1"/>
  <c r="AX30" i="92"/>
  <c r="AY27" i="92" s="1"/>
  <c r="AV20" i="93" l="1"/>
  <c r="AV26" i="93"/>
  <c r="AW19" i="93"/>
  <c r="AW42" i="92"/>
  <c r="AW51" i="92" s="1"/>
  <c r="AW40" i="92"/>
  <c r="AW49" i="92" s="1"/>
  <c r="BB5" i="92"/>
  <c r="BB6" i="92"/>
  <c r="BB8" i="92" s="1"/>
  <c r="BB29" i="92" s="1"/>
  <c r="BB22" i="93" s="1"/>
  <c r="BC4" i="92"/>
  <c r="AZ34" i="93"/>
  <c r="AZ35" i="93" s="1"/>
  <c r="AX32" i="92"/>
  <c r="BA6" i="93"/>
  <c r="BB4" i="93"/>
  <c r="BA5" i="93"/>
  <c r="AY30" i="92"/>
  <c r="AZ27" i="92" s="1"/>
  <c r="AX7" i="92"/>
  <c r="AW20" i="93" l="1"/>
  <c r="AW26" i="93"/>
  <c r="BA34" i="93"/>
  <c r="BA35" i="93" s="1"/>
  <c r="AY7" i="92"/>
  <c r="AY39" i="92" s="1"/>
  <c r="AY48" i="92" s="1"/>
  <c r="BC4" i="93"/>
  <c r="BB5" i="93"/>
  <c r="BB6" i="93"/>
  <c r="AZ30" i="92"/>
  <c r="BA27" i="92" s="1"/>
  <c r="AY32" i="92"/>
  <c r="BC6" i="92"/>
  <c r="BC8" i="92" s="1"/>
  <c r="BC29" i="92" s="1"/>
  <c r="BC22" i="93" s="1"/>
  <c r="BD4" i="92"/>
  <c r="BC5" i="92"/>
  <c r="AX19" i="93"/>
  <c r="AX35" i="92"/>
  <c r="AX39" i="92"/>
  <c r="AX48" i="92" s="1"/>
  <c r="AX40" i="92"/>
  <c r="AX49" i="92" s="1"/>
  <c r="AX42" i="92"/>
  <c r="AX51" i="92" s="1"/>
  <c r="AX20" i="93" l="1"/>
  <c r="AX26" i="93"/>
  <c r="AY42" i="92"/>
  <c r="AY51" i="92" s="1"/>
  <c r="AY40" i="92"/>
  <c r="AY49" i="92" s="1"/>
  <c r="AZ7" i="92"/>
  <c r="BB34" i="93"/>
  <c r="BB35" i="93" s="1"/>
  <c r="BC5" i="93"/>
  <c r="BD4" i="93"/>
  <c r="BC6" i="93"/>
  <c r="BE4" i="92"/>
  <c r="BD5" i="92"/>
  <c r="BD6" i="92"/>
  <c r="BD8" i="92" s="1"/>
  <c r="BD29" i="92" s="1"/>
  <c r="BD22" i="93" s="1"/>
  <c r="BA30" i="92"/>
  <c r="BB27" i="92" s="1"/>
  <c r="AZ32" i="92"/>
  <c r="AY19" i="93"/>
  <c r="AY35" i="92"/>
  <c r="AY20" i="93" l="1"/>
  <c r="AY26" i="93"/>
  <c r="BA32" i="92"/>
  <c r="BA19" i="93" s="1"/>
  <c r="BA7" i="92"/>
  <c r="BA42" i="92" s="1"/>
  <c r="BA51" i="92" s="1"/>
  <c r="BE5" i="92"/>
  <c r="BE6" i="92"/>
  <c r="BE8" i="92" s="1"/>
  <c r="BE29" i="92" s="1"/>
  <c r="BE22" i="93" s="1"/>
  <c r="BF4" i="92"/>
  <c r="BD5" i="93"/>
  <c r="BD6" i="93"/>
  <c r="BE4" i="93"/>
  <c r="AZ19" i="93"/>
  <c r="AZ35" i="92"/>
  <c r="AZ42" i="92"/>
  <c r="AZ51" i="92" s="1"/>
  <c r="AZ39" i="92"/>
  <c r="AZ48" i="92" s="1"/>
  <c r="AZ40" i="92"/>
  <c r="AZ49" i="92" s="1"/>
  <c r="BC34" i="93"/>
  <c r="BC35" i="93" s="1"/>
  <c r="BB30" i="92"/>
  <c r="BC27" i="92" s="1"/>
  <c r="AZ20" i="93" l="1"/>
  <c r="AZ26" i="93"/>
  <c r="BA20" i="93"/>
  <c r="BA26" i="93"/>
  <c r="BA40" i="92"/>
  <c r="BA49" i="92" s="1"/>
  <c r="BA39" i="92"/>
  <c r="BA48" i="92" s="1"/>
  <c r="BA35" i="92"/>
  <c r="BE5" i="93"/>
  <c r="BE6" i="93"/>
  <c r="BF4" i="93"/>
  <c r="BG4" i="92"/>
  <c r="BF5" i="92"/>
  <c r="BF6" i="92"/>
  <c r="BF8" i="92" s="1"/>
  <c r="BF29" i="92" s="1"/>
  <c r="BF22" i="93" s="1"/>
  <c r="BB7" i="92"/>
  <c r="BD34" i="93"/>
  <c r="BD35" i="93" s="1"/>
  <c r="BC30" i="92"/>
  <c r="BD27" i="92" s="1"/>
  <c r="BB32" i="92"/>
  <c r="BE34" i="93" l="1"/>
  <c r="BE35" i="93" s="1"/>
  <c r="BC32" i="92"/>
  <c r="BC19" i="93" s="1"/>
  <c r="BC7" i="92"/>
  <c r="BC40" i="92" s="1"/>
  <c r="BC49" i="92" s="1"/>
  <c r="BB40" i="92"/>
  <c r="BB49" i="92" s="1"/>
  <c r="BB42" i="92"/>
  <c r="BB51" i="92" s="1"/>
  <c r="BB39" i="92"/>
  <c r="BB48" i="92" s="1"/>
  <c r="BG6" i="92"/>
  <c r="BG8" i="92" s="1"/>
  <c r="BG29" i="92" s="1"/>
  <c r="BG22" i="93" s="1"/>
  <c r="BG5" i="92"/>
  <c r="BH4" i="92"/>
  <c r="BB19" i="93"/>
  <c r="BB35" i="92"/>
  <c r="BF5" i="93"/>
  <c r="BF6" i="93"/>
  <c r="BG4" i="93"/>
  <c r="BD30" i="92"/>
  <c r="BE27" i="92" s="1"/>
  <c r="BB20" i="93" l="1"/>
  <c r="BB26" i="93"/>
  <c r="BC20" i="93"/>
  <c r="BC26" i="93"/>
  <c r="BC39" i="92"/>
  <c r="BC48" i="92" s="1"/>
  <c r="BC35" i="92"/>
  <c r="BC42" i="92"/>
  <c r="BC51" i="92" s="1"/>
  <c r="BI4" i="92"/>
  <c r="BH6" i="92"/>
  <c r="BH8" i="92" s="1"/>
  <c r="BH29" i="92" s="1"/>
  <c r="BH22" i="93" s="1"/>
  <c r="BH5" i="92"/>
  <c r="BD7" i="92"/>
  <c r="BD32" i="92"/>
  <c r="BG6" i="93"/>
  <c r="BG5" i="93"/>
  <c r="BH4" i="93"/>
  <c r="BE30" i="92"/>
  <c r="BF27" i="92" s="1"/>
  <c r="BF34" i="93"/>
  <c r="BF35" i="93" s="1"/>
  <c r="BG34" i="93" l="1"/>
  <c r="BG35" i="93" s="1"/>
  <c r="BE32" i="92"/>
  <c r="BE19" i="93" s="1"/>
  <c r="BE7" i="92"/>
  <c r="BE39" i="92" s="1"/>
  <c r="BE48" i="92" s="1"/>
  <c r="BD19" i="93"/>
  <c r="BD35" i="92"/>
  <c r="BD42" i="92"/>
  <c r="BD51" i="92" s="1"/>
  <c r="BD40" i="92"/>
  <c r="BD49" i="92" s="1"/>
  <c r="BD39" i="92"/>
  <c r="BD48" i="92" s="1"/>
  <c r="BI4" i="93"/>
  <c r="BH5" i="93"/>
  <c r="BH6" i="93"/>
  <c r="BI6" i="92"/>
  <c r="BI8" i="92" s="1"/>
  <c r="BI29" i="92" s="1"/>
  <c r="BI22" i="93" s="1"/>
  <c r="BI5" i="92"/>
  <c r="BJ4" i="92"/>
  <c r="BF30" i="92"/>
  <c r="BG27" i="92" s="1"/>
  <c r="BD20" i="93" l="1"/>
  <c r="BD26" i="93"/>
  <c r="BE20" i="93"/>
  <c r="BE26" i="93"/>
  <c r="BH34" i="93"/>
  <c r="BH35" i="93" s="1"/>
  <c r="BE40" i="92"/>
  <c r="BE49" i="92" s="1"/>
  <c r="BE42" i="92"/>
  <c r="BE51" i="92" s="1"/>
  <c r="BE35" i="92"/>
  <c r="BI5" i="93"/>
  <c r="BI6" i="93"/>
  <c r="BJ4" i="93"/>
  <c r="BG30" i="92"/>
  <c r="BH27" i="92" s="1"/>
  <c r="BF7" i="92"/>
  <c r="BF32" i="92"/>
  <c r="BJ6" i="92"/>
  <c r="BJ8" i="92" s="1"/>
  <c r="BJ29" i="92" s="1"/>
  <c r="BJ22" i="93" s="1"/>
  <c r="BJ5" i="92"/>
  <c r="BK4" i="92"/>
  <c r="BI34" i="93" l="1"/>
  <c r="BI35" i="93" s="1"/>
  <c r="BF19" i="93"/>
  <c r="BF35" i="92"/>
  <c r="BF39" i="92"/>
  <c r="BF48" i="92" s="1"/>
  <c r="BF40" i="92"/>
  <c r="BF49" i="92" s="1"/>
  <c r="BF42" i="92"/>
  <c r="BF51" i="92" s="1"/>
  <c r="BH30" i="92"/>
  <c r="BI27" i="92" s="1"/>
  <c r="BG7" i="92"/>
  <c r="BG32" i="92"/>
  <c r="BK4" i="93"/>
  <c r="BJ6" i="93"/>
  <c r="BJ5" i="93"/>
  <c r="BK5" i="92"/>
  <c r="BK6" i="92"/>
  <c r="BK8" i="92" s="1"/>
  <c r="BK29" i="92" s="1"/>
  <c r="BK22" i="93" s="1"/>
  <c r="BL4" i="92"/>
  <c r="BF20" i="93" l="1"/>
  <c r="BF26" i="93"/>
  <c r="BH32" i="92"/>
  <c r="BH19" i="93" s="1"/>
  <c r="BG19" i="93"/>
  <c r="BG35" i="92"/>
  <c r="BG42" i="92"/>
  <c r="BG51" i="92" s="1"/>
  <c r="BG39" i="92"/>
  <c r="BG48" i="92" s="1"/>
  <c r="BG40" i="92"/>
  <c r="BG49" i="92" s="1"/>
  <c r="BL5" i="92"/>
  <c r="BL6" i="92"/>
  <c r="BL8" i="92" s="1"/>
  <c r="BL29" i="92" s="1"/>
  <c r="BL22" i="93" s="1"/>
  <c r="BM4" i="92"/>
  <c r="BI30" i="92"/>
  <c r="BJ27" i="92" s="1"/>
  <c r="BH7" i="92"/>
  <c r="BK6" i="93"/>
  <c r="BL4" i="93"/>
  <c r="BK5" i="93"/>
  <c r="BJ34" i="93"/>
  <c r="BJ35" i="93" s="1"/>
  <c r="BH20" i="93" l="1"/>
  <c r="BH26" i="93"/>
  <c r="BG20" i="93"/>
  <c r="BG26" i="93"/>
  <c r="BK34" i="93"/>
  <c r="BK35" i="93" s="1"/>
  <c r="BH35" i="92"/>
  <c r="BM4" i="93"/>
  <c r="BL6" i="93"/>
  <c r="BL5" i="93"/>
  <c r="BI7" i="92"/>
  <c r="BI32" i="92"/>
  <c r="BJ30" i="92"/>
  <c r="BK27" i="92" s="1"/>
  <c r="BM6" i="92"/>
  <c r="BM8" i="92" s="1"/>
  <c r="BM29" i="92" s="1"/>
  <c r="BM22" i="93" s="1"/>
  <c r="BM5" i="92"/>
  <c r="BN4" i="92"/>
  <c r="BH40" i="92"/>
  <c r="BH49" i="92" s="1"/>
  <c r="BH39" i="92"/>
  <c r="BH48" i="92" s="1"/>
  <c r="BH42" i="92"/>
  <c r="BH51" i="92" s="1"/>
  <c r="BK30" i="92" l="1"/>
  <c r="BL27" i="92" s="1"/>
  <c r="BJ32" i="92"/>
  <c r="BI42" i="92"/>
  <c r="BI51" i="92" s="1"/>
  <c r="BI40" i="92"/>
  <c r="BI49" i="92" s="1"/>
  <c r="BI39" i="92"/>
  <c r="BI48" i="92" s="1"/>
  <c r="BL34" i="93"/>
  <c r="BL35" i="93" s="1"/>
  <c r="BN5" i="92"/>
  <c r="BO4" i="92"/>
  <c r="BN6" i="92"/>
  <c r="BN8" i="92" s="1"/>
  <c r="BN29" i="92" s="1"/>
  <c r="BN22" i="93" s="1"/>
  <c r="BM6" i="93"/>
  <c r="BN4" i="93"/>
  <c r="BM5" i="93"/>
  <c r="BI19" i="93"/>
  <c r="BI35" i="92"/>
  <c r="BJ7" i="92"/>
  <c r="BI20" i="93" l="1"/>
  <c r="BI26" i="93"/>
  <c r="BM34" i="93"/>
  <c r="BM35" i="93" s="1"/>
  <c r="BL30" i="92"/>
  <c r="BM27" i="92" s="1"/>
  <c r="BO4" i="93"/>
  <c r="BN6" i="93"/>
  <c r="BN5" i="93"/>
  <c r="BJ19" i="93"/>
  <c r="BJ35" i="92"/>
  <c r="BK32" i="92"/>
  <c r="BJ40" i="92"/>
  <c r="BJ49" i="92" s="1"/>
  <c r="BJ42" i="92"/>
  <c r="BJ51" i="92" s="1"/>
  <c r="BJ39" i="92"/>
  <c r="BJ48" i="92" s="1"/>
  <c r="BO5" i="92"/>
  <c r="BO6" i="92"/>
  <c r="BO8" i="92" s="1"/>
  <c r="BO29" i="92" s="1"/>
  <c r="BO22" i="93" s="1"/>
  <c r="BP4" i="92"/>
  <c r="BK7" i="92"/>
  <c r="BJ20" i="93" l="1"/>
  <c r="BJ26" i="93"/>
  <c r="BN34" i="93"/>
  <c r="BN35" i="93" s="1"/>
  <c r="BL32" i="92"/>
  <c r="BL7" i="92"/>
  <c r="BP4" i="93"/>
  <c r="BO6" i="93"/>
  <c r="BO5" i="93"/>
  <c r="BM30" i="92"/>
  <c r="BN27" i="92" s="1"/>
  <c r="BK19" i="93"/>
  <c r="BK35" i="92"/>
  <c r="BK39" i="92"/>
  <c r="BK48" i="92" s="1"/>
  <c r="BK40" i="92"/>
  <c r="BK49" i="92" s="1"/>
  <c r="BK42" i="92"/>
  <c r="BK51" i="92" s="1"/>
  <c r="BP6" i="92"/>
  <c r="BP8" i="92" s="1"/>
  <c r="BP29" i="92" s="1"/>
  <c r="BP22" i="93" s="1"/>
  <c r="BQ4" i="92"/>
  <c r="BP5" i="92"/>
  <c r="BK20" i="93" l="1"/>
  <c r="BK26" i="93"/>
  <c r="BO34" i="93"/>
  <c r="BO35" i="93" s="1"/>
  <c r="BM7" i="92"/>
  <c r="BM39" i="92" s="1"/>
  <c r="BM48" i="92" s="1"/>
  <c r="BP5" i="93"/>
  <c r="BP6" i="93"/>
  <c r="BQ4" i="93"/>
  <c r="BL19" i="93"/>
  <c r="BL35" i="92"/>
  <c r="BL40" i="92"/>
  <c r="BL49" i="92" s="1"/>
  <c r="BL39" i="92"/>
  <c r="BL48" i="92" s="1"/>
  <c r="BL42" i="92"/>
  <c r="BL51" i="92" s="1"/>
  <c r="BN30" i="92"/>
  <c r="BO27" i="92" s="1"/>
  <c r="BQ5" i="92"/>
  <c r="BR4" i="92"/>
  <c r="BQ6" i="92"/>
  <c r="BQ8" i="92" s="1"/>
  <c r="BQ29" i="92" s="1"/>
  <c r="BQ22" i="93" s="1"/>
  <c r="BM32" i="92"/>
  <c r="BL20" i="93" l="1"/>
  <c r="BL26" i="93"/>
  <c r="BP34" i="93"/>
  <c r="BP35" i="93" s="1"/>
  <c r="BM40" i="92"/>
  <c r="BM49" i="92" s="1"/>
  <c r="BM42" i="92"/>
  <c r="BM51" i="92" s="1"/>
  <c r="BQ5" i="93"/>
  <c r="BR4" i="93"/>
  <c r="BQ6" i="93"/>
  <c r="BM19" i="93"/>
  <c r="BM35" i="92"/>
  <c r="BS4" i="92"/>
  <c r="BR5" i="92"/>
  <c r="BR6" i="92"/>
  <c r="BR8" i="92" s="1"/>
  <c r="BR29" i="92" s="1"/>
  <c r="BR22" i="93" s="1"/>
  <c r="BN7" i="92"/>
  <c r="BN32" i="92"/>
  <c r="BO30" i="92"/>
  <c r="BP27" i="92" s="1"/>
  <c r="BM20" i="93" l="1"/>
  <c r="BM26" i="93"/>
  <c r="BQ34" i="93"/>
  <c r="BQ35" i="93" s="1"/>
  <c r="BS6" i="92"/>
  <c r="BS8" i="92" s="1"/>
  <c r="BS29" i="92" s="1"/>
  <c r="BS22" i="93" s="1"/>
  <c r="BT4" i="92"/>
  <c r="BS5" i="92"/>
  <c r="BN42" i="92"/>
  <c r="BN51" i="92" s="1"/>
  <c r="BN40" i="92"/>
  <c r="BN49" i="92" s="1"/>
  <c r="BN39" i="92"/>
  <c r="BN48" i="92" s="1"/>
  <c r="BP30" i="92"/>
  <c r="BQ27" i="92" s="1"/>
  <c r="BO7" i="92"/>
  <c r="BO32" i="92"/>
  <c r="BN19" i="93"/>
  <c r="BN35" i="92"/>
  <c r="BR5" i="93"/>
  <c r="BR6" i="93"/>
  <c r="BS4" i="93"/>
  <c r="BN20" i="93" l="1"/>
  <c r="BN26" i="93"/>
  <c r="BO35" i="92"/>
  <c r="BO19" i="93"/>
  <c r="BT6" i="92"/>
  <c r="BT8" i="92" s="1"/>
  <c r="BT29" i="92" s="1"/>
  <c r="BT22" i="93" s="1"/>
  <c r="BU4" i="92"/>
  <c r="BT5" i="92"/>
  <c r="BO42" i="92"/>
  <c r="BO51" i="92" s="1"/>
  <c r="BO39" i="92"/>
  <c r="BO48" i="92" s="1"/>
  <c r="BO40" i="92"/>
  <c r="BO49" i="92" s="1"/>
  <c r="BR34" i="93"/>
  <c r="BR35" i="93" s="1"/>
  <c r="BP7" i="92"/>
  <c r="BP32" i="92"/>
  <c r="BS5" i="93"/>
  <c r="BS6" i="93"/>
  <c r="BT4" i="93"/>
  <c r="BQ30" i="92"/>
  <c r="BR27" i="92" s="1"/>
  <c r="BO20" i="93" l="1"/>
  <c r="BO26" i="93"/>
  <c r="BU6" i="92"/>
  <c r="BU8" i="92" s="1"/>
  <c r="BU29" i="92" s="1"/>
  <c r="BU22" i="93" s="1"/>
  <c r="BV4" i="92"/>
  <c r="BU5" i="92"/>
  <c r="BR30" i="92"/>
  <c r="BS27" i="92" s="1"/>
  <c r="BQ32" i="92"/>
  <c r="BQ7" i="92"/>
  <c r="BT5" i="93"/>
  <c r="BT6" i="93"/>
  <c r="BU4" i="93"/>
  <c r="BP42" i="92"/>
  <c r="BP51" i="92" s="1"/>
  <c r="BP39" i="92"/>
  <c r="BP48" i="92" s="1"/>
  <c r="BP40" i="92"/>
  <c r="BP49" i="92" s="1"/>
  <c r="BS34" i="93"/>
  <c r="BS35" i="93" s="1"/>
  <c r="BP35" i="92"/>
  <c r="BP19" i="93"/>
  <c r="BP20" i="93" l="1"/>
  <c r="BP26" i="93"/>
  <c r="BT34" i="93"/>
  <c r="BT35" i="93" s="1"/>
  <c r="BQ40" i="92"/>
  <c r="BQ49" i="92" s="1"/>
  <c r="BQ39" i="92"/>
  <c r="BQ48" i="92" s="1"/>
  <c r="BQ42" i="92"/>
  <c r="BQ51" i="92" s="1"/>
  <c r="BV6" i="92"/>
  <c r="BV8" i="92" s="1"/>
  <c r="BV29" i="92" s="1"/>
  <c r="BV22" i="93" s="1"/>
  <c r="BV5" i="92"/>
  <c r="BW4" i="92"/>
  <c r="BR32" i="92"/>
  <c r="BU6" i="93"/>
  <c r="BV4" i="93"/>
  <c r="BU5" i="93"/>
  <c r="BQ35" i="92"/>
  <c r="BQ19" i="93"/>
  <c r="BS30" i="92"/>
  <c r="BT27" i="92" s="1"/>
  <c r="BR7" i="92"/>
  <c r="BQ20" i="93" l="1"/>
  <c r="BQ26" i="93"/>
  <c r="BU34" i="93"/>
  <c r="BU35" i="93" s="1"/>
  <c r="BS7" i="92"/>
  <c r="BS39" i="92" s="1"/>
  <c r="BS48" i="92" s="1"/>
  <c r="BR39" i="92"/>
  <c r="BR48" i="92" s="1"/>
  <c r="BR42" i="92"/>
  <c r="BR51" i="92" s="1"/>
  <c r="BR40" i="92"/>
  <c r="BR49" i="92" s="1"/>
  <c r="BW4" i="93"/>
  <c r="BV6" i="93"/>
  <c r="BV5" i="93"/>
  <c r="BR19" i="93"/>
  <c r="BR35" i="92"/>
  <c r="BT30" i="92"/>
  <c r="BU27" i="92" s="1"/>
  <c r="BW6" i="92"/>
  <c r="BW8" i="92" s="1"/>
  <c r="BW29" i="92" s="1"/>
  <c r="BW22" i="93" s="1"/>
  <c r="BW5" i="92"/>
  <c r="BX4" i="92"/>
  <c r="BS32" i="92"/>
  <c r="BR20" i="93" l="1"/>
  <c r="BR26" i="93"/>
  <c r="BS40" i="92"/>
  <c r="BS49" i="92" s="1"/>
  <c r="BS42" i="92"/>
  <c r="BS51" i="92" s="1"/>
  <c r="BV34" i="93"/>
  <c r="BV35" i="93" s="1"/>
  <c r="BT32" i="92"/>
  <c r="BS19" i="93"/>
  <c r="BS35" i="92"/>
  <c r="BX6" i="92"/>
  <c r="BX8" i="92" s="1"/>
  <c r="BX29" i="92" s="1"/>
  <c r="BX22" i="93" s="1"/>
  <c r="BX5" i="92"/>
  <c r="BY4" i="92"/>
  <c r="BW6" i="93"/>
  <c r="BW5" i="93"/>
  <c r="BX4" i="93"/>
  <c r="BU30" i="92"/>
  <c r="BV27" i="92" s="1"/>
  <c r="BT7" i="92"/>
  <c r="BS20" i="93" l="1"/>
  <c r="BS26" i="93"/>
  <c r="BW34" i="93"/>
  <c r="BW35" i="93" s="1"/>
  <c r="BY5" i="92"/>
  <c r="BY6" i="92"/>
  <c r="BY8" i="92" s="1"/>
  <c r="BY29" i="92" s="1"/>
  <c r="BY22" i="93" s="1"/>
  <c r="BZ4" i="92"/>
  <c r="BT39" i="92"/>
  <c r="BT48" i="92" s="1"/>
  <c r="BT42" i="92"/>
  <c r="BT51" i="92" s="1"/>
  <c r="BT40" i="92"/>
  <c r="BT49" i="92" s="1"/>
  <c r="BV30" i="92"/>
  <c r="BW27" i="92" s="1"/>
  <c r="BU7" i="92"/>
  <c r="BT19" i="93"/>
  <c r="BT35" i="92"/>
  <c r="BU32" i="92"/>
  <c r="BX6" i="93"/>
  <c r="BX5" i="93"/>
  <c r="BY4" i="93"/>
  <c r="BT20" i="93" l="1"/>
  <c r="BT26" i="93"/>
  <c r="BV32" i="92"/>
  <c r="BV19" i="93" s="1"/>
  <c r="BV7" i="92"/>
  <c r="BV42" i="92" s="1"/>
  <c r="BV51" i="92" s="1"/>
  <c r="BU19" i="93"/>
  <c r="BU35" i="92"/>
  <c r="BU42" i="92"/>
  <c r="BU51" i="92" s="1"/>
  <c r="BU39" i="92"/>
  <c r="BU48" i="92" s="1"/>
  <c r="BU40" i="92"/>
  <c r="BU49" i="92" s="1"/>
  <c r="BW30" i="92"/>
  <c r="BX27" i="92" s="1"/>
  <c r="BZ5" i="92"/>
  <c r="CA4" i="92"/>
  <c r="BZ6" i="92"/>
  <c r="BZ8" i="92" s="1"/>
  <c r="BZ29" i="92" s="1"/>
  <c r="BZ22" i="93" s="1"/>
  <c r="BY6" i="93"/>
  <c r="BZ4" i="93"/>
  <c r="BY5" i="93"/>
  <c r="BX34" i="93"/>
  <c r="BX35" i="93" s="1"/>
  <c r="BU20" i="93" l="1"/>
  <c r="BU26" i="93"/>
  <c r="BV20" i="93"/>
  <c r="BV26" i="93"/>
  <c r="BY34" i="93"/>
  <c r="BY35" i="93" s="1"/>
  <c r="BV35" i="92"/>
  <c r="BV40" i="92"/>
  <c r="BV49" i="92" s="1"/>
  <c r="BV39" i="92"/>
  <c r="BV48" i="92" s="1"/>
  <c r="BW32" i="92"/>
  <c r="BW7" i="92"/>
  <c r="CA4" i="93"/>
  <c r="BZ5" i="93"/>
  <c r="BZ6" i="93"/>
  <c r="CA6" i="92"/>
  <c r="CA8" i="92" s="1"/>
  <c r="CA29" i="92" s="1"/>
  <c r="CA22" i="93" s="1"/>
  <c r="CB4" i="92"/>
  <c r="CA5" i="92"/>
  <c r="BX30" i="92"/>
  <c r="BY27" i="92" s="1"/>
  <c r="BX7" i="92" l="1"/>
  <c r="BX42" i="92" s="1"/>
  <c r="BX51" i="92" s="1"/>
  <c r="BW19" i="93"/>
  <c r="BW35" i="92"/>
  <c r="BY30" i="92"/>
  <c r="BZ27" i="92" s="1"/>
  <c r="BX32" i="92"/>
  <c r="BZ34" i="93"/>
  <c r="BZ35" i="93" s="1"/>
  <c r="CB4" i="93"/>
  <c r="CA5" i="93"/>
  <c r="CA6" i="93"/>
  <c r="BW39" i="92"/>
  <c r="BW48" i="92" s="1"/>
  <c r="BW40" i="92"/>
  <c r="BW49" i="92" s="1"/>
  <c r="BW42" i="92"/>
  <c r="BW51" i="92" s="1"/>
  <c r="CC4" i="92"/>
  <c r="CB5" i="92"/>
  <c r="CB6" i="92"/>
  <c r="CB8" i="92" s="1"/>
  <c r="CB29" i="92" s="1"/>
  <c r="CB22" i="93" s="1"/>
  <c r="BW20" i="93" l="1"/>
  <c r="BW26" i="93"/>
  <c r="CA34" i="93"/>
  <c r="CA35" i="93" s="1"/>
  <c r="BX39" i="92"/>
  <c r="BX48" i="92" s="1"/>
  <c r="BX40" i="92"/>
  <c r="BX49" i="92" s="1"/>
  <c r="BZ30" i="92"/>
  <c r="CA27" i="92" s="1"/>
  <c r="BY32" i="92"/>
  <c r="CC4" i="93"/>
  <c r="CB5" i="93"/>
  <c r="CB6" i="93"/>
  <c r="CC6" i="92"/>
  <c r="CC8" i="92" s="1"/>
  <c r="CC29" i="92" s="1"/>
  <c r="CC22" i="93" s="1"/>
  <c r="CC5" i="92"/>
  <c r="CD4" i="92"/>
  <c r="BY7" i="92"/>
  <c r="BX19" i="93"/>
  <c r="BX35" i="92"/>
  <c r="BX20" i="93" l="1"/>
  <c r="BX26" i="93"/>
  <c r="CA30" i="92"/>
  <c r="CB27" i="92" s="1"/>
  <c r="BY40" i="92"/>
  <c r="BY49" i="92" s="1"/>
  <c r="BY39" i="92"/>
  <c r="BY48" i="92" s="1"/>
  <c r="BY42" i="92"/>
  <c r="BY51" i="92" s="1"/>
  <c r="CB34" i="93"/>
  <c r="CB35" i="93" s="1"/>
  <c r="BZ32" i="92"/>
  <c r="BZ7" i="92"/>
  <c r="CE4" i="92"/>
  <c r="CD6" i="92"/>
  <c r="CD8" i="92" s="1"/>
  <c r="CD29" i="92" s="1"/>
  <c r="CD22" i="93" s="1"/>
  <c r="CD5" i="92"/>
  <c r="CC5" i="93"/>
  <c r="CD4" i="93"/>
  <c r="CC6" i="93"/>
  <c r="BY19" i="93"/>
  <c r="BY35" i="92"/>
  <c r="BY20" i="93" l="1"/>
  <c r="BY26" i="93"/>
  <c r="CC34" i="93"/>
  <c r="CC35" i="93" s="1"/>
  <c r="CA32" i="92"/>
  <c r="CA35" i="92" s="1"/>
  <c r="BZ19" i="93"/>
  <c r="BZ35" i="92"/>
  <c r="CD5" i="93"/>
  <c r="CE4" i="93"/>
  <c r="CD6" i="93"/>
  <c r="CB30" i="92"/>
  <c r="CC27" i="92" s="1"/>
  <c r="CA7" i="92"/>
  <c r="CE6" i="92"/>
  <c r="CE8" i="92" s="1"/>
  <c r="CE29" i="92" s="1"/>
  <c r="CE22" i="93" s="1"/>
  <c r="CF4" i="92"/>
  <c r="CE5" i="92"/>
  <c r="BZ39" i="92"/>
  <c r="BZ48" i="92" s="1"/>
  <c r="BZ40" i="92"/>
  <c r="BZ49" i="92" s="1"/>
  <c r="BZ42" i="92"/>
  <c r="BZ51" i="92" s="1"/>
  <c r="BZ20" i="93" l="1"/>
  <c r="BZ26" i="93"/>
  <c r="CA19" i="93"/>
  <c r="CD34" i="93"/>
  <c r="CD35" i="93" s="1"/>
  <c r="CB7" i="92"/>
  <c r="CB39" i="92" s="1"/>
  <c r="CB48" i="92" s="1"/>
  <c r="CB32" i="92"/>
  <c r="CB19" i="93" s="1"/>
  <c r="CC30" i="92"/>
  <c r="CD27" i="92" s="1"/>
  <c r="CE5" i="93"/>
  <c r="CE6" i="93"/>
  <c r="CF4" i="93"/>
  <c r="CG4" i="92"/>
  <c r="CF5" i="92"/>
  <c r="CF6" i="92"/>
  <c r="CF8" i="92" s="1"/>
  <c r="CF29" i="92" s="1"/>
  <c r="CF22" i="93" s="1"/>
  <c r="CA40" i="92"/>
  <c r="CA49" i="92" s="1"/>
  <c r="CA42" i="92"/>
  <c r="CA51" i="92" s="1"/>
  <c r="CA39" i="92"/>
  <c r="CA48" i="92" s="1"/>
  <c r="CB20" i="93" l="1"/>
  <c r="CB26" i="93"/>
  <c r="CA20" i="93"/>
  <c r="CA26" i="93"/>
  <c r="CB35" i="92"/>
  <c r="CB40" i="92"/>
  <c r="CB49" i="92" s="1"/>
  <c r="CB42" i="92"/>
  <c r="CB51" i="92" s="1"/>
  <c r="CD30" i="92"/>
  <c r="CE27" i="92" s="1"/>
  <c r="CG6" i="92"/>
  <c r="CG8" i="92" s="1"/>
  <c r="CG29" i="92" s="1"/>
  <c r="CG22" i="93" s="1"/>
  <c r="CH4" i="92"/>
  <c r="CG5" i="92"/>
  <c r="CC7" i="92"/>
  <c r="CC32" i="92"/>
  <c r="CF5" i="93"/>
  <c r="CF6" i="93"/>
  <c r="CG4" i="93"/>
  <c r="CE34" i="93"/>
  <c r="CE35" i="93" s="1"/>
  <c r="CC42" i="92" l="1"/>
  <c r="CC51" i="92" s="1"/>
  <c r="CC39" i="92"/>
  <c r="CC48" i="92" s="1"/>
  <c r="CC40" i="92"/>
  <c r="CC49" i="92" s="1"/>
  <c r="CC19" i="93"/>
  <c r="CC35" i="92"/>
  <c r="CG5" i="93"/>
  <c r="CG6" i="93"/>
  <c r="CH4" i="93"/>
  <c r="CF34" i="93"/>
  <c r="CF35" i="93" s="1"/>
  <c r="CI4" i="92"/>
  <c r="CH5" i="92"/>
  <c r="CH6" i="92"/>
  <c r="CH8" i="92" s="1"/>
  <c r="CH29" i="92" s="1"/>
  <c r="CH22" i="93" s="1"/>
  <c r="CE30" i="92"/>
  <c r="CF27" i="92" s="1"/>
  <c r="CD7" i="92"/>
  <c r="CD32" i="92"/>
  <c r="CC20" i="93" l="1"/>
  <c r="CC26" i="93"/>
  <c r="CG34" i="93"/>
  <c r="CG35" i="93" s="1"/>
  <c r="CD35" i="92"/>
  <c r="CD19" i="93"/>
  <c r="CD40" i="92"/>
  <c r="CD49" i="92" s="1"/>
  <c r="CD42" i="92"/>
  <c r="CD51" i="92" s="1"/>
  <c r="CD39" i="92"/>
  <c r="CD48" i="92" s="1"/>
  <c r="CI6" i="92"/>
  <c r="CI8" i="92" s="1"/>
  <c r="CI29" i="92" s="1"/>
  <c r="CI22" i="93" s="1"/>
  <c r="CI5" i="92"/>
  <c r="CJ4" i="92"/>
  <c r="CF30" i="92"/>
  <c r="CG27" i="92" s="1"/>
  <c r="CE7" i="92"/>
  <c r="CI4" i="93"/>
  <c r="CH6" i="93"/>
  <c r="CH5" i="93"/>
  <c r="CE32" i="92"/>
  <c r="CD20" i="93" l="1"/>
  <c r="CD26" i="93"/>
  <c r="CH34" i="93"/>
  <c r="CH35" i="93" s="1"/>
  <c r="CF7" i="92"/>
  <c r="CJ6" i="92"/>
  <c r="CJ8" i="92" s="1"/>
  <c r="CJ29" i="92" s="1"/>
  <c r="CJ22" i="93" s="1"/>
  <c r="CJ5" i="92"/>
  <c r="CK4" i="92"/>
  <c r="CF32" i="92"/>
  <c r="CI6" i="93"/>
  <c r="CJ4" i="93"/>
  <c r="CI5" i="93"/>
  <c r="CG30" i="92"/>
  <c r="CH27" i="92" s="1"/>
  <c r="CE19" i="93"/>
  <c r="CE35" i="92"/>
  <c r="CE42" i="92"/>
  <c r="CE51" i="92" s="1"/>
  <c r="CE39" i="92"/>
  <c r="CE48" i="92" s="1"/>
  <c r="CE40" i="92"/>
  <c r="CE49" i="92" s="1"/>
  <c r="CE20" i="93" l="1"/>
  <c r="CE26" i="93"/>
  <c r="CI34" i="93"/>
  <c r="CI35" i="93" s="1"/>
  <c r="CG32" i="92"/>
  <c r="CL4" i="92"/>
  <c r="CK6" i="92"/>
  <c r="CK8" i="92" s="1"/>
  <c r="CK29" i="92" s="1"/>
  <c r="CK22" i="93" s="1"/>
  <c r="CK5" i="92"/>
  <c r="CH30" i="92"/>
  <c r="CI27" i="92" s="1"/>
  <c r="CG7" i="92"/>
  <c r="CF35" i="92"/>
  <c r="CF19" i="93"/>
  <c r="CJ6" i="93"/>
  <c r="CJ5" i="93"/>
  <c r="CK4" i="93"/>
  <c r="CF39" i="92"/>
  <c r="CF48" i="92" s="1"/>
  <c r="CF40" i="92"/>
  <c r="CF49" i="92" s="1"/>
  <c r="CF42" i="92"/>
  <c r="CF51" i="92" s="1"/>
  <c r="CF20" i="93" l="1"/>
  <c r="CF26" i="93"/>
  <c r="CJ34" i="93"/>
  <c r="CJ35" i="93" s="1"/>
  <c r="CG19" i="93"/>
  <c r="CG35" i="92"/>
  <c r="CG42" i="92"/>
  <c r="CG51" i="92" s="1"/>
  <c r="CG40" i="92"/>
  <c r="CG49" i="92" s="1"/>
  <c r="CG39" i="92"/>
  <c r="CG48" i="92" s="1"/>
  <c r="CK6" i="93"/>
  <c r="CK5" i="93"/>
  <c r="CL4" i="93"/>
  <c r="CL5" i="92"/>
  <c r="CL6" i="92"/>
  <c r="CL8" i="92" s="1"/>
  <c r="CL29" i="92" s="1"/>
  <c r="CL22" i="93" s="1"/>
  <c r="CM4" i="92"/>
  <c r="CI30" i="92"/>
  <c r="CJ27" i="92" s="1"/>
  <c r="CH32" i="92"/>
  <c r="CH7" i="92"/>
  <c r="CG20" i="93" l="1"/>
  <c r="CG26" i="93"/>
  <c r="CK34" i="93"/>
  <c r="CK35" i="93" s="1"/>
  <c r="CI32" i="92"/>
  <c r="CI35" i="92" s="1"/>
  <c r="CH40" i="92"/>
  <c r="CH49" i="92" s="1"/>
  <c r="CH39" i="92"/>
  <c r="CH48" i="92" s="1"/>
  <c r="CH42" i="92"/>
  <c r="CH51" i="92" s="1"/>
  <c r="CH19" i="93"/>
  <c r="CH35" i="92"/>
  <c r="CL6" i="93"/>
  <c r="CM4" i="93"/>
  <c r="CL5" i="93"/>
  <c r="CM5" i="92"/>
  <c r="CM6" i="92"/>
  <c r="CM8" i="92" s="1"/>
  <c r="CM29" i="92" s="1"/>
  <c r="CM22" i="93" s="1"/>
  <c r="CN4" i="92"/>
  <c r="CJ30" i="92"/>
  <c r="CK27" i="92" s="1"/>
  <c r="CI7" i="92"/>
  <c r="CH20" i="93" l="1"/>
  <c r="CH26" i="93"/>
  <c r="CI19" i="93"/>
  <c r="CK30" i="92"/>
  <c r="CL27" i="92" s="1"/>
  <c r="CJ7" i="92"/>
  <c r="CJ32" i="92"/>
  <c r="CN6" i="92"/>
  <c r="CN8" i="92" s="1"/>
  <c r="CN29" i="92" s="1"/>
  <c r="CN22" i="93" s="1"/>
  <c r="CO4" i="92"/>
  <c r="CN5" i="92"/>
  <c r="CI40" i="92"/>
  <c r="CI49" i="92" s="1"/>
  <c r="CI42" i="92"/>
  <c r="CI51" i="92" s="1"/>
  <c r="CI39" i="92"/>
  <c r="CI48" i="92" s="1"/>
  <c r="CL34" i="93"/>
  <c r="CL35" i="93" s="1"/>
  <c r="CM6" i="93"/>
  <c r="CN4" i="93"/>
  <c r="CM5" i="93"/>
  <c r="CI20" i="93" l="1"/>
  <c r="CI26" i="93"/>
  <c r="CM34" i="93"/>
  <c r="CM35" i="93" s="1"/>
  <c r="CK7" i="92"/>
  <c r="CO6" i="92"/>
  <c r="CO8" i="92" s="1"/>
  <c r="CO29" i="92" s="1"/>
  <c r="CO22" i="93" s="1"/>
  <c r="CP4" i="92"/>
  <c r="CO5" i="92"/>
  <c r="CL30" i="92"/>
  <c r="CM27" i="92" s="1"/>
  <c r="CK32" i="92"/>
  <c r="CN6" i="93"/>
  <c r="CO4" i="93"/>
  <c r="CN5" i="93"/>
  <c r="CJ19" i="93"/>
  <c r="CJ35" i="92"/>
  <c r="CJ42" i="92"/>
  <c r="CJ51" i="92" s="1"/>
  <c r="CJ40" i="92"/>
  <c r="CJ49" i="92" s="1"/>
  <c r="CJ39" i="92"/>
  <c r="CJ48" i="92" s="1"/>
  <c r="CJ20" i="93" l="1"/>
  <c r="CJ26" i="93"/>
  <c r="CN34" i="93"/>
  <c r="CN35" i="93" s="1"/>
  <c r="CM30" i="92"/>
  <c r="CN27" i="92" s="1"/>
  <c r="CL32" i="92"/>
  <c r="CQ4" i="92"/>
  <c r="CP6" i="92"/>
  <c r="CP8" i="92" s="1"/>
  <c r="CP29" i="92" s="1"/>
  <c r="CP22" i="93" s="1"/>
  <c r="CP5" i="92"/>
  <c r="CK40" i="92"/>
  <c r="CK49" i="92" s="1"/>
  <c r="CK39" i="92"/>
  <c r="CK48" i="92" s="1"/>
  <c r="CK42" i="92"/>
  <c r="CK51" i="92" s="1"/>
  <c r="CL7" i="92"/>
  <c r="CP4" i="93"/>
  <c r="CO6" i="93"/>
  <c r="CO5" i="93"/>
  <c r="CK35" i="92"/>
  <c r="CK19" i="93"/>
  <c r="CK20" i="93" l="1"/>
  <c r="CK26" i="93"/>
  <c r="CM7" i="92"/>
  <c r="CM39" i="92" s="1"/>
  <c r="CM48" i="92" s="1"/>
  <c r="CO34" i="93"/>
  <c r="CO35" i="93" s="1"/>
  <c r="CQ5" i="92"/>
  <c r="CR4" i="92"/>
  <c r="CQ6" i="92"/>
  <c r="CQ8" i="92" s="1"/>
  <c r="CQ29" i="92" s="1"/>
  <c r="CQ22" i="93" s="1"/>
  <c r="CP5" i="93"/>
  <c r="CP6" i="93"/>
  <c r="CQ4" i="93"/>
  <c r="CL19" i="93"/>
  <c r="CL35" i="92"/>
  <c r="CL42" i="92"/>
  <c r="CL51" i="92" s="1"/>
  <c r="CL40" i="92"/>
  <c r="CL49" i="92" s="1"/>
  <c r="CL39" i="92"/>
  <c r="CL48" i="92" s="1"/>
  <c r="CN30" i="92"/>
  <c r="CO27" i="92" s="1"/>
  <c r="CM32" i="92"/>
  <c r="CL20" i="93" l="1"/>
  <c r="CL26" i="93"/>
  <c r="CM42" i="92"/>
  <c r="CM51" i="92" s="1"/>
  <c r="CM40" i="92"/>
  <c r="CM49" i="92" s="1"/>
  <c r="CN32" i="92"/>
  <c r="CN19" i="93" s="1"/>
  <c r="CN7" i="92"/>
  <c r="CN42" i="92" s="1"/>
  <c r="CN51" i="92" s="1"/>
  <c r="CR6" i="92"/>
  <c r="CR8" i="92" s="1"/>
  <c r="CR29" i="92" s="1"/>
  <c r="CR22" i="93" s="1"/>
  <c r="CS4" i="92"/>
  <c r="CR5" i="92"/>
  <c r="CQ5" i="93"/>
  <c r="CR4" i="93"/>
  <c r="CQ6" i="93"/>
  <c r="CM19" i="93"/>
  <c r="CM35" i="92"/>
  <c r="CO30" i="92"/>
  <c r="CP27" i="92" s="1"/>
  <c r="CP34" i="93"/>
  <c r="CP35" i="93" s="1"/>
  <c r="CN20" i="93" l="1"/>
  <c r="CN26" i="93"/>
  <c r="CM20" i="93"/>
  <c r="CM26" i="93"/>
  <c r="CN40" i="92"/>
  <c r="CN49" i="92" s="1"/>
  <c r="CN39" i="92"/>
  <c r="CN48" i="92" s="1"/>
  <c r="CN35" i="92"/>
  <c r="CO32" i="92"/>
  <c r="CO35" i="92" s="1"/>
  <c r="CO7" i="92"/>
  <c r="CO42" i="92" s="1"/>
  <c r="CO51" i="92" s="1"/>
  <c r="CQ34" i="93"/>
  <c r="CQ35" i="93" s="1"/>
  <c r="CP30" i="92"/>
  <c r="CQ27" i="92" s="1"/>
  <c r="CS6" i="92"/>
  <c r="CS8" i="92" s="1"/>
  <c r="CS29" i="92" s="1"/>
  <c r="CS22" i="93" s="1"/>
  <c r="CS5" i="92"/>
  <c r="CT4" i="92"/>
  <c r="CR5" i="93"/>
  <c r="CS4" i="93"/>
  <c r="CR6" i="93"/>
  <c r="CO40" i="92" l="1"/>
  <c r="CO49" i="92" s="1"/>
  <c r="CO19" i="93"/>
  <c r="CO39" i="92"/>
  <c r="CO48" i="92" s="1"/>
  <c r="CP7" i="92"/>
  <c r="CP40" i="92" s="1"/>
  <c r="CP49" i="92" s="1"/>
  <c r="CR34" i="93"/>
  <c r="CR35" i="93" s="1"/>
  <c r="CQ30" i="92"/>
  <c r="CR27" i="92" s="1"/>
  <c r="CS5" i="93"/>
  <c r="CT4" i="93"/>
  <c r="CS6" i="93"/>
  <c r="CT5" i="92"/>
  <c r="CU4" i="92"/>
  <c r="CT6" i="92"/>
  <c r="CT8" i="92" s="1"/>
  <c r="CT29" i="92" s="1"/>
  <c r="CT22" i="93" s="1"/>
  <c r="CP32" i="92"/>
  <c r="CO20" i="93" l="1"/>
  <c r="CO26" i="93"/>
  <c r="CP39" i="92"/>
  <c r="CP48" i="92" s="1"/>
  <c r="CP42" i="92"/>
  <c r="CP51" i="92" s="1"/>
  <c r="CQ7" i="92"/>
  <c r="CQ40" i="92" s="1"/>
  <c r="CQ49" i="92" s="1"/>
  <c r="CQ32" i="92"/>
  <c r="CR30" i="92"/>
  <c r="CS27" i="92" s="1"/>
  <c r="CP19" i="93"/>
  <c r="CP35" i="92"/>
  <c r="CV4" i="92"/>
  <c r="CU6" i="92"/>
  <c r="CU8" i="92" s="1"/>
  <c r="CU29" i="92" s="1"/>
  <c r="CU22" i="93" s="1"/>
  <c r="CU5" i="92"/>
  <c r="CU4" i="93"/>
  <c r="CT6" i="93"/>
  <c r="CT5" i="93"/>
  <c r="CS34" i="93"/>
  <c r="CS35" i="93" s="1"/>
  <c r="CP20" i="93" l="1"/>
  <c r="CP26" i="93"/>
  <c r="CT34" i="93"/>
  <c r="CT35" i="93" s="1"/>
  <c r="CQ39" i="92"/>
  <c r="CQ48" i="92" s="1"/>
  <c r="CQ42" i="92"/>
  <c r="CQ51" i="92" s="1"/>
  <c r="CQ19" i="93"/>
  <c r="CQ35" i="92"/>
  <c r="CR7" i="92"/>
  <c r="CU6" i="93"/>
  <c r="CU5" i="93"/>
  <c r="CV4" i="93"/>
  <c r="CS30" i="92"/>
  <c r="CT27" i="92" s="1"/>
  <c r="CR32" i="92"/>
  <c r="CW4" i="92"/>
  <c r="CV6" i="92"/>
  <c r="CV8" i="92" s="1"/>
  <c r="CV29" i="92" s="1"/>
  <c r="CV22" i="93" s="1"/>
  <c r="CV5" i="92"/>
  <c r="CQ20" i="93" l="1"/>
  <c r="CQ26" i="93"/>
  <c r="CU34" i="93"/>
  <c r="CU35" i="93" s="1"/>
  <c r="CW5" i="92"/>
  <c r="CW6" i="92"/>
  <c r="CW8" i="92" s="1"/>
  <c r="CW29" i="92" s="1"/>
  <c r="CW22" i="93" s="1"/>
  <c r="CX4" i="92"/>
  <c r="CR19" i="93"/>
  <c r="CR35" i="92"/>
  <c r="CV5" i="93"/>
  <c r="CW4" i="93"/>
  <c r="CV6" i="93"/>
  <c r="CR40" i="92"/>
  <c r="CR49" i="92" s="1"/>
  <c r="CR42" i="92"/>
  <c r="CR51" i="92" s="1"/>
  <c r="CR39" i="92"/>
  <c r="CR48" i="92" s="1"/>
  <c r="CS7" i="92"/>
  <c r="CS32" i="92"/>
  <c r="CT30" i="92"/>
  <c r="CU27" i="92" s="1"/>
  <c r="CR20" i="93" l="1"/>
  <c r="CR26" i="93"/>
  <c r="CT7" i="92"/>
  <c r="CW6" i="93"/>
  <c r="CX4" i="93"/>
  <c r="CW5" i="93"/>
  <c r="CU30" i="92"/>
  <c r="CV27" i="92" s="1"/>
  <c r="CT32" i="92"/>
  <c r="CV34" i="93"/>
  <c r="CV35" i="93" s="1"/>
  <c r="CS19" i="93"/>
  <c r="CS35" i="92"/>
  <c r="CX5" i="92"/>
  <c r="CX6" i="92"/>
  <c r="CX8" i="92" s="1"/>
  <c r="CX29" i="92" s="1"/>
  <c r="CX22" i="93" s="1"/>
  <c r="CY4" i="92"/>
  <c r="CS39" i="92"/>
  <c r="CS48" i="92" s="1"/>
  <c r="CS42" i="92"/>
  <c r="CS51" i="92" s="1"/>
  <c r="CS40" i="92"/>
  <c r="CS49" i="92" s="1"/>
  <c r="CW34" i="93" l="1"/>
  <c r="CW35" i="93" s="1"/>
  <c r="CS20" i="93"/>
  <c r="CS26" i="93"/>
  <c r="CX6" i="93"/>
  <c r="CY4" i="93"/>
  <c r="CX5" i="93"/>
  <c r="CT39" i="92"/>
  <c r="CT48" i="92" s="1"/>
  <c r="CT42" i="92"/>
  <c r="CT51" i="92" s="1"/>
  <c r="CT40" i="92"/>
  <c r="CT49" i="92" s="1"/>
  <c r="CY5" i="92"/>
  <c r="CY6" i="92"/>
  <c r="CY8" i="92" s="1"/>
  <c r="CY29" i="92" s="1"/>
  <c r="CY22" i="93" s="1"/>
  <c r="CZ4" i="92"/>
  <c r="CT19" i="93"/>
  <c r="CT35" i="92"/>
  <c r="CV30" i="92"/>
  <c r="CW27" i="92" s="1"/>
  <c r="CU7" i="92"/>
  <c r="CU32" i="92"/>
  <c r="CT20" i="93" l="1"/>
  <c r="CT26" i="93"/>
  <c r="CX34" i="93"/>
  <c r="CX35" i="93" s="1"/>
  <c r="CV7" i="92"/>
  <c r="CV42" i="92" s="1"/>
  <c r="CV51" i="92" s="1"/>
  <c r="CV32" i="92"/>
  <c r="CV35" i="92" s="1"/>
  <c r="CU19" i="93"/>
  <c r="CU35" i="92"/>
  <c r="CZ5" i="92"/>
  <c r="CZ6" i="92"/>
  <c r="CZ8" i="92" s="1"/>
  <c r="CZ29" i="92" s="1"/>
  <c r="CZ22" i="93" s="1"/>
  <c r="DA4" i="92"/>
  <c r="CY5" i="93"/>
  <c r="CZ4" i="93"/>
  <c r="CY6" i="93"/>
  <c r="CU39" i="92"/>
  <c r="CU48" i="92" s="1"/>
  <c r="CU42" i="92"/>
  <c r="CU51" i="92" s="1"/>
  <c r="CU40" i="92"/>
  <c r="CU49" i="92" s="1"/>
  <c r="CW30" i="92"/>
  <c r="CX27" i="92" s="1"/>
  <c r="CU20" i="93" l="1"/>
  <c r="CU26" i="93"/>
  <c r="CV19" i="93"/>
  <c r="CV40" i="92"/>
  <c r="CV49" i="92" s="1"/>
  <c r="CV39" i="92"/>
  <c r="CV48" i="92" s="1"/>
  <c r="CY34" i="93"/>
  <c r="CY35" i="93" s="1"/>
  <c r="DA6" i="92"/>
  <c r="DA8" i="92" s="1"/>
  <c r="DA29" i="92" s="1"/>
  <c r="DA22" i="93" s="1"/>
  <c r="DB4" i="92"/>
  <c r="DA5" i="92"/>
  <c r="DA4" i="93"/>
  <c r="CZ6" i="93"/>
  <c r="CZ5" i="93"/>
  <c r="CW7" i="92"/>
  <c r="CX30" i="92"/>
  <c r="CY27" i="92" s="1"/>
  <c r="CW32" i="92"/>
  <c r="CV20" i="93" l="1"/>
  <c r="CV26" i="93"/>
  <c r="CZ34" i="93"/>
  <c r="CZ35" i="93" s="1"/>
  <c r="CY30" i="92"/>
  <c r="CZ27" i="92" s="1"/>
  <c r="CX7" i="92"/>
  <c r="CW42" i="92"/>
  <c r="CW51" i="92" s="1"/>
  <c r="CW40" i="92"/>
  <c r="CW49" i="92" s="1"/>
  <c r="CW39" i="92"/>
  <c r="CW48" i="92" s="1"/>
  <c r="CW19" i="93"/>
  <c r="CW35" i="92"/>
  <c r="DC4" i="92"/>
  <c r="DB6" i="92"/>
  <c r="DB8" i="92" s="1"/>
  <c r="DB29" i="92" s="1"/>
  <c r="DB22" i="93" s="1"/>
  <c r="DB5" i="92"/>
  <c r="CX32" i="92"/>
  <c r="DB4" i="93"/>
  <c r="DA6" i="93"/>
  <c r="DA5" i="93"/>
  <c r="CW20" i="93" l="1"/>
  <c r="CW26" i="93"/>
  <c r="CY7" i="92"/>
  <c r="CX19" i="93"/>
  <c r="CX35" i="92"/>
  <c r="DC6" i="92"/>
  <c r="DC8" i="92" s="1"/>
  <c r="DC29" i="92" s="1"/>
  <c r="DC22" i="93" s="1"/>
  <c r="DC5" i="92"/>
  <c r="DD4" i="92"/>
  <c r="CZ30" i="92"/>
  <c r="DA27" i="92" s="1"/>
  <c r="CY32" i="92"/>
  <c r="DA34" i="93"/>
  <c r="DA35" i="93" s="1"/>
  <c r="DB5" i="93"/>
  <c r="DC4" i="93"/>
  <c r="DB6" i="93"/>
  <c r="CX42" i="92"/>
  <c r="CX51" i="92" s="1"/>
  <c r="CX40" i="92"/>
  <c r="CX49" i="92" s="1"/>
  <c r="CX39" i="92"/>
  <c r="CX48" i="92" s="1"/>
  <c r="CX20" i="93" l="1"/>
  <c r="CX26" i="93"/>
  <c r="CY19" i="93"/>
  <c r="CY35" i="92"/>
  <c r="DA30" i="92"/>
  <c r="DB27" i="92" s="1"/>
  <c r="CZ7" i="92"/>
  <c r="DD6" i="92"/>
  <c r="DD8" i="92" s="1"/>
  <c r="DD29" i="92" s="1"/>
  <c r="DD22" i="93" s="1"/>
  <c r="DD5" i="92"/>
  <c r="DE4" i="92"/>
  <c r="CZ32" i="92"/>
  <c r="CY40" i="92"/>
  <c r="CY49" i="92" s="1"/>
  <c r="CY39" i="92"/>
  <c r="CY48" i="92" s="1"/>
  <c r="CY42" i="92"/>
  <c r="CY51" i="92" s="1"/>
  <c r="DC6" i="93"/>
  <c r="DC5" i="93"/>
  <c r="DD4" i="93"/>
  <c r="DB34" i="93"/>
  <c r="DB35" i="93" s="1"/>
  <c r="CY20" i="93" l="1"/>
  <c r="CY26" i="93"/>
  <c r="DC34" i="93"/>
  <c r="DC35" i="93" s="1"/>
  <c r="CZ19" i="93"/>
  <c r="CZ35" i="92"/>
  <c r="DA7" i="92"/>
  <c r="DD6" i="93"/>
  <c r="DD5" i="93"/>
  <c r="DE4" i="93"/>
  <c r="DE6" i="92"/>
  <c r="DE8" i="92" s="1"/>
  <c r="DE29" i="92" s="1"/>
  <c r="DE5" i="92"/>
  <c r="CZ42" i="92"/>
  <c r="CZ51" i="92" s="1"/>
  <c r="CZ40" i="92"/>
  <c r="CZ49" i="92" s="1"/>
  <c r="CZ39" i="92"/>
  <c r="CZ48" i="92" s="1"/>
  <c r="DB30" i="92"/>
  <c r="DC27" i="92" s="1"/>
  <c r="DA32" i="92"/>
  <c r="DE22" i="93" l="1"/>
  <c r="I22" i="93" s="1"/>
  <c r="I29" i="92"/>
  <c r="CZ20" i="93"/>
  <c r="CZ26" i="93"/>
  <c r="DB7" i="92"/>
  <c r="DB42" i="92" s="1"/>
  <c r="DB51" i="92" s="1"/>
  <c r="DA40" i="92"/>
  <c r="DA49" i="92" s="1"/>
  <c r="DA42" i="92"/>
  <c r="DA51" i="92" s="1"/>
  <c r="DA39" i="92"/>
  <c r="DA48" i="92" s="1"/>
  <c r="DD34" i="93"/>
  <c r="DD35" i="93" s="1"/>
  <c r="DA19" i="93"/>
  <c r="DA35" i="92"/>
  <c r="DC30" i="92"/>
  <c r="DD27" i="92" s="1"/>
  <c r="DB32" i="92"/>
  <c r="DE5" i="93"/>
  <c r="DE6" i="93"/>
  <c r="DA20" i="93" l="1"/>
  <c r="DA26" i="93"/>
  <c r="DB40" i="92"/>
  <c r="DB49" i="92" s="1"/>
  <c r="DB39" i="92"/>
  <c r="DB48" i="92" s="1"/>
  <c r="DD30" i="92"/>
  <c r="DE27" i="92" s="1"/>
  <c r="DB19" i="93"/>
  <c r="DB35" i="92"/>
  <c r="DC32" i="92"/>
  <c r="DC7" i="92"/>
  <c r="DE34" i="93"/>
  <c r="DE35" i="93" s="1"/>
  <c r="DB20" i="93" l="1"/>
  <c r="DB26" i="93"/>
  <c r="DC19" i="93"/>
  <c r="DC35" i="92"/>
  <c r="DE30" i="92"/>
  <c r="DE7" i="92" s="1"/>
  <c r="DD7" i="92"/>
  <c r="I35" i="93"/>
  <c r="I34" i="93"/>
  <c r="DD32" i="92"/>
  <c r="DC39" i="92"/>
  <c r="DC48" i="92" s="1"/>
  <c r="DC40" i="92"/>
  <c r="DC49" i="92" s="1"/>
  <c r="DC42" i="92"/>
  <c r="DC51" i="92" s="1"/>
  <c r="X39" i="92"/>
  <c r="DC20" i="93" l="1"/>
  <c r="DC26" i="93"/>
  <c r="X48" i="92"/>
  <c r="DE32" i="92"/>
  <c r="DE19" i="93" s="1"/>
  <c r="DD19" i="93"/>
  <c r="DD35" i="92"/>
  <c r="DD42" i="92"/>
  <c r="DD51" i="92" s="1"/>
  <c r="DD39" i="92"/>
  <c r="DD48" i="92" s="1"/>
  <c r="DD40" i="92"/>
  <c r="DD49" i="92" s="1"/>
  <c r="DE39" i="92"/>
  <c r="DE48" i="92" s="1"/>
  <c r="DE42" i="92"/>
  <c r="DE51" i="92" s="1"/>
  <c r="DE40" i="92"/>
  <c r="DE49" i="92" s="1"/>
  <c r="M39" i="92"/>
  <c r="DD20" i="93" l="1"/>
  <c r="DD26" i="93"/>
  <c r="DE20" i="93"/>
  <c r="DE26" i="93"/>
  <c r="I32" i="92"/>
  <c r="DE35" i="92"/>
  <c r="I35" i="92" s="1"/>
  <c r="M48" i="92"/>
  <c r="I19" i="93"/>
  <c r="E28" i="93" l="1"/>
  <c r="I26" i="93"/>
  <c r="E27" i="93"/>
  <c r="I22" i="83"/>
  <c r="G14" i="83"/>
  <c r="K25" i="83" s="1"/>
  <c r="G15" i="83"/>
  <c r="G16" i="83"/>
  <c r="M27" i="83" s="1"/>
  <c r="G17" i="83"/>
  <c r="G18" i="83"/>
  <c r="G13" i="83"/>
  <c r="M24" i="83" s="1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F9" i="83"/>
  <c r="AG9" i="83"/>
  <c r="AH9" i="83"/>
  <c r="AI9" i="83"/>
  <c r="AJ9" i="83"/>
  <c r="AK9" i="83"/>
  <c r="AL9" i="83"/>
  <c r="AM9" i="83"/>
  <c r="AN9" i="83"/>
  <c r="AO9" i="83"/>
  <c r="AP9" i="83"/>
  <c r="AQ9" i="83"/>
  <c r="AR9" i="83"/>
  <c r="AS9" i="83"/>
  <c r="AT9" i="83"/>
  <c r="AU9" i="83"/>
  <c r="AV9" i="83"/>
  <c r="AW9" i="83"/>
  <c r="AX9" i="83"/>
  <c r="AY9" i="83"/>
  <c r="AZ9" i="83"/>
  <c r="BA9" i="83"/>
  <c r="BB9" i="83"/>
  <c r="BC9" i="83"/>
  <c r="BD9" i="83"/>
  <c r="BE9" i="83"/>
  <c r="BF9" i="83"/>
  <c r="BG9" i="83"/>
  <c r="BH9" i="83"/>
  <c r="BI9" i="83"/>
  <c r="BJ9" i="83"/>
  <c r="BK9" i="83"/>
  <c r="BL9" i="83"/>
  <c r="BM9" i="83"/>
  <c r="BN9" i="83"/>
  <c r="BO9" i="83"/>
  <c r="BP9" i="83"/>
  <c r="BQ9" i="83"/>
  <c r="BR9" i="83"/>
  <c r="BS9" i="83"/>
  <c r="BT9" i="83"/>
  <c r="BU9" i="83"/>
  <c r="BV9" i="83"/>
  <c r="BW9" i="83"/>
  <c r="BX9" i="83"/>
  <c r="BY9" i="83"/>
  <c r="BZ9" i="83"/>
  <c r="CA9" i="83"/>
  <c r="CB9" i="83"/>
  <c r="CC9" i="83"/>
  <c r="CD9" i="83"/>
  <c r="CE9" i="83"/>
  <c r="CF9" i="83"/>
  <c r="CG9" i="83"/>
  <c r="CH9" i="83"/>
  <c r="CI9" i="83"/>
  <c r="CJ9" i="83"/>
  <c r="CK9" i="83"/>
  <c r="CL9" i="83"/>
  <c r="CM9" i="83"/>
  <c r="CN9" i="83"/>
  <c r="CO9" i="83"/>
  <c r="CP9" i="83"/>
  <c r="CQ9" i="83"/>
  <c r="CR9" i="83"/>
  <c r="CS9" i="83"/>
  <c r="CT9" i="83"/>
  <c r="CU9" i="83"/>
  <c r="CV9" i="83"/>
  <c r="CW9" i="83"/>
  <c r="CX9" i="83"/>
  <c r="CY9" i="83"/>
  <c r="CZ9" i="83"/>
  <c r="DA9" i="83"/>
  <c r="DB9" i="83"/>
  <c r="DC9" i="83"/>
  <c r="DD9" i="83"/>
  <c r="DE9" i="83"/>
  <c r="DF9" i="83"/>
  <c r="DG9" i="83"/>
  <c r="DH9" i="83"/>
  <c r="DI9" i="83"/>
  <c r="DJ9" i="83"/>
  <c r="DK9" i="83"/>
  <c r="DL9" i="83"/>
  <c r="DM9" i="83"/>
  <c r="J9" i="83"/>
  <c r="K41" i="83"/>
  <c r="L41" i="83"/>
  <c r="N41" i="83"/>
  <c r="O41" i="83"/>
  <c r="P41" i="83"/>
  <c r="Q41" i="83"/>
  <c r="R41" i="83"/>
  <c r="S41" i="83"/>
  <c r="T41" i="83"/>
  <c r="U41" i="83"/>
  <c r="V41" i="83"/>
  <c r="W41" i="83"/>
  <c r="X41" i="83"/>
  <c r="J41" i="83"/>
  <c r="E56" i="91"/>
  <c r="C56" i="91" s="1"/>
  <c r="F18" i="80" s="1"/>
  <c r="E57" i="91"/>
  <c r="C57" i="91" s="1"/>
  <c r="F19" i="80" s="1"/>
  <c r="E55" i="91"/>
  <c r="C55" i="91" s="1"/>
  <c r="F17" i="80" s="1"/>
  <c r="C41" i="91"/>
  <c r="F25" i="80" s="1"/>
  <c r="F26" i="80"/>
  <c r="C40" i="91"/>
  <c r="F24" i="80" s="1"/>
  <c r="J27" i="83" l="1"/>
  <c r="L24" i="83"/>
  <c r="K24" i="83"/>
  <c r="J24" i="83"/>
  <c r="L27" i="83"/>
  <c r="K27" i="83"/>
  <c r="J26" i="83"/>
  <c r="K26" i="83"/>
  <c r="L26" i="83"/>
  <c r="M26" i="83"/>
  <c r="J25" i="83"/>
  <c r="L25" i="83"/>
  <c r="M25" i="83"/>
  <c r="K29" i="83"/>
  <c r="L29" i="83"/>
  <c r="M29" i="83"/>
  <c r="J29" i="83"/>
  <c r="J28" i="83"/>
  <c r="M28" i="83"/>
  <c r="L28" i="83"/>
  <c r="K28" i="83"/>
  <c r="D11" i="80"/>
  <c r="D10" i="80"/>
  <c r="J48" i="91"/>
  <c r="J36" i="90"/>
  <c r="J45" i="90"/>
  <c r="C46" i="90"/>
  <c r="J46" i="90" s="1"/>
  <c r="J28" i="90"/>
  <c r="C23" i="91"/>
  <c r="C22" i="91"/>
  <c r="I11" i="91"/>
  <c r="E6" i="91"/>
  <c r="E5" i="91"/>
  <c r="J5" i="91" s="1"/>
  <c r="E6" i="90"/>
  <c r="E5" i="90"/>
  <c r="J35" i="91"/>
  <c r="K4" i="91"/>
  <c r="K4" i="90"/>
  <c r="L4" i="90" s="1"/>
  <c r="K4" i="83"/>
  <c r="J47" i="83" l="1"/>
  <c r="J94" i="83"/>
  <c r="J96" i="83" s="1"/>
  <c r="J72" i="83"/>
  <c r="J62" i="83"/>
  <c r="C47" i="90"/>
  <c r="C48" i="90" s="1"/>
  <c r="C49" i="90" s="1"/>
  <c r="C50" i="90" s="1"/>
  <c r="K46" i="90"/>
  <c r="L46" i="90" s="1"/>
  <c r="K45" i="90"/>
  <c r="K6" i="91"/>
  <c r="L4" i="91"/>
  <c r="M4" i="91" s="1"/>
  <c r="M6" i="91" s="1"/>
  <c r="J48" i="83"/>
  <c r="J51" i="83" s="1"/>
  <c r="J6" i="91"/>
  <c r="J6" i="90"/>
  <c r="J5" i="90"/>
  <c r="K5" i="91"/>
  <c r="L6" i="90"/>
  <c r="L21" i="90" s="1"/>
  <c r="L5" i="90"/>
  <c r="M4" i="90"/>
  <c r="K5" i="90"/>
  <c r="K6" i="90"/>
  <c r="L4" i="83"/>
  <c r="K6" i="83"/>
  <c r="K5" i="83"/>
  <c r="K93" i="83" l="1"/>
  <c r="K87" i="83"/>
  <c r="K89" i="83" s="1"/>
  <c r="K78" i="83"/>
  <c r="K86" i="83"/>
  <c r="K80" i="83"/>
  <c r="K82" i="83" s="1"/>
  <c r="K47" i="83"/>
  <c r="J107" i="83"/>
  <c r="J97" i="83"/>
  <c r="J83" i="83"/>
  <c r="K94" i="83"/>
  <c r="K96" i="83" s="1"/>
  <c r="J30" i="83"/>
  <c r="K62" i="83"/>
  <c r="K72" i="83"/>
  <c r="J55" i="83"/>
  <c r="J71" i="93" s="1"/>
  <c r="J48" i="90"/>
  <c r="J47" i="90"/>
  <c r="K47" i="90" s="1"/>
  <c r="L47" i="90" s="1"/>
  <c r="J49" i="90"/>
  <c r="K49" i="90" s="1"/>
  <c r="L49" i="90" s="1"/>
  <c r="J8" i="90"/>
  <c r="J38" i="90" s="1"/>
  <c r="J21" i="90"/>
  <c r="K21" i="90"/>
  <c r="L45" i="90"/>
  <c r="M45" i="90" s="1"/>
  <c r="C51" i="90"/>
  <c r="J50" i="90"/>
  <c r="M46" i="90"/>
  <c r="L6" i="91"/>
  <c r="N4" i="91"/>
  <c r="N6" i="91" s="1"/>
  <c r="M5" i="91"/>
  <c r="L5" i="91"/>
  <c r="N4" i="90"/>
  <c r="M6" i="90"/>
  <c r="M21" i="90" s="1"/>
  <c r="M5" i="90"/>
  <c r="K48" i="83"/>
  <c r="K51" i="83" s="1"/>
  <c r="M4" i="83"/>
  <c r="L6" i="83"/>
  <c r="L5" i="83"/>
  <c r="J32" i="83" l="1"/>
  <c r="J21" i="91" s="1"/>
  <c r="L80" i="83"/>
  <c r="L82" i="83" s="1"/>
  <c r="L87" i="83"/>
  <c r="L89" i="83" s="1"/>
  <c r="L93" i="83"/>
  <c r="L78" i="83"/>
  <c r="L86" i="83"/>
  <c r="L47" i="83"/>
  <c r="K97" i="83"/>
  <c r="K107" i="83"/>
  <c r="J90" i="83"/>
  <c r="J108" i="83"/>
  <c r="J109" i="83" s="1"/>
  <c r="J110" i="83" s="1"/>
  <c r="J18" i="91" s="1"/>
  <c r="K83" i="83"/>
  <c r="L94" i="83"/>
  <c r="L96" i="83" s="1"/>
  <c r="J64" i="83"/>
  <c r="J65" i="83" s="1"/>
  <c r="J62" i="91"/>
  <c r="J149" i="90"/>
  <c r="J77" i="93"/>
  <c r="M47" i="90"/>
  <c r="N47" i="90" s="1"/>
  <c r="O4" i="91"/>
  <c r="O5" i="91" s="1"/>
  <c r="K30" i="83"/>
  <c r="L62" i="83"/>
  <c r="L72" i="83"/>
  <c r="K48" i="90"/>
  <c r="L48" i="90" s="1"/>
  <c r="M49" i="90"/>
  <c r="N49" i="90" s="1"/>
  <c r="N46" i="90"/>
  <c r="J17" i="90"/>
  <c r="J69" i="91" s="1"/>
  <c r="K8" i="90"/>
  <c r="C52" i="90"/>
  <c r="J51" i="90"/>
  <c r="N45" i="90"/>
  <c r="K50" i="90"/>
  <c r="L50" i="90" s="1"/>
  <c r="M50" i="90" s="1"/>
  <c r="N5" i="91"/>
  <c r="P4" i="91"/>
  <c r="O4" i="90"/>
  <c r="N6" i="90"/>
  <c r="N21" i="90" s="1"/>
  <c r="N5" i="90"/>
  <c r="N4" i="83"/>
  <c r="M6" i="83"/>
  <c r="M5" i="83"/>
  <c r="L48" i="83"/>
  <c r="L51" i="83" s="1"/>
  <c r="K32" i="83" l="1"/>
  <c r="K21" i="91" s="1"/>
  <c r="M93" i="83"/>
  <c r="M87" i="83"/>
  <c r="M89" i="83" s="1"/>
  <c r="M86" i="83"/>
  <c r="M78" i="83"/>
  <c r="M80" i="83"/>
  <c r="M82" i="83" s="1"/>
  <c r="M47" i="83"/>
  <c r="L107" i="83"/>
  <c r="L97" i="83"/>
  <c r="K90" i="83"/>
  <c r="K108" i="83"/>
  <c r="K109" i="83" s="1"/>
  <c r="K110" i="83" s="1"/>
  <c r="K18" i="91" s="1"/>
  <c r="L83" i="83"/>
  <c r="M94" i="83"/>
  <c r="M96" i="83" s="1"/>
  <c r="J78" i="91"/>
  <c r="J70" i="91"/>
  <c r="J153" i="90"/>
  <c r="O6" i="91"/>
  <c r="L30" i="83"/>
  <c r="M62" i="83"/>
  <c r="M72" i="83"/>
  <c r="M48" i="90"/>
  <c r="N48" i="90" s="1"/>
  <c r="O48" i="90" s="1"/>
  <c r="O49" i="90"/>
  <c r="L8" i="90"/>
  <c r="M8" i="90" s="1"/>
  <c r="N8" i="90" s="1"/>
  <c r="K38" i="90"/>
  <c r="O47" i="90"/>
  <c r="O45" i="90"/>
  <c r="K51" i="90"/>
  <c r="C53" i="90"/>
  <c r="J52" i="90"/>
  <c r="N50" i="90"/>
  <c r="O50" i="90" s="1"/>
  <c r="O46" i="90"/>
  <c r="J157" i="90"/>
  <c r="Q4" i="91"/>
  <c r="P6" i="91"/>
  <c r="P5" i="91"/>
  <c r="P4" i="90"/>
  <c r="O6" i="90"/>
  <c r="O21" i="90" s="1"/>
  <c r="O5" i="90"/>
  <c r="L55" i="83"/>
  <c r="L71" i="93" s="1"/>
  <c r="M48" i="83"/>
  <c r="M51" i="83" s="1"/>
  <c r="O4" i="83"/>
  <c r="N6" i="83"/>
  <c r="N5" i="83"/>
  <c r="L32" i="83" l="1"/>
  <c r="L21" i="91" s="1"/>
  <c r="L24" i="91" s="1"/>
  <c r="N86" i="83"/>
  <c r="N93" i="83"/>
  <c r="N78" i="83"/>
  <c r="N80" i="83"/>
  <c r="N82" i="83" s="1"/>
  <c r="N87" i="83"/>
  <c r="N89" i="83" s="1"/>
  <c r="M97" i="83"/>
  <c r="N47" i="83"/>
  <c r="N45" i="83" s="1"/>
  <c r="M107" i="83"/>
  <c r="L90" i="83"/>
  <c r="L108" i="83"/>
  <c r="L109" i="83" s="1"/>
  <c r="L110" i="83" s="1"/>
  <c r="L18" i="91" s="1"/>
  <c r="M83" i="83"/>
  <c r="N94" i="83"/>
  <c r="N96" i="83" s="1"/>
  <c r="L64" i="83"/>
  <c r="L65" i="83" s="1"/>
  <c r="L62" i="91"/>
  <c r="L149" i="90"/>
  <c r="L153" i="90" s="1"/>
  <c r="J161" i="90"/>
  <c r="J160" i="90"/>
  <c r="J159" i="90"/>
  <c r="L77" i="93"/>
  <c r="M30" i="83"/>
  <c r="N26" i="83"/>
  <c r="N29" i="83"/>
  <c r="N24" i="83"/>
  <c r="N25" i="83"/>
  <c r="N27" i="83"/>
  <c r="N28" i="83"/>
  <c r="N62" i="83"/>
  <c r="N72" i="83"/>
  <c r="P49" i="90"/>
  <c r="K157" i="90"/>
  <c r="J14" i="90"/>
  <c r="J63" i="91"/>
  <c r="J24" i="91"/>
  <c r="K24" i="91"/>
  <c r="K17" i="90"/>
  <c r="K69" i="91" s="1"/>
  <c r="P50" i="90"/>
  <c r="O8" i="90"/>
  <c r="L51" i="90"/>
  <c r="M51" i="90" s="1"/>
  <c r="C54" i="90"/>
  <c r="J53" i="90"/>
  <c r="P47" i="90"/>
  <c r="P45" i="90"/>
  <c r="P46" i="90"/>
  <c r="K52" i="90"/>
  <c r="L52" i="90" s="1"/>
  <c r="M52" i="90" s="1"/>
  <c r="N52" i="90" s="1"/>
  <c r="P48" i="90"/>
  <c r="Q6" i="91"/>
  <c r="Q5" i="91"/>
  <c r="R4" i="91"/>
  <c r="P6" i="90"/>
  <c r="P21" i="90" s="1"/>
  <c r="P5" i="90"/>
  <c r="Q4" i="90"/>
  <c r="M55" i="83"/>
  <c r="M71" i="93" s="1"/>
  <c r="P4" i="83"/>
  <c r="O6" i="83"/>
  <c r="O5" i="83"/>
  <c r="N48" i="83"/>
  <c r="K55" i="83"/>
  <c r="K71" i="93" s="1"/>
  <c r="M32" i="83" l="1"/>
  <c r="M21" i="91" s="1"/>
  <c r="N51" i="83"/>
  <c r="N55" i="83" s="1"/>
  <c r="O86" i="83"/>
  <c r="O87" i="83"/>
  <c r="O89" i="83" s="1"/>
  <c r="O80" i="83"/>
  <c r="O82" i="83" s="1"/>
  <c r="O93" i="83"/>
  <c r="O78" i="83"/>
  <c r="N97" i="83"/>
  <c r="N107" i="83"/>
  <c r="O47" i="83"/>
  <c r="O45" i="83" s="1"/>
  <c r="O117" i="83"/>
  <c r="M90" i="83"/>
  <c r="M108" i="83"/>
  <c r="M109" i="83" s="1"/>
  <c r="M110" i="83" s="1"/>
  <c r="M18" i="91" s="1"/>
  <c r="N83" i="83"/>
  <c r="O94" i="83"/>
  <c r="O96" i="83" s="1"/>
  <c r="L78" i="91"/>
  <c r="L70" i="91"/>
  <c r="J162" i="90"/>
  <c r="J169" i="90" s="1"/>
  <c r="J170" i="90" s="1"/>
  <c r="M64" i="83"/>
  <c r="M65" i="83" s="1"/>
  <c r="M62" i="91"/>
  <c r="M149" i="90"/>
  <c r="M153" i="90" s="1"/>
  <c r="K64" i="83"/>
  <c r="K65" i="83" s="1"/>
  <c r="K62" i="91"/>
  <c r="K149" i="90"/>
  <c r="K77" i="93"/>
  <c r="L161" i="90"/>
  <c r="L160" i="90"/>
  <c r="L159" i="90"/>
  <c r="M77" i="93"/>
  <c r="N30" i="83"/>
  <c r="N32" i="83" s="1"/>
  <c r="N21" i="91" s="1"/>
  <c r="O28" i="83"/>
  <c r="O26" i="83"/>
  <c r="O27" i="83"/>
  <c r="O24" i="83"/>
  <c r="O25" i="83"/>
  <c r="O29" i="83"/>
  <c r="O62" i="83"/>
  <c r="O72" i="83"/>
  <c r="L68" i="83"/>
  <c r="Q49" i="90"/>
  <c r="L25" i="90"/>
  <c r="L85" i="91"/>
  <c r="K14" i="90"/>
  <c r="K63" i="91"/>
  <c r="J25" i="90"/>
  <c r="J85" i="91"/>
  <c r="J86" i="91" s="1"/>
  <c r="K25" i="90"/>
  <c r="K85" i="91"/>
  <c r="P8" i="90"/>
  <c r="N51" i="90"/>
  <c r="Q45" i="90"/>
  <c r="Q46" i="90"/>
  <c r="Q50" i="90"/>
  <c r="C55" i="90"/>
  <c r="J54" i="90"/>
  <c r="K53" i="90"/>
  <c r="L53" i="90" s="1"/>
  <c r="O52" i="90"/>
  <c r="P52" i="90" s="1"/>
  <c r="Q52" i="90" s="1"/>
  <c r="Q47" i="90"/>
  <c r="Q48" i="90"/>
  <c r="L157" i="90"/>
  <c r="S4" i="91"/>
  <c r="R6" i="91"/>
  <c r="R5" i="91"/>
  <c r="R4" i="90"/>
  <c r="Q6" i="90"/>
  <c r="Q21" i="90" s="1"/>
  <c r="Q5" i="90"/>
  <c r="J68" i="83"/>
  <c r="J69" i="83" s="1"/>
  <c r="Q4" i="83"/>
  <c r="P6" i="83"/>
  <c r="P5" i="83"/>
  <c r="O48" i="83"/>
  <c r="L155" i="90" l="1"/>
  <c r="L69" i="83"/>
  <c r="P80" i="83"/>
  <c r="P82" i="83" s="1"/>
  <c r="P87" i="83"/>
  <c r="P89" i="83" s="1"/>
  <c r="P78" i="83"/>
  <c r="P93" i="83"/>
  <c r="P86" i="83"/>
  <c r="O97" i="83"/>
  <c r="P47" i="83"/>
  <c r="P45" i="83" s="1"/>
  <c r="P117" i="83"/>
  <c r="O23" i="91"/>
  <c r="O118" i="83"/>
  <c r="O51" i="83"/>
  <c r="N71" i="93"/>
  <c r="N77" i="93" s="1"/>
  <c r="O107" i="83"/>
  <c r="N90" i="83"/>
  <c r="N108" i="83"/>
  <c r="N109" i="83" s="1"/>
  <c r="O83" i="83"/>
  <c r="P94" i="83"/>
  <c r="P96" i="83" s="1"/>
  <c r="K78" i="91"/>
  <c r="K70" i="91"/>
  <c r="M78" i="91"/>
  <c r="M70" i="91"/>
  <c r="J173" i="90"/>
  <c r="J174" i="90" s="1"/>
  <c r="J175" i="90" s="1"/>
  <c r="K153" i="90"/>
  <c r="M161" i="90"/>
  <c r="M160" i="90"/>
  <c r="M159" i="90"/>
  <c r="L162" i="90"/>
  <c r="J73" i="83"/>
  <c r="J74" i="83" s="1"/>
  <c r="J15" i="91" s="1"/>
  <c r="J155" i="90"/>
  <c r="R49" i="90"/>
  <c r="P25" i="83"/>
  <c r="P28" i="83"/>
  <c r="P24" i="83"/>
  <c r="P27" i="83"/>
  <c r="P26" i="83"/>
  <c r="P29" i="83"/>
  <c r="O30" i="83"/>
  <c r="O32" i="83" s="1"/>
  <c r="O21" i="91" s="1"/>
  <c r="P62" i="83"/>
  <c r="P72" i="83"/>
  <c r="M14" i="90"/>
  <c r="M63" i="91"/>
  <c r="J29" i="90"/>
  <c r="J30" i="90" s="1"/>
  <c r="K28" i="90" s="1"/>
  <c r="K29" i="90"/>
  <c r="M24" i="91"/>
  <c r="M157" i="90"/>
  <c r="K86" i="91"/>
  <c r="L86" i="91" s="1"/>
  <c r="L14" i="90"/>
  <c r="L63" i="91"/>
  <c r="L29" i="90"/>
  <c r="M53" i="90"/>
  <c r="N53" i="90" s="1"/>
  <c r="R46" i="90"/>
  <c r="Q8" i="90"/>
  <c r="R47" i="90"/>
  <c r="C56" i="90"/>
  <c r="J55" i="90"/>
  <c r="R52" i="90"/>
  <c r="R50" i="90"/>
  <c r="R45" i="90"/>
  <c r="R48" i="90"/>
  <c r="O51" i="90"/>
  <c r="P51" i="90" s="1"/>
  <c r="Q51" i="90" s="1"/>
  <c r="R51" i="90" s="1"/>
  <c r="K54" i="90"/>
  <c r="T4" i="91"/>
  <c r="S6" i="91"/>
  <c r="S5" i="91"/>
  <c r="S4" i="90"/>
  <c r="R6" i="90"/>
  <c r="R21" i="90" s="1"/>
  <c r="R5" i="90"/>
  <c r="P48" i="83"/>
  <c r="R4" i="83"/>
  <c r="Q6" i="83"/>
  <c r="Q5" i="83"/>
  <c r="N110" i="83" l="1"/>
  <c r="N18" i="91" s="1"/>
  <c r="Q93" i="83"/>
  <c r="Q86" i="83"/>
  <c r="Q80" i="83"/>
  <c r="Q82" i="83" s="1"/>
  <c r="Q78" i="83"/>
  <c r="Q87" i="83"/>
  <c r="Q89" i="83" s="1"/>
  <c r="Q47" i="83"/>
  <c r="Q45" i="83" s="1"/>
  <c r="Q117" i="83"/>
  <c r="P23" i="91"/>
  <c r="P118" i="83"/>
  <c r="P51" i="83"/>
  <c r="P55" i="83" s="1"/>
  <c r="P71" i="93" s="1"/>
  <c r="N149" i="90"/>
  <c r="N153" i="90" s="1"/>
  <c r="N62" i="91"/>
  <c r="N64" i="83"/>
  <c r="N65" i="83" s="1"/>
  <c r="P97" i="83"/>
  <c r="P107" i="83"/>
  <c r="O90" i="83"/>
  <c r="O108" i="83"/>
  <c r="O109" i="83" s="1"/>
  <c r="P83" i="83"/>
  <c r="Q94" i="83"/>
  <c r="Q96" i="83" s="1"/>
  <c r="M162" i="90"/>
  <c r="M173" i="90" s="1"/>
  <c r="M174" i="90" s="1"/>
  <c r="M175" i="90" s="1"/>
  <c r="J10" i="91"/>
  <c r="J12" i="91" s="1"/>
  <c r="J26" i="91" s="1"/>
  <c r="K161" i="90"/>
  <c r="K160" i="90"/>
  <c r="K159" i="90"/>
  <c r="L173" i="90"/>
  <c r="L174" i="90" s="1"/>
  <c r="L175" i="90" s="1"/>
  <c r="L169" i="90"/>
  <c r="L170" i="90" s="1"/>
  <c r="J12" i="90"/>
  <c r="P30" i="83"/>
  <c r="P32" i="83" s="1"/>
  <c r="P21" i="91" s="1"/>
  <c r="Q25" i="83"/>
  <c r="Q28" i="83"/>
  <c r="Q24" i="83"/>
  <c r="Q27" i="83"/>
  <c r="Q29" i="83"/>
  <c r="Q26" i="83"/>
  <c r="Q62" i="83"/>
  <c r="Q72" i="83"/>
  <c r="N24" i="91"/>
  <c r="J33" i="90"/>
  <c r="J37" i="90" s="1"/>
  <c r="J39" i="90" s="1"/>
  <c r="K36" i="90" s="1"/>
  <c r="M25" i="90"/>
  <c r="M85" i="91"/>
  <c r="M86" i="91" s="1"/>
  <c r="N157" i="90"/>
  <c r="K30" i="90"/>
  <c r="S51" i="90"/>
  <c r="R8" i="90"/>
  <c r="S45" i="90"/>
  <c r="S48" i="90"/>
  <c r="K55" i="90"/>
  <c r="L55" i="90" s="1"/>
  <c r="S49" i="90"/>
  <c r="S46" i="90"/>
  <c r="S47" i="90"/>
  <c r="O53" i="90"/>
  <c r="P53" i="90" s="1"/>
  <c r="Q53" i="90" s="1"/>
  <c r="S50" i="90"/>
  <c r="C57" i="90"/>
  <c r="J56" i="90"/>
  <c r="L54" i="90"/>
  <c r="S52" i="90"/>
  <c r="U4" i="91"/>
  <c r="T6" i="91"/>
  <c r="T5" i="91"/>
  <c r="T4" i="90"/>
  <c r="S6" i="90"/>
  <c r="S21" i="90" s="1"/>
  <c r="S5" i="90"/>
  <c r="S4" i="83"/>
  <c r="R6" i="83"/>
  <c r="R5" i="83"/>
  <c r="Q48" i="83"/>
  <c r="N85" i="91" l="1"/>
  <c r="R80" i="83"/>
  <c r="R82" i="83" s="1"/>
  <c r="R78" i="83"/>
  <c r="R86" i="83"/>
  <c r="R87" i="83"/>
  <c r="R89" i="83" s="1"/>
  <c r="R93" i="83"/>
  <c r="O111" i="83"/>
  <c r="N68" i="83"/>
  <c r="N69" i="83" s="1"/>
  <c r="N71" i="83" s="1"/>
  <c r="J16" i="97" s="1"/>
  <c r="N160" i="90"/>
  <c r="R47" i="83"/>
  <c r="R45" i="83" s="1"/>
  <c r="R117" i="83"/>
  <c r="Q107" i="83"/>
  <c r="Q23" i="91"/>
  <c r="Q118" i="83"/>
  <c r="Q51" i="83"/>
  <c r="Q97" i="83"/>
  <c r="O110" i="83"/>
  <c r="O18" i="91" s="1"/>
  <c r="P90" i="83"/>
  <c r="P108" i="83"/>
  <c r="P109" i="83" s="1"/>
  <c r="Q83" i="83"/>
  <c r="M169" i="90"/>
  <c r="M170" i="90" s="1"/>
  <c r="R94" i="83"/>
  <c r="R96" i="83" s="1"/>
  <c r="K162" i="90"/>
  <c r="K173" i="90" s="1"/>
  <c r="K174" i="90" s="1"/>
  <c r="K175" i="90" s="1"/>
  <c r="P64" i="83"/>
  <c r="P65" i="83" s="1"/>
  <c r="P149" i="90"/>
  <c r="P153" i="90" s="1"/>
  <c r="P62" i="91"/>
  <c r="P77" i="93"/>
  <c r="L10" i="91"/>
  <c r="L73" i="83"/>
  <c r="L74" i="83" s="1"/>
  <c r="L15" i="91" s="1"/>
  <c r="Q30" i="83"/>
  <c r="Q32" i="83" s="1"/>
  <c r="Q21" i="91" s="1"/>
  <c r="R27" i="83"/>
  <c r="R25" i="83"/>
  <c r="R26" i="83"/>
  <c r="R29" i="83"/>
  <c r="R24" i="83"/>
  <c r="R28" i="83"/>
  <c r="R62" i="83"/>
  <c r="J64" i="91"/>
  <c r="R72" i="83"/>
  <c r="L64" i="91"/>
  <c r="L71" i="91" s="1"/>
  <c r="L72" i="91" s="1"/>
  <c r="L74" i="91" s="1"/>
  <c r="N25" i="90"/>
  <c r="N29" i="90" s="1"/>
  <c r="L28" i="90"/>
  <c r="L30" i="90" s="1"/>
  <c r="K33" i="90"/>
  <c r="K37" i="90" s="1"/>
  <c r="K39" i="90" s="1"/>
  <c r="L36" i="90" s="1"/>
  <c r="N14" i="90"/>
  <c r="N63" i="91"/>
  <c r="M29" i="90"/>
  <c r="N86" i="91"/>
  <c r="J11" i="90"/>
  <c r="T51" i="90"/>
  <c r="M55" i="90"/>
  <c r="N55" i="90" s="1"/>
  <c r="O55" i="90" s="1"/>
  <c r="P55" i="90" s="1"/>
  <c r="Q55" i="90" s="1"/>
  <c r="T52" i="90"/>
  <c r="S8" i="90"/>
  <c r="M54" i="90"/>
  <c r="N54" i="90" s="1"/>
  <c r="O54" i="90" s="1"/>
  <c r="C58" i="90"/>
  <c r="J57" i="90"/>
  <c r="T48" i="90"/>
  <c r="T47" i="90"/>
  <c r="T50" i="90"/>
  <c r="T46" i="90"/>
  <c r="K56" i="90"/>
  <c r="L56" i="90" s="1"/>
  <c r="R53" i="90"/>
  <c r="T49" i="90"/>
  <c r="T45" i="90"/>
  <c r="U6" i="91"/>
  <c r="U5" i="91"/>
  <c r="V4" i="91"/>
  <c r="T6" i="90"/>
  <c r="T21" i="90" s="1"/>
  <c r="T5" i="90"/>
  <c r="U4" i="90"/>
  <c r="K68" i="83"/>
  <c r="O55" i="83"/>
  <c r="O71" i="93" s="1"/>
  <c r="R48" i="83"/>
  <c r="T4" i="83"/>
  <c r="S5" i="83"/>
  <c r="S6" i="83"/>
  <c r="K155" i="90" l="1"/>
  <c r="K69" i="83"/>
  <c r="S80" i="83"/>
  <c r="S82" i="83" s="1"/>
  <c r="S78" i="83"/>
  <c r="S86" i="83"/>
  <c r="S93" i="83"/>
  <c r="S87" i="83"/>
  <c r="S89" i="83" s="1"/>
  <c r="P110" i="83"/>
  <c r="P18" i="91" s="1"/>
  <c r="P111" i="83"/>
  <c r="N155" i="90"/>
  <c r="N159" i="90" s="1"/>
  <c r="R107" i="83"/>
  <c r="R23" i="91"/>
  <c r="R118" i="83"/>
  <c r="S47" i="83"/>
  <c r="S45" i="83" s="1"/>
  <c r="S117" i="83"/>
  <c r="R51" i="83"/>
  <c r="R55" i="83" s="1"/>
  <c r="R97" i="83"/>
  <c r="O157" i="90"/>
  <c r="Q90" i="83"/>
  <c r="Q108" i="83"/>
  <c r="Q109" i="83" s="1"/>
  <c r="Q111" i="83" s="1"/>
  <c r="R83" i="83"/>
  <c r="S94" i="83"/>
  <c r="S96" i="83" s="1"/>
  <c r="L66" i="91"/>
  <c r="J71" i="91"/>
  <c r="J66" i="91"/>
  <c r="K169" i="90"/>
  <c r="K170" i="90" s="1"/>
  <c r="O64" i="83"/>
  <c r="O65" i="83" s="1"/>
  <c r="O149" i="90"/>
  <c r="O62" i="91"/>
  <c r="O77" i="93"/>
  <c r="L12" i="91"/>
  <c r="L26" i="91" s="1"/>
  <c r="L12" i="90"/>
  <c r="R30" i="83"/>
  <c r="R32" i="83" s="1"/>
  <c r="R21" i="91" s="1"/>
  <c r="S24" i="83"/>
  <c r="S27" i="83"/>
  <c r="S25" i="83"/>
  <c r="S26" i="83"/>
  <c r="S29" i="83"/>
  <c r="S28" i="83"/>
  <c r="S62" i="83"/>
  <c r="S72" i="83"/>
  <c r="P68" i="83"/>
  <c r="P24" i="91"/>
  <c r="U52" i="90"/>
  <c r="O63" i="91"/>
  <c r="O14" i="90"/>
  <c r="M28" i="90"/>
  <c r="M30" i="90" s="1"/>
  <c r="L33" i="90"/>
  <c r="L37" i="90" s="1"/>
  <c r="O24" i="91"/>
  <c r="Q24" i="91"/>
  <c r="U47" i="90"/>
  <c r="S53" i="90"/>
  <c r="T53" i="90" s="1"/>
  <c r="T8" i="90"/>
  <c r="U45" i="90"/>
  <c r="U50" i="90"/>
  <c r="K57" i="90"/>
  <c r="L57" i="90" s="1"/>
  <c r="U51" i="90"/>
  <c r="R55" i="90"/>
  <c r="P54" i="90"/>
  <c r="U49" i="90"/>
  <c r="M56" i="90"/>
  <c r="U46" i="90"/>
  <c r="U48" i="90"/>
  <c r="C59" i="90"/>
  <c r="J58" i="90"/>
  <c r="W4" i="91"/>
  <c r="V6" i="91"/>
  <c r="V5" i="91"/>
  <c r="V4" i="90"/>
  <c r="U6" i="90"/>
  <c r="U21" i="90" s="1"/>
  <c r="U5" i="90"/>
  <c r="S48" i="83"/>
  <c r="U4" i="83"/>
  <c r="T6" i="83"/>
  <c r="T5" i="83"/>
  <c r="P25" i="90" l="1"/>
  <c r="P157" i="90"/>
  <c r="P160" i="90" s="1"/>
  <c r="P155" i="90"/>
  <c r="P159" i="90" s="1"/>
  <c r="P69" i="83"/>
  <c r="P71" i="83" s="1"/>
  <c r="L16" i="97" s="1"/>
  <c r="T93" i="83"/>
  <c r="T87" i="83"/>
  <c r="T89" i="83" s="1"/>
  <c r="T80" i="83"/>
  <c r="T82" i="83" s="1"/>
  <c r="T78" i="83"/>
  <c r="T86" i="83"/>
  <c r="Q110" i="83"/>
  <c r="Q18" i="91" s="1"/>
  <c r="Q63" i="91" s="1"/>
  <c r="T47" i="83"/>
  <c r="T45" i="83" s="1"/>
  <c r="T117" i="83"/>
  <c r="S23" i="91"/>
  <c r="S118" i="83"/>
  <c r="S51" i="83"/>
  <c r="S55" i="83" s="1"/>
  <c r="S71" i="93" s="1"/>
  <c r="S107" i="83"/>
  <c r="S97" i="83"/>
  <c r="R71" i="93"/>
  <c r="R77" i="93" s="1"/>
  <c r="J72" i="91"/>
  <c r="J74" i="91" s="1"/>
  <c r="L79" i="91"/>
  <c r="L80" i="91" s="1"/>
  <c r="L82" i="91" s="1"/>
  <c r="R90" i="83"/>
  <c r="R108" i="83"/>
  <c r="R109" i="83" s="1"/>
  <c r="R111" i="83" s="1"/>
  <c r="S83" i="83"/>
  <c r="T94" i="83"/>
  <c r="T96" i="83" s="1"/>
  <c r="R64" i="83"/>
  <c r="R65" i="83" s="1"/>
  <c r="R62" i="91"/>
  <c r="R149" i="90"/>
  <c r="R153" i="90" s="1"/>
  <c r="O153" i="90"/>
  <c r="L11" i="90"/>
  <c r="V50" i="90"/>
  <c r="K10" i="91"/>
  <c r="K12" i="91" s="1"/>
  <c r="K73" i="83"/>
  <c r="K74" i="83" s="1"/>
  <c r="K15" i="91" s="1"/>
  <c r="N10" i="91"/>
  <c r="N12" i="91" s="1"/>
  <c r="N11" i="90" s="1"/>
  <c r="N73" i="83"/>
  <c r="N74" i="83" s="1"/>
  <c r="N15" i="91" s="1"/>
  <c r="S30" i="83"/>
  <c r="S32" i="83" s="1"/>
  <c r="S21" i="91" s="1"/>
  <c r="T29" i="83"/>
  <c r="T24" i="83"/>
  <c r="T27" i="83"/>
  <c r="T26" i="83"/>
  <c r="T28" i="83"/>
  <c r="T25" i="83"/>
  <c r="T62" i="83"/>
  <c r="T72" i="83"/>
  <c r="P85" i="91"/>
  <c r="Q85" i="91"/>
  <c r="Q25" i="90"/>
  <c r="R24" i="91"/>
  <c r="P29" i="90"/>
  <c r="N28" i="90"/>
  <c r="N30" i="90" s="1"/>
  <c r="M33" i="90"/>
  <c r="M37" i="90" s="1"/>
  <c r="O25" i="90"/>
  <c r="O85" i="91"/>
  <c r="O86" i="91" s="1"/>
  <c r="P63" i="91"/>
  <c r="P14" i="90"/>
  <c r="V48" i="90"/>
  <c r="U53" i="90"/>
  <c r="V53" i="90" s="1"/>
  <c r="U8" i="90"/>
  <c r="K58" i="90"/>
  <c r="L58" i="90" s="1"/>
  <c r="N56" i="90"/>
  <c r="V51" i="90"/>
  <c r="V52" i="90"/>
  <c r="V49" i="90"/>
  <c r="S55" i="90"/>
  <c r="T55" i="90" s="1"/>
  <c r="U55" i="90" s="1"/>
  <c r="V55" i="90" s="1"/>
  <c r="V47" i="90"/>
  <c r="V46" i="90"/>
  <c r="Q54" i="90"/>
  <c r="M57" i="90"/>
  <c r="V45" i="90"/>
  <c r="C60" i="90"/>
  <c r="J59" i="90"/>
  <c r="X4" i="91"/>
  <c r="W6" i="91"/>
  <c r="W5" i="91"/>
  <c r="W4" i="90"/>
  <c r="V6" i="90"/>
  <c r="V21" i="90" s="1"/>
  <c r="V5" i="90"/>
  <c r="M68" i="83"/>
  <c r="V4" i="83"/>
  <c r="U6" i="83"/>
  <c r="U5" i="83"/>
  <c r="Q55" i="83"/>
  <c r="Q71" i="93" s="1"/>
  <c r="T48" i="83"/>
  <c r="Q14" i="90" l="1"/>
  <c r="M155" i="90"/>
  <c r="M69" i="83"/>
  <c r="Q157" i="90"/>
  <c r="U78" i="83"/>
  <c r="U86" i="83"/>
  <c r="U93" i="83"/>
  <c r="U87" i="83"/>
  <c r="U89" i="83" s="1"/>
  <c r="U80" i="83"/>
  <c r="U82" i="83" s="1"/>
  <c r="R110" i="83"/>
  <c r="R18" i="91" s="1"/>
  <c r="R14" i="90" s="1"/>
  <c r="U47" i="83"/>
  <c r="U45" i="83" s="1"/>
  <c r="U117" i="83"/>
  <c r="T23" i="91"/>
  <c r="T118" i="83"/>
  <c r="T51" i="83"/>
  <c r="T55" i="83" s="1"/>
  <c r="T107" i="83"/>
  <c r="T97" i="83"/>
  <c r="J79" i="91"/>
  <c r="J80" i="91" s="1"/>
  <c r="J82" i="91" s="1"/>
  <c r="S90" i="83"/>
  <c r="S108" i="83"/>
  <c r="S109" i="83" s="1"/>
  <c r="T83" i="83"/>
  <c r="U94" i="83"/>
  <c r="U96" i="83" s="1"/>
  <c r="S64" i="83"/>
  <c r="S65" i="83" s="1"/>
  <c r="S62" i="91"/>
  <c r="S149" i="90"/>
  <c r="S153" i="90" s="1"/>
  <c r="Q64" i="83"/>
  <c r="Q65" i="83" s="1"/>
  <c r="Q149" i="90"/>
  <c r="Q62" i="91"/>
  <c r="Q77" i="93"/>
  <c r="O160" i="90"/>
  <c r="S77" i="93"/>
  <c r="N26" i="91"/>
  <c r="W50" i="90"/>
  <c r="K26" i="91"/>
  <c r="N12" i="90"/>
  <c r="K12" i="90"/>
  <c r="P10" i="91"/>
  <c r="P12" i="91" s="1"/>
  <c r="P11" i="90" s="1"/>
  <c r="P73" i="83"/>
  <c r="P74" i="83" s="1"/>
  <c r="P15" i="91" s="1"/>
  <c r="T30" i="83"/>
  <c r="T32" i="83" s="1"/>
  <c r="T21" i="91" s="1"/>
  <c r="U26" i="83"/>
  <c r="U29" i="83"/>
  <c r="U24" i="83"/>
  <c r="U25" i="83"/>
  <c r="U27" i="83"/>
  <c r="U28" i="83"/>
  <c r="U62" i="83"/>
  <c r="K64" i="91"/>
  <c r="K71" i="91" s="1"/>
  <c r="K72" i="91" s="1"/>
  <c r="K74" i="91" s="1"/>
  <c r="N64" i="91"/>
  <c r="N71" i="91" s="1"/>
  <c r="U72" i="83"/>
  <c r="P86" i="91"/>
  <c r="Q86" i="91" s="1"/>
  <c r="R25" i="90"/>
  <c r="R85" i="91"/>
  <c r="O28" i="90"/>
  <c r="N33" i="90"/>
  <c r="N37" i="90" s="1"/>
  <c r="Q29" i="90"/>
  <c r="O29" i="90"/>
  <c r="K11" i="90"/>
  <c r="V8" i="90"/>
  <c r="K59" i="90"/>
  <c r="L59" i="90" s="1"/>
  <c r="W49" i="90"/>
  <c r="W51" i="90"/>
  <c r="C61" i="90"/>
  <c r="J60" i="90"/>
  <c r="W47" i="90"/>
  <c r="W48" i="90"/>
  <c r="N57" i="90"/>
  <c r="W53" i="90"/>
  <c r="W52" i="90"/>
  <c r="R54" i="90"/>
  <c r="W45" i="90"/>
  <c r="X45" i="90" s="1"/>
  <c r="W46" i="90"/>
  <c r="W55" i="90"/>
  <c r="O56" i="90"/>
  <c r="M58" i="90"/>
  <c r="Y4" i="91"/>
  <c r="X6" i="91"/>
  <c r="X5" i="91"/>
  <c r="X4" i="90"/>
  <c r="X50" i="90" s="1"/>
  <c r="W6" i="90"/>
  <c r="W21" i="90" s="1"/>
  <c r="W5" i="90"/>
  <c r="W4" i="83"/>
  <c r="V6" i="83"/>
  <c r="V5" i="83"/>
  <c r="U48" i="83"/>
  <c r="V87" i="83" l="1"/>
  <c r="V89" i="83" s="1"/>
  <c r="V80" i="83"/>
  <c r="V82" i="83" s="1"/>
  <c r="V78" i="83"/>
  <c r="V86" i="83"/>
  <c r="V93" i="83"/>
  <c r="R63" i="91"/>
  <c r="R157" i="90"/>
  <c r="R160" i="90" s="1"/>
  <c r="S110" i="83"/>
  <c r="S18" i="91" s="1"/>
  <c r="S63" i="91" s="1"/>
  <c r="S111" i="83"/>
  <c r="U51" i="83"/>
  <c r="U55" i="83" s="1"/>
  <c r="U71" i="93" s="1"/>
  <c r="V47" i="83"/>
  <c r="V45" i="83" s="1"/>
  <c r="V117" i="83"/>
  <c r="U23" i="91"/>
  <c r="U118" i="83"/>
  <c r="T71" i="93"/>
  <c r="T77" i="93" s="1"/>
  <c r="U107" i="83"/>
  <c r="U97" i="83"/>
  <c r="T90" i="83"/>
  <c r="T108" i="83"/>
  <c r="U83" i="83"/>
  <c r="V94" i="83"/>
  <c r="V96" i="83" s="1"/>
  <c r="N66" i="91"/>
  <c r="K66" i="91"/>
  <c r="T64" i="83"/>
  <c r="T65" i="83" s="1"/>
  <c r="T62" i="91"/>
  <c r="T149" i="90"/>
  <c r="T153" i="90" s="1"/>
  <c r="Q153" i="90"/>
  <c r="P26" i="91"/>
  <c r="P12" i="90"/>
  <c r="M10" i="91"/>
  <c r="M73" i="83"/>
  <c r="M74" i="83" s="1"/>
  <c r="M15" i="91" s="1"/>
  <c r="P64" i="91"/>
  <c r="P71" i="91" s="1"/>
  <c r="U30" i="83"/>
  <c r="U32" i="83" s="1"/>
  <c r="U21" i="91" s="1"/>
  <c r="V26" i="83"/>
  <c r="V29" i="83"/>
  <c r="V24" i="83"/>
  <c r="V25" i="83"/>
  <c r="V28" i="83"/>
  <c r="V27" i="83"/>
  <c r="V62" i="83"/>
  <c r="V72" i="83"/>
  <c r="S68" i="83"/>
  <c r="R86" i="91"/>
  <c r="S24" i="91"/>
  <c r="O30" i="90"/>
  <c r="R29" i="90"/>
  <c r="W8" i="90"/>
  <c r="X52" i="90"/>
  <c r="X48" i="90"/>
  <c r="C62" i="90"/>
  <c r="J61" i="90"/>
  <c r="X49" i="90"/>
  <c r="Y45" i="90"/>
  <c r="X55" i="90"/>
  <c r="N58" i="90"/>
  <c r="X53" i="90"/>
  <c r="S54" i="90"/>
  <c r="X47" i="90"/>
  <c r="M59" i="90"/>
  <c r="P56" i="90"/>
  <c r="O57" i="90"/>
  <c r="P57" i="90" s="1"/>
  <c r="K60" i="90"/>
  <c r="L60" i="90" s="1"/>
  <c r="X46" i="90"/>
  <c r="Y46" i="90" s="1"/>
  <c r="Z46" i="90" s="1"/>
  <c r="AA46" i="90" s="1"/>
  <c r="AB46" i="90" s="1"/>
  <c r="AC46" i="90" s="1"/>
  <c r="AD46" i="90" s="1"/>
  <c r="X51" i="90"/>
  <c r="Y6" i="91"/>
  <c r="Y5" i="91"/>
  <c r="Z4" i="91"/>
  <c r="X6" i="90"/>
  <c r="X21" i="90" s="1"/>
  <c r="X5" i="90"/>
  <c r="Y4" i="90"/>
  <c r="Y50" i="90" s="1"/>
  <c r="O68" i="83"/>
  <c r="V48" i="83"/>
  <c r="X4" i="83"/>
  <c r="W6" i="83"/>
  <c r="W5" i="83"/>
  <c r="S157" i="90" l="1"/>
  <c r="S160" i="90" s="1"/>
  <c r="S14" i="90"/>
  <c r="W93" i="83"/>
  <c r="W80" i="83"/>
  <c r="W82" i="83" s="1"/>
  <c r="W87" i="83"/>
  <c r="W89" i="83" s="1"/>
  <c r="W78" i="83"/>
  <c r="W86" i="83"/>
  <c r="O155" i="90"/>
  <c r="O159" i="90" s="1"/>
  <c r="O69" i="83"/>
  <c r="O71" i="83" s="1"/>
  <c r="K16" i="97" s="1"/>
  <c r="S155" i="90"/>
  <c r="S159" i="90" s="1"/>
  <c r="S69" i="83"/>
  <c r="S71" i="83" s="1"/>
  <c r="O16" i="97" s="1"/>
  <c r="W47" i="83"/>
  <c r="W45" i="83" s="1"/>
  <c r="W117" i="83"/>
  <c r="V107" i="83"/>
  <c r="V23" i="91"/>
  <c r="V118" i="83"/>
  <c r="V51" i="83"/>
  <c r="V55" i="83" s="1"/>
  <c r="V71" i="93" s="1"/>
  <c r="V97" i="83"/>
  <c r="K79" i="91"/>
  <c r="K80" i="91" s="1"/>
  <c r="K82" i="91" s="1"/>
  <c r="T109" i="83"/>
  <c r="U90" i="83"/>
  <c r="U108" i="83"/>
  <c r="U109" i="83" s="1"/>
  <c r="V83" i="83"/>
  <c r="W94" i="83"/>
  <c r="W96" i="83" s="1"/>
  <c r="P66" i="91"/>
  <c r="U64" i="83"/>
  <c r="U65" i="83" s="1"/>
  <c r="U62" i="91"/>
  <c r="U149" i="90"/>
  <c r="U153" i="90" s="1"/>
  <c r="Q160" i="90"/>
  <c r="U77" i="93"/>
  <c r="M12" i="90"/>
  <c r="M12" i="91"/>
  <c r="M26" i="91" s="1"/>
  <c r="W28" i="83"/>
  <c r="W26" i="83"/>
  <c r="W27" i="83"/>
  <c r="W24" i="83"/>
  <c r="W29" i="83"/>
  <c r="W25" i="83"/>
  <c r="V30" i="83"/>
  <c r="V32" i="83" s="1"/>
  <c r="V21" i="91" s="1"/>
  <c r="W62" i="83"/>
  <c r="W72" i="83"/>
  <c r="T68" i="83"/>
  <c r="T24" i="91"/>
  <c r="M64" i="91"/>
  <c r="M71" i="91" s="1"/>
  <c r="M72" i="91" s="1"/>
  <c r="M74" i="91" s="1"/>
  <c r="S25" i="90"/>
  <c r="S85" i="91"/>
  <c r="S86" i="91" s="1"/>
  <c r="P28" i="90"/>
  <c r="P30" i="90" s="1"/>
  <c r="O33" i="90"/>
  <c r="O37" i="90" s="1"/>
  <c r="X8" i="90"/>
  <c r="Y53" i="90"/>
  <c r="O58" i="90"/>
  <c r="Q56" i="90"/>
  <c r="R56" i="90" s="1"/>
  <c r="S56" i="90" s="1"/>
  <c r="T56" i="90" s="1"/>
  <c r="Q57" i="90"/>
  <c r="R57" i="90" s="1"/>
  <c r="Y55" i="90"/>
  <c r="N59" i="90"/>
  <c r="C63" i="90"/>
  <c r="J62" i="90"/>
  <c r="M60" i="90"/>
  <c r="Y47" i="90"/>
  <c r="Y48" i="90"/>
  <c r="Y52" i="90"/>
  <c r="Y49" i="90"/>
  <c r="Z49" i="90" s="1"/>
  <c r="Y51" i="90"/>
  <c r="Z51" i="90" s="1"/>
  <c r="AE46" i="90"/>
  <c r="AF46" i="90" s="1"/>
  <c r="AG46" i="90" s="1"/>
  <c r="AH46" i="90" s="1"/>
  <c r="AI46" i="90" s="1"/>
  <c r="AJ46" i="90" s="1"/>
  <c r="AK46" i="90" s="1"/>
  <c r="AL46" i="90" s="1"/>
  <c r="AM46" i="90" s="1"/>
  <c r="AN46" i="90" s="1"/>
  <c r="AO46" i="90" s="1"/>
  <c r="AP46" i="90" s="1"/>
  <c r="AQ46" i="90" s="1"/>
  <c r="AR46" i="90" s="1"/>
  <c r="AS46" i="90" s="1"/>
  <c r="AT46" i="90" s="1"/>
  <c r="AU46" i="90" s="1"/>
  <c r="AV46" i="90" s="1"/>
  <c r="AW46" i="90" s="1"/>
  <c r="AX46" i="90" s="1"/>
  <c r="AY46" i="90" s="1"/>
  <c r="AZ46" i="90" s="1"/>
  <c r="BA46" i="90" s="1"/>
  <c r="BB46" i="90" s="1"/>
  <c r="BC46" i="90" s="1"/>
  <c r="BD46" i="90" s="1"/>
  <c r="BE46" i="90" s="1"/>
  <c r="BF46" i="90" s="1"/>
  <c r="BG46" i="90" s="1"/>
  <c r="BH46" i="90" s="1"/>
  <c r="BI46" i="90" s="1"/>
  <c r="BJ46" i="90" s="1"/>
  <c r="BK46" i="90" s="1"/>
  <c r="BL46" i="90" s="1"/>
  <c r="BM46" i="90" s="1"/>
  <c r="BN46" i="90" s="1"/>
  <c r="BO46" i="90" s="1"/>
  <c r="BP46" i="90" s="1"/>
  <c r="BQ46" i="90" s="1"/>
  <c r="BR46" i="90" s="1"/>
  <c r="BS46" i="90" s="1"/>
  <c r="BT46" i="90" s="1"/>
  <c r="BU46" i="90" s="1"/>
  <c r="BV46" i="90" s="1"/>
  <c r="BW46" i="90" s="1"/>
  <c r="BX46" i="90" s="1"/>
  <c r="BY46" i="90" s="1"/>
  <c r="BZ46" i="90" s="1"/>
  <c r="CA46" i="90" s="1"/>
  <c r="CB46" i="90" s="1"/>
  <c r="CC46" i="90" s="1"/>
  <c r="CD46" i="90" s="1"/>
  <c r="CE46" i="90" s="1"/>
  <c r="CF46" i="90" s="1"/>
  <c r="CG46" i="90" s="1"/>
  <c r="CH46" i="90" s="1"/>
  <c r="CI46" i="90" s="1"/>
  <c r="CJ46" i="90" s="1"/>
  <c r="CK46" i="90" s="1"/>
  <c r="CL46" i="90" s="1"/>
  <c r="CM46" i="90" s="1"/>
  <c r="CN46" i="90" s="1"/>
  <c r="CO46" i="90" s="1"/>
  <c r="CP46" i="90" s="1"/>
  <c r="CQ46" i="90" s="1"/>
  <c r="CR46" i="90" s="1"/>
  <c r="CS46" i="90" s="1"/>
  <c r="CT46" i="90" s="1"/>
  <c r="CU46" i="90" s="1"/>
  <c r="CV46" i="90" s="1"/>
  <c r="CW46" i="90" s="1"/>
  <c r="CX46" i="90" s="1"/>
  <c r="CY46" i="90" s="1"/>
  <c r="CZ46" i="90" s="1"/>
  <c r="DA46" i="90" s="1"/>
  <c r="DB46" i="90" s="1"/>
  <c r="DC46" i="90" s="1"/>
  <c r="DD46" i="90" s="1"/>
  <c r="DE46" i="90" s="1"/>
  <c r="DF46" i="90" s="1"/>
  <c r="DG46" i="90" s="1"/>
  <c r="DH46" i="90" s="1"/>
  <c r="DI46" i="90" s="1"/>
  <c r="DJ46" i="90" s="1"/>
  <c r="DK46" i="90" s="1"/>
  <c r="DL46" i="90" s="1"/>
  <c r="DM46" i="90" s="1"/>
  <c r="T54" i="90"/>
  <c r="Z45" i="90"/>
  <c r="K61" i="90"/>
  <c r="L61" i="90" s="1"/>
  <c r="M61" i="90" s="1"/>
  <c r="AA4" i="91"/>
  <c r="Z6" i="91"/>
  <c r="Z5" i="91"/>
  <c r="Z4" i="90"/>
  <c r="Z50" i="90" s="1"/>
  <c r="Y6" i="90"/>
  <c r="Y21" i="90" s="1"/>
  <c r="Y5" i="90"/>
  <c r="W48" i="83"/>
  <c r="Y4" i="83"/>
  <c r="X6" i="83"/>
  <c r="X5" i="83"/>
  <c r="T25" i="90" l="1"/>
  <c r="T29" i="90" s="1"/>
  <c r="U111" i="83"/>
  <c r="T111" i="83"/>
  <c r="T155" i="90"/>
  <c r="T159" i="90" s="1"/>
  <c r="T69" i="83"/>
  <c r="T71" i="83" s="1"/>
  <c r="P16" i="97" s="1"/>
  <c r="X86" i="83"/>
  <c r="X87" i="83"/>
  <c r="X89" i="83" s="1"/>
  <c r="X78" i="83"/>
  <c r="X93" i="83"/>
  <c r="X80" i="83"/>
  <c r="X82" i="83" s="1"/>
  <c r="U110" i="83"/>
  <c r="U18" i="91" s="1"/>
  <c r="U14" i="90" s="1"/>
  <c r="P70" i="83"/>
  <c r="O70" i="83"/>
  <c r="W107" i="83"/>
  <c r="W97" i="83"/>
  <c r="X47" i="83"/>
  <c r="X45" i="83" s="1"/>
  <c r="X117" i="83"/>
  <c r="W23" i="91"/>
  <c r="W118" i="83"/>
  <c r="W51" i="83"/>
  <c r="W55" i="83" s="1"/>
  <c r="W71" i="93" s="1"/>
  <c r="T110" i="83"/>
  <c r="V90" i="83"/>
  <c r="V108" i="83"/>
  <c r="V109" i="83" s="1"/>
  <c r="W83" i="83"/>
  <c r="X94" i="83"/>
  <c r="X96" i="83" s="1"/>
  <c r="M66" i="91"/>
  <c r="V64" i="83"/>
  <c r="V65" i="83" s="1"/>
  <c r="V149" i="90"/>
  <c r="V153" i="90" s="1"/>
  <c r="V62" i="91"/>
  <c r="V77" i="93"/>
  <c r="M11" i="90"/>
  <c r="O10" i="91"/>
  <c r="O12" i="91" s="1"/>
  <c r="O73" i="83"/>
  <c r="O74" i="83" s="1"/>
  <c r="O15" i="91" s="1"/>
  <c r="S10" i="91"/>
  <c r="S73" i="83"/>
  <c r="S74" i="83" s="1"/>
  <c r="S15" i="91" s="1"/>
  <c r="X25" i="83"/>
  <c r="X28" i="83"/>
  <c r="X24" i="83"/>
  <c r="X27" i="83"/>
  <c r="X29" i="83"/>
  <c r="X26" i="83"/>
  <c r="W30" i="83"/>
  <c r="W32" i="83" s="1"/>
  <c r="W21" i="91" s="1"/>
  <c r="X62" i="83"/>
  <c r="S64" i="91"/>
  <c r="S71" i="91" s="1"/>
  <c r="X72" i="83"/>
  <c r="R68" i="83"/>
  <c r="T85" i="91"/>
  <c r="T86" i="91" s="1"/>
  <c r="U24" i="91"/>
  <c r="Q28" i="90"/>
  <c r="Q30" i="90" s="1"/>
  <c r="P33" i="90"/>
  <c r="P37" i="90" s="1"/>
  <c r="V24" i="91"/>
  <c r="S29" i="90"/>
  <c r="N61" i="90"/>
  <c r="O61" i="90" s="1"/>
  <c r="S57" i="90"/>
  <c r="T57" i="90" s="1"/>
  <c r="Y8" i="90"/>
  <c r="U56" i="90"/>
  <c r="V56" i="90" s="1"/>
  <c r="W56" i="90" s="1"/>
  <c r="X56" i="90" s="1"/>
  <c r="Y56" i="90" s="1"/>
  <c r="Z56" i="90" s="1"/>
  <c r="K62" i="90"/>
  <c r="L62" i="90" s="1"/>
  <c r="Z55" i="90"/>
  <c r="O59" i="90"/>
  <c r="P59" i="90" s="1"/>
  <c r="Q59" i="90" s="1"/>
  <c r="P58" i="90"/>
  <c r="AA45" i="90"/>
  <c r="U54" i="90"/>
  <c r="Z52" i="90"/>
  <c r="Z47" i="90"/>
  <c r="AA47" i="90" s="1"/>
  <c r="AB47" i="90" s="1"/>
  <c r="AC47" i="90" s="1"/>
  <c r="AD47" i="90" s="1"/>
  <c r="AE47" i="90" s="1"/>
  <c r="AF47" i="90" s="1"/>
  <c r="AG47" i="90" s="1"/>
  <c r="AH47" i="90" s="1"/>
  <c r="AI47" i="90" s="1"/>
  <c r="AJ47" i="90" s="1"/>
  <c r="AK47" i="90" s="1"/>
  <c r="AL47" i="90" s="1"/>
  <c r="AM47" i="90" s="1"/>
  <c r="AN47" i="90" s="1"/>
  <c r="AO47" i="90" s="1"/>
  <c r="AP47" i="90" s="1"/>
  <c r="AQ47" i="90" s="1"/>
  <c r="AR47" i="90" s="1"/>
  <c r="AS47" i="90" s="1"/>
  <c r="AT47" i="90" s="1"/>
  <c r="AU47" i="90" s="1"/>
  <c r="AV47" i="90" s="1"/>
  <c r="AW47" i="90" s="1"/>
  <c r="AX47" i="90" s="1"/>
  <c r="AY47" i="90" s="1"/>
  <c r="AZ47" i="90" s="1"/>
  <c r="BA47" i="90" s="1"/>
  <c r="BB47" i="90" s="1"/>
  <c r="BC47" i="90" s="1"/>
  <c r="BD47" i="90" s="1"/>
  <c r="BE47" i="90" s="1"/>
  <c r="BF47" i="90" s="1"/>
  <c r="BG47" i="90" s="1"/>
  <c r="BH47" i="90" s="1"/>
  <c r="BI47" i="90" s="1"/>
  <c r="BJ47" i="90" s="1"/>
  <c r="BK47" i="90" s="1"/>
  <c r="BL47" i="90" s="1"/>
  <c r="BM47" i="90" s="1"/>
  <c r="BN47" i="90" s="1"/>
  <c r="BO47" i="90" s="1"/>
  <c r="BP47" i="90" s="1"/>
  <c r="BQ47" i="90" s="1"/>
  <c r="BR47" i="90" s="1"/>
  <c r="BS47" i="90" s="1"/>
  <c r="BT47" i="90" s="1"/>
  <c r="BU47" i="90" s="1"/>
  <c r="BV47" i="90" s="1"/>
  <c r="BW47" i="90" s="1"/>
  <c r="BX47" i="90" s="1"/>
  <c r="BY47" i="90" s="1"/>
  <c r="BZ47" i="90" s="1"/>
  <c r="CA47" i="90" s="1"/>
  <c r="CB47" i="90" s="1"/>
  <c r="CC47" i="90" s="1"/>
  <c r="CD47" i="90" s="1"/>
  <c r="CE47" i="90" s="1"/>
  <c r="CF47" i="90" s="1"/>
  <c r="CG47" i="90" s="1"/>
  <c r="CH47" i="90" s="1"/>
  <c r="CI47" i="90" s="1"/>
  <c r="CJ47" i="90" s="1"/>
  <c r="CK47" i="90" s="1"/>
  <c r="CL47" i="90" s="1"/>
  <c r="CM47" i="90" s="1"/>
  <c r="CN47" i="90" s="1"/>
  <c r="CO47" i="90" s="1"/>
  <c r="CP47" i="90" s="1"/>
  <c r="CQ47" i="90" s="1"/>
  <c r="CR47" i="90" s="1"/>
  <c r="CS47" i="90" s="1"/>
  <c r="CT47" i="90" s="1"/>
  <c r="CU47" i="90" s="1"/>
  <c r="CV47" i="90" s="1"/>
  <c r="CW47" i="90" s="1"/>
  <c r="CX47" i="90" s="1"/>
  <c r="CY47" i="90" s="1"/>
  <c r="CZ47" i="90" s="1"/>
  <c r="DA47" i="90" s="1"/>
  <c r="DB47" i="90" s="1"/>
  <c r="DC47" i="90" s="1"/>
  <c r="DD47" i="90" s="1"/>
  <c r="DE47" i="90" s="1"/>
  <c r="DF47" i="90" s="1"/>
  <c r="DG47" i="90" s="1"/>
  <c r="DH47" i="90" s="1"/>
  <c r="DI47" i="90" s="1"/>
  <c r="DJ47" i="90" s="1"/>
  <c r="DK47" i="90" s="1"/>
  <c r="DL47" i="90" s="1"/>
  <c r="DM47" i="90" s="1"/>
  <c r="C64" i="90"/>
  <c r="J63" i="90"/>
  <c r="N60" i="90"/>
  <c r="O60" i="90" s="1"/>
  <c r="Z53" i="90"/>
  <c r="Z48" i="90"/>
  <c r="AB4" i="91"/>
  <c r="AA6" i="91"/>
  <c r="AA5" i="91"/>
  <c r="AA4" i="90"/>
  <c r="Z6" i="90"/>
  <c r="Z21" i="90" s="1"/>
  <c r="Z5" i="90"/>
  <c r="Q68" i="83"/>
  <c r="Z4" i="83"/>
  <c r="Y5" i="83"/>
  <c r="Y6" i="83"/>
  <c r="X48" i="83"/>
  <c r="Y36" i="83" l="1"/>
  <c r="U85" i="91"/>
  <c r="U86" i="91" s="1"/>
  <c r="U63" i="91"/>
  <c r="Y80" i="83"/>
  <c r="Y86" i="83"/>
  <c r="Y93" i="83"/>
  <c r="Y87" i="83"/>
  <c r="V110" i="83"/>
  <c r="V18" i="91" s="1"/>
  <c r="V14" i="90" s="1"/>
  <c r="Q155" i="90"/>
  <c r="Q159" i="90" s="1"/>
  <c r="Q69" i="83"/>
  <c r="Q71" i="83" s="1"/>
  <c r="M16" i="97" s="1"/>
  <c r="U157" i="90"/>
  <c r="U160" i="90" s="1"/>
  <c r="R155" i="90"/>
  <c r="R159" i="90" s="1"/>
  <c r="R69" i="83"/>
  <c r="T70" i="83"/>
  <c r="V111" i="83"/>
  <c r="Y47" i="83"/>
  <c r="Y100" i="83"/>
  <c r="Y39" i="83"/>
  <c r="Y45" i="83" s="1"/>
  <c r="Y117" i="83"/>
  <c r="Y23" i="91" s="1"/>
  <c r="Y116" i="83"/>
  <c r="Y37" i="83"/>
  <c r="X23" i="91"/>
  <c r="X118" i="83"/>
  <c r="X51" i="83"/>
  <c r="X55" i="83" s="1"/>
  <c r="X71" i="93" s="1"/>
  <c r="X107" i="83"/>
  <c r="X97" i="83"/>
  <c r="T157" i="90"/>
  <c r="T160" i="90" s="1"/>
  <c r="T18" i="91"/>
  <c r="M79" i="91"/>
  <c r="M80" i="91" s="1"/>
  <c r="M82" i="91" s="1"/>
  <c r="W90" i="83"/>
  <c r="W108" i="83"/>
  <c r="W109" i="83" s="1"/>
  <c r="W111" i="83" s="1"/>
  <c r="X83" i="83"/>
  <c r="Y94" i="83"/>
  <c r="Y78" i="83"/>
  <c r="S66" i="91"/>
  <c r="W64" i="83"/>
  <c r="W65" i="83" s="1"/>
  <c r="W149" i="90"/>
  <c r="W153" i="90" s="1"/>
  <c r="W62" i="91"/>
  <c r="W77" i="93"/>
  <c r="O26" i="91"/>
  <c r="S12" i="91"/>
  <c r="S11" i="90" s="1"/>
  <c r="T10" i="91"/>
  <c r="T73" i="83"/>
  <c r="T74" i="83" s="1"/>
  <c r="T15" i="91" s="1"/>
  <c r="S12" i="90"/>
  <c r="O12" i="90"/>
  <c r="Y25" i="83"/>
  <c r="Y28" i="83"/>
  <c r="Y24" i="83"/>
  <c r="Y26" i="83"/>
  <c r="Y27" i="83"/>
  <c r="Y29" i="83"/>
  <c r="X30" i="83"/>
  <c r="X32" i="83" s="1"/>
  <c r="X21" i="91" s="1"/>
  <c r="Y62" i="83"/>
  <c r="Y72" i="83"/>
  <c r="V68" i="83"/>
  <c r="U25" i="90"/>
  <c r="U29" i="90" s="1"/>
  <c r="V25" i="90"/>
  <c r="V85" i="91"/>
  <c r="W24" i="91"/>
  <c r="R28" i="90"/>
  <c r="R30" i="90" s="1"/>
  <c r="Q33" i="90"/>
  <c r="Q37" i="90" s="1"/>
  <c r="O11" i="90"/>
  <c r="AA56" i="90"/>
  <c r="R59" i="90"/>
  <c r="S59" i="90" s="1"/>
  <c r="P61" i="90"/>
  <c r="Q61" i="90" s="1"/>
  <c r="AA53" i="90"/>
  <c r="P60" i="90"/>
  <c r="Q60" i="90" s="1"/>
  <c r="AA48" i="90"/>
  <c r="AB48" i="90" s="1"/>
  <c r="AC48" i="90" s="1"/>
  <c r="AD48" i="90" s="1"/>
  <c r="AE48" i="90" s="1"/>
  <c r="AF48" i="90" s="1"/>
  <c r="AG48" i="90" s="1"/>
  <c r="AH48" i="90" s="1"/>
  <c r="AI48" i="90" s="1"/>
  <c r="AJ48" i="90" s="1"/>
  <c r="AK48" i="90" s="1"/>
  <c r="AL48" i="90" s="1"/>
  <c r="AM48" i="90" s="1"/>
  <c r="AN48" i="90" s="1"/>
  <c r="AO48" i="90" s="1"/>
  <c r="AP48" i="90" s="1"/>
  <c r="AQ48" i="90" s="1"/>
  <c r="AR48" i="90" s="1"/>
  <c r="AS48" i="90" s="1"/>
  <c r="AT48" i="90" s="1"/>
  <c r="AU48" i="90" s="1"/>
  <c r="AV48" i="90" s="1"/>
  <c r="AW48" i="90" s="1"/>
  <c r="AX48" i="90" s="1"/>
  <c r="AY48" i="90" s="1"/>
  <c r="AZ48" i="90" s="1"/>
  <c r="BA48" i="90" s="1"/>
  <c r="BB48" i="90" s="1"/>
  <c r="BC48" i="90" s="1"/>
  <c r="BD48" i="90" s="1"/>
  <c r="BE48" i="90" s="1"/>
  <c r="BF48" i="90" s="1"/>
  <c r="BG48" i="90" s="1"/>
  <c r="BH48" i="90" s="1"/>
  <c r="BI48" i="90" s="1"/>
  <c r="BJ48" i="90" s="1"/>
  <c r="BK48" i="90" s="1"/>
  <c r="BL48" i="90" s="1"/>
  <c r="BM48" i="90" s="1"/>
  <c r="BN48" i="90" s="1"/>
  <c r="BO48" i="90" s="1"/>
  <c r="BP48" i="90" s="1"/>
  <c r="BQ48" i="90" s="1"/>
  <c r="BR48" i="90" s="1"/>
  <c r="BS48" i="90" s="1"/>
  <c r="BT48" i="90" s="1"/>
  <c r="BU48" i="90" s="1"/>
  <c r="BV48" i="90" s="1"/>
  <c r="BW48" i="90" s="1"/>
  <c r="BX48" i="90" s="1"/>
  <c r="BY48" i="90" s="1"/>
  <c r="BZ48" i="90" s="1"/>
  <c r="CA48" i="90" s="1"/>
  <c r="CB48" i="90" s="1"/>
  <c r="CC48" i="90" s="1"/>
  <c r="CD48" i="90" s="1"/>
  <c r="CE48" i="90" s="1"/>
  <c r="CF48" i="90" s="1"/>
  <c r="CG48" i="90" s="1"/>
  <c r="CH48" i="90" s="1"/>
  <c r="CI48" i="90" s="1"/>
  <c r="CJ48" i="90" s="1"/>
  <c r="CK48" i="90" s="1"/>
  <c r="CL48" i="90" s="1"/>
  <c r="CM48" i="90" s="1"/>
  <c r="CN48" i="90" s="1"/>
  <c r="CO48" i="90" s="1"/>
  <c r="CP48" i="90" s="1"/>
  <c r="CQ48" i="90" s="1"/>
  <c r="CR48" i="90" s="1"/>
  <c r="CS48" i="90" s="1"/>
  <c r="CT48" i="90" s="1"/>
  <c r="CU48" i="90" s="1"/>
  <c r="CV48" i="90" s="1"/>
  <c r="CW48" i="90" s="1"/>
  <c r="CX48" i="90" s="1"/>
  <c r="CY48" i="90" s="1"/>
  <c r="CZ48" i="90" s="1"/>
  <c r="DA48" i="90" s="1"/>
  <c r="DB48" i="90" s="1"/>
  <c r="DC48" i="90" s="1"/>
  <c r="DD48" i="90" s="1"/>
  <c r="DE48" i="90" s="1"/>
  <c r="DF48" i="90" s="1"/>
  <c r="DG48" i="90" s="1"/>
  <c r="DH48" i="90" s="1"/>
  <c r="DI48" i="90" s="1"/>
  <c r="DJ48" i="90" s="1"/>
  <c r="DK48" i="90" s="1"/>
  <c r="DL48" i="90" s="1"/>
  <c r="DM48" i="90" s="1"/>
  <c r="AA50" i="90"/>
  <c r="AA51" i="90"/>
  <c r="AA55" i="90"/>
  <c r="U57" i="90"/>
  <c r="V57" i="90" s="1"/>
  <c r="W57" i="90" s="1"/>
  <c r="X57" i="90" s="1"/>
  <c r="Y57" i="90" s="1"/>
  <c r="Z57" i="90" s="1"/>
  <c r="Z8" i="90"/>
  <c r="Q58" i="90"/>
  <c r="M62" i="90"/>
  <c r="AA49" i="90"/>
  <c r="C65" i="90"/>
  <c r="J64" i="90"/>
  <c r="V54" i="90"/>
  <c r="W54" i="90" s="1"/>
  <c r="X54" i="90" s="1"/>
  <c r="Y54" i="90" s="1"/>
  <c r="Z54" i="90" s="1"/>
  <c r="AA54" i="90" s="1"/>
  <c r="AB45" i="90"/>
  <c r="K63" i="90"/>
  <c r="L63" i="90" s="1"/>
  <c r="M63" i="90" s="1"/>
  <c r="AA52" i="90"/>
  <c r="AC4" i="91"/>
  <c r="AB6" i="91"/>
  <c r="AB5" i="91"/>
  <c r="AB4" i="90"/>
  <c r="AA6" i="90"/>
  <c r="AA21" i="90" s="1"/>
  <c r="AA5" i="90"/>
  <c r="Y48" i="83"/>
  <c r="AA4" i="83"/>
  <c r="Z6" i="83"/>
  <c r="Z5" i="83"/>
  <c r="S70" i="83" l="1"/>
  <c r="R71" i="83"/>
  <c r="N16" i="97" s="1"/>
  <c r="V157" i="90"/>
  <c r="V160" i="90" s="1"/>
  <c r="R70" i="83"/>
  <c r="Q70" i="83"/>
  <c r="V155" i="90"/>
  <c r="V159" i="90" s="1"/>
  <c r="V69" i="83"/>
  <c r="V71" i="83" s="1"/>
  <c r="R16" i="97" s="1"/>
  <c r="V63" i="91"/>
  <c r="Z93" i="83"/>
  <c r="Z87" i="83"/>
  <c r="Z80" i="83"/>
  <c r="W110" i="83"/>
  <c r="W18" i="91" s="1"/>
  <c r="Y82" i="83"/>
  <c r="Y102" i="83"/>
  <c r="Y104" i="83" s="1"/>
  <c r="Y44" i="83"/>
  <c r="Y51" i="83" s="1"/>
  <c r="Y41" i="83"/>
  <c r="Y118" i="83"/>
  <c r="Y22" i="91"/>
  <c r="Z47" i="83"/>
  <c r="Z39" i="83"/>
  <c r="Z45" i="83" s="1"/>
  <c r="Z117" i="83"/>
  <c r="Z23" i="91" s="1"/>
  <c r="Z116" i="83"/>
  <c r="Z36" i="83"/>
  <c r="Z37" i="83"/>
  <c r="Z100" i="83"/>
  <c r="Z102" i="83" s="1"/>
  <c r="Z104" i="83" s="1"/>
  <c r="T63" i="91"/>
  <c r="T64" i="91" s="1"/>
  <c r="T71" i="91" s="1"/>
  <c r="T14" i="90"/>
  <c r="Z86" i="83"/>
  <c r="X90" i="83"/>
  <c r="X108" i="83"/>
  <c r="X109" i="83" s="1"/>
  <c r="X110" i="83" s="1"/>
  <c r="X18" i="91" s="1"/>
  <c r="Z94" i="83"/>
  <c r="Z78" i="83"/>
  <c r="X64" i="83"/>
  <c r="X65" i="83" s="1"/>
  <c r="X149" i="90"/>
  <c r="X153" i="90" s="1"/>
  <c r="X62" i="91"/>
  <c r="X77" i="93"/>
  <c r="S26" i="91"/>
  <c r="O64" i="91"/>
  <c r="O71" i="91" s="1"/>
  <c r="T12" i="91"/>
  <c r="T11" i="90" s="1"/>
  <c r="Q10" i="91"/>
  <c r="Q73" i="83"/>
  <c r="Q74" i="83" s="1"/>
  <c r="Q15" i="91" s="1"/>
  <c r="R10" i="91"/>
  <c r="R73" i="83"/>
  <c r="R74" i="83" s="1"/>
  <c r="R15" i="91" s="1"/>
  <c r="T12" i="90"/>
  <c r="Z27" i="83"/>
  <c r="Z25" i="83"/>
  <c r="Z26" i="83"/>
  <c r="Z28" i="83"/>
  <c r="Z24" i="83"/>
  <c r="Z29" i="83"/>
  <c r="Y30" i="83"/>
  <c r="Y32" i="83" s="1"/>
  <c r="Y21" i="91" s="1"/>
  <c r="Z62" i="83"/>
  <c r="Z72" i="83"/>
  <c r="W68" i="83"/>
  <c r="U68" i="83"/>
  <c r="V86" i="91"/>
  <c r="W25" i="90"/>
  <c r="W85" i="91"/>
  <c r="X24" i="91"/>
  <c r="S28" i="90"/>
  <c r="S30" i="90" s="1"/>
  <c r="R33" i="90"/>
  <c r="R37" i="90" s="1"/>
  <c r="V29" i="90"/>
  <c r="R60" i="90"/>
  <c r="S60" i="90" s="1"/>
  <c r="AB50" i="90"/>
  <c r="AB51" i="90"/>
  <c r="N63" i="90"/>
  <c r="O63" i="90" s="1"/>
  <c r="P63" i="90" s="1"/>
  <c r="AB54" i="90"/>
  <c r="AA57" i="90"/>
  <c r="AB57" i="90" s="1"/>
  <c r="AA8" i="90"/>
  <c r="AB53" i="90"/>
  <c r="AC53" i="90" s="1"/>
  <c r="AB55" i="90"/>
  <c r="N62" i="90"/>
  <c r="O62" i="90" s="1"/>
  <c r="AB52" i="90"/>
  <c r="AB56" i="90"/>
  <c r="AC45" i="90"/>
  <c r="AB49" i="90"/>
  <c r="AC49" i="90" s="1"/>
  <c r="AD49" i="90" s="1"/>
  <c r="AE49" i="90" s="1"/>
  <c r="AF49" i="90" s="1"/>
  <c r="AG49" i="90" s="1"/>
  <c r="AH49" i="90" s="1"/>
  <c r="AI49" i="90" s="1"/>
  <c r="AJ49" i="90" s="1"/>
  <c r="AK49" i="90" s="1"/>
  <c r="AL49" i="90" s="1"/>
  <c r="AM49" i="90" s="1"/>
  <c r="AN49" i="90" s="1"/>
  <c r="AO49" i="90" s="1"/>
  <c r="AP49" i="90" s="1"/>
  <c r="AQ49" i="90" s="1"/>
  <c r="AR49" i="90" s="1"/>
  <c r="AS49" i="90" s="1"/>
  <c r="AT49" i="90" s="1"/>
  <c r="AU49" i="90" s="1"/>
  <c r="AV49" i="90" s="1"/>
  <c r="AW49" i="90" s="1"/>
  <c r="AX49" i="90" s="1"/>
  <c r="AY49" i="90" s="1"/>
  <c r="AZ49" i="90" s="1"/>
  <c r="BA49" i="90" s="1"/>
  <c r="BB49" i="90" s="1"/>
  <c r="BC49" i="90" s="1"/>
  <c r="BD49" i="90" s="1"/>
  <c r="BE49" i="90" s="1"/>
  <c r="BF49" i="90" s="1"/>
  <c r="BG49" i="90" s="1"/>
  <c r="BH49" i="90" s="1"/>
  <c r="BI49" i="90" s="1"/>
  <c r="BJ49" i="90" s="1"/>
  <c r="BK49" i="90" s="1"/>
  <c r="BL49" i="90" s="1"/>
  <c r="BM49" i="90" s="1"/>
  <c r="BN49" i="90" s="1"/>
  <c r="BO49" i="90" s="1"/>
  <c r="BP49" i="90" s="1"/>
  <c r="BQ49" i="90" s="1"/>
  <c r="BR49" i="90" s="1"/>
  <c r="BS49" i="90" s="1"/>
  <c r="BT49" i="90" s="1"/>
  <c r="BU49" i="90" s="1"/>
  <c r="BV49" i="90" s="1"/>
  <c r="BW49" i="90" s="1"/>
  <c r="BX49" i="90" s="1"/>
  <c r="BY49" i="90" s="1"/>
  <c r="BZ49" i="90" s="1"/>
  <c r="CA49" i="90" s="1"/>
  <c r="CB49" i="90" s="1"/>
  <c r="CC49" i="90" s="1"/>
  <c r="CD49" i="90" s="1"/>
  <c r="CE49" i="90" s="1"/>
  <c r="CF49" i="90" s="1"/>
  <c r="CG49" i="90" s="1"/>
  <c r="CH49" i="90" s="1"/>
  <c r="CI49" i="90" s="1"/>
  <c r="CJ49" i="90" s="1"/>
  <c r="CK49" i="90" s="1"/>
  <c r="CL49" i="90" s="1"/>
  <c r="CM49" i="90" s="1"/>
  <c r="CN49" i="90" s="1"/>
  <c r="CO49" i="90" s="1"/>
  <c r="CP49" i="90" s="1"/>
  <c r="CQ49" i="90" s="1"/>
  <c r="CR49" i="90" s="1"/>
  <c r="CS49" i="90" s="1"/>
  <c r="CT49" i="90" s="1"/>
  <c r="CU49" i="90" s="1"/>
  <c r="CV49" i="90" s="1"/>
  <c r="CW49" i="90" s="1"/>
  <c r="CX49" i="90" s="1"/>
  <c r="CY49" i="90" s="1"/>
  <c r="CZ49" i="90" s="1"/>
  <c r="DA49" i="90" s="1"/>
  <c r="DB49" i="90" s="1"/>
  <c r="DC49" i="90" s="1"/>
  <c r="DD49" i="90" s="1"/>
  <c r="DE49" i="90" s="1"/>
  <c r="DF49" i="90" s="1"/>
  <c r="DG49" i="90" s="1"/>
  <c r="DH49" i="90" s="1"/>
  <c r="DI49" i="90" s="1"/>
  <c r="DJ49" i="90" s="1"/>
  <c r="DK49" i="90" s="1"/>
  <c r="DL49" i="90" s="1"/>
  <c r="DM49" i="90" s="1"/>
  <c r="C66" i="90"/>
  <c r="J65" i="90"/>
  <c r="T59" i="90"/>
  <c r="U59" i="90" s="1"/>
  <c r="R61" i="90"/>
  <c r="K64" i="90"/>
  <c r="L64" i="90" s="1"/>
  <c r="R58" i="90"/>
  <c r="S58" i="90" s="1"/>
  <c r="AC6" i="91"/>
  <c r="AC5" i="91"/>
  <c r="AD4" i="91"/>
  <c r="AB6" i="90"/>
  <c r="AB21" i="90" s="1"/>
  <c r="AB5" i="90"/>
  <c r="AC4" i="90"/>
  <c r="Z48" i="83"/>
  <c r="AB4" i="83"/>
  <c r="AA6" i="83"/>
  <c r="AA5" i="83"/>
  <c r="W157" i="90" l="1"/>
  <c r="W160" i="90" s="1"/>
  <c r="Y96" i="83"/>
  <c r="Y97" i="83" s="1"/>
  <c r="Y55" i="83"/>
  <c r="Y71" i="93" s="1"/>
  <c r="Y77" i="93" s="1"/>
  <c r="Z82" i="83"/>
  <c r="Y89" i="83"/>
  <c r="Y90" i="83" s="1"/>
  <c r="U155" i="90"/>
  <c r="U159" i="90" s="1"/>
  <c r="U69" i="83"/>
  <c r="U71" i="83" s="1"/>
  <c r="Q16" i="97" s="1"/>
  <c r="X111" i="83"/>
  <c r="W155" i="90"/>
  <c r="W159" i="90" s="1"/>
  <c r="W69" i="83"/>
  <c r="W71" i="83" s="1"/>
  <c r="S16" i="97" s="1"/>
  <c r="AA80" i="83"/>
  <c r="AA93" i="83"/>
  <c r="Y107" i="83"/>
  <c r="Y83" i="83"/>
  <c r="Z44" i="83"/>
  <c r="Z51" i="83" s="1"/>
  <c r="Z55" i="83" s="1"/>
  <c r="Z71" i="93" s="1"/>
  <c r="Z41" i="83"/>
  <c r="Z22" i="91"/>
  <c r="Z118" i="83"/>
  <c r="T66" i="91"/>
  <c r="AA47" i="83"/>
  <c r="AA116" i="83"/>
  <c r="AA117" i="83"/>
  <c r="AA23" i="91" s="1"/>
  <c r="AA100" i="83"/>
  <c r="AA102" i="83" s="1"/>
  <c r="AA104" i="83" s="1"/>
  <c r="AA37" i="83"/>
  <c r="AA39" i="83"/>
  <c r="AA45" i="83" s="1"/>
  <c r="AA36" i="83"/>
  <c r="Z107" i="83"/>
  <c r="AA86" i="83"/>
  <c r="AA94" i="83"/>
  <c r="AA78" i="83"/>
  <c r="O66" i="91"/>
  <c r="T26" i="91"/>
  <c r="AC54" i="90"/>
  <c r="Q12" i="91"/>
  <c r="Q11" i="90" s="1"/>
  <c r="R12" i="91"/>
  <c r="R26" i="91" s="1"/>
  <c r="V10" i="91"/>
  <c r="V12" i="91" s="1"/>
  <c r="V73" i="83"/>
  <c r="V74" i="83" s="1"/>
  <c r="V15" i="91" s="1"/>
  <c r="R12" i="90"/>
  <c r="Q12" i="90"/>
  <c r="Z30" i="83"/>
  <c r="Z32" i="83" s="1"/>
  <c r="Z21" i="91" s="1"/>
  <c r="AA24" i="83"/>
  <c r="AA27" i="83"/>
  <c r="AA25" i="83"/>
  <c r="AA26" i="83"/>
  <c r="AA28" i="83"/>
  <c r="AA29" i="83"/>
  <c r="AA62" i="83"/>
  <c r="AA72" i="83"/>
  <c r="X68" i="83"/>
  <c r="Q64" i="91"/>
  <c r="Q71" i="91" s="1"/>
  <c r="R64" i="91"/>
  <c r="R71" i="91" s="1"/>
  <c r="W86" i="91"/>
  <c r="X157" i="90"/>
  <c r="X160" i="90" s="1"/>
  <c r="W63" i="91"/>
  <c r="W14" i="90"/>
  <c r="T28" i="90"/>
  <c r="T30" i="90" s="1"/>
  <c r="S33" i="90"/>
  <c r="S37" i="90" s="1"/>
  <c r="X25" i="90"/>
  <c r="X85" i="91"/>
  <c r="W29" i="90"/>
  <c r="M64" i="90"/>
  <c r="N64" i="90" s="1"/>
  <c r="V59" i="90"/>
  <c r="W59" i="90" s="1"/>
  <c r="X59" i="90" s="1"/>
  <c r="Y59" i="90" s="1"/>
  <c r="Z59" i="90" s="1"/>
  <c r="AA59" i="90" s="1"/>
  <c r="AB8" i="90"/>
  <c r="T60" i="90"/>
  <c r="U60" i="90" s="1"/>
  <c r="K65" i="90"/>
  <c r="L65" i="90" s="1"/>
  <c r="AC56" i="90"/>
  <c r="P62" i="90"/>
  <c r="Q62" i="90" s="1"/>
  <c r="AC57" i="90"/>
  <c r="S61" i="90"/>
  <c r="T61" i="90" s="1"/>
  <c r="C67" i="90"/>
  <c r="J66" i="90"/>
  <c r="T58" i="90"/>
  <c r="U58" i="90" s="1"/>
  <c r="V58" i="90" s="1"/>
  <c r="W58" i="90" s="1"/>
  <c r="X58" i="90" s="1"/>
  <c r="Y58" i="90" s="1"/>
  <c r="Z58" i="90" s="1"/>
  <c r="AA58" i="90" s="1"/>
  <c r="AB58" i="90" s="1"/>
  <c r="AC58" i="90" s="1"/>
  <c r="AC51" i="90"/>
  <c r="AD45" i="90"/>
  <c r="AC52" i="90"/>
  <c r="AC50" i="90"/>
  <c r="AD50" i="90" s="1"/>
  <c r="AE50" i="90" s="1"/>
  <c r="AF50" i="90" s="1"/>
  <c r="AG50" i="90" s="1"/>
  <c r="AH50" i="90" s="1"/>
  <c r="AI50" i="90" s="1"/>
  <c r="AJ50" i="90" s="1"/>
  <c r="AK50" i="90" s="1"/>
  <c r="AL50" i="90" s="1"/>
  <c r="AM50" i="90" s="1"/>
  <c r="AN50" i="90" s="1"/>
  <c r="AO50" i="90" s="1"/>
  <c r="AP50" i="90" s="1"/>
  <c r="AQ50" i="90" s="1"/>
  <c r="AR50" i="90" s="1"/>
  <c r="AS50" i="90" s="1"/>
  <c r="AT50" i="90" s="1"/>
  <c r="AU50" i="90" s="1"/>
  <c r="AV50" i="90" s="1"/>
  <c r="AW50" i="90" s="1"/>
  <c r="AX50" i="90" s="1"/>
  <c r="AY50" i="90" s="1"/>
  <c r="AZ50" i="90" s="1"/>
  <c r="BA50" i="90" s="1"/>
  <c r="BB50" i="90" s="1"/>
  <c r="BC50" i="90" s="1"/>
  <c r="BD50" i="90" s="1"/>
  <c r="BE50" i="90" s="1"/>
  <c r="BF50" i="90" s="1"/>
  <c r="BG50" i="90" s="1"/>
  <c r="BH50" i="90" s="1"/>
  <c r="BI50" i="90" s="1"/>
  <c r="BJ50" i="90" s="1"/>
  <c r="BK50" i="90" s="1"/>
  <c r="BL50" i="90" s="1"/>
  <c r="BM50" i="90" s="1"/>
  <c r="BN50" i="90" s="1"/>
  <c r="BO50" i="90" s="1"/>
  <c r="BP50" i="90" s="1"/>
  <c r="BQ50" i="90" s="1"/>
  <c r="BR50" i="90" s="1"/>
  <c r="BS50" i="90" s="1"/>
  <c r="BT50" i="90" s="1"/>
  <c r="BU50" i="90" s="1"/>
  <c r="BV50" i="90" s="1"/>
  <c r="BW50" i="90" s="1"/>
  <c r="BX50" i="90" s="1"/>
  <c r="BY50" i="90" s="1"/>
  <c r="BZ50" i="90" s="1"/>
  <c r="CA50" i="90" s="1"/>
  <c r="CB50" i="90" s="1"/>
  <c r="CC50" i="90" s="1"/>
  <c r="CD50" i="90" s="1"/>
  <c r="CE50" i="90" s="1"/>
  <c r="CF50" i="90" s="1"/>
  <c r="CG50" i="90" s="1"/>
  <c r="CH50" i="90" s="1"/>
  <c r="CI50" i="90" s="1"/>
  <c r="CJ50" i="90" s="1"/>
  <c r="CK50" i="90" s="1"/>
  <c r="CL50" i="90" s="1"/>
  <c r="CM50" i="90" s="1"/>
  <c r="CN50" i="90" s="1"/>
  <c r="CO50" i="90" s="1"/>
  <c r="CP50" i="90" s="1"/>
  <c r="CQ50" i="90" s="1"/>
  <c r="CR50" i="90" s="1"/>
  <c r="CS50" i="90" s="1"/>
  <c r="CT50" i="90" s="1"/>
  <c r="CU50" i="90" s="1"/>
  <c r="CV50" i="90" s="1"/>
  <c r="CW50" i="90" s="1"/>
  <c r="CX50" i="90" s="1"/>
  <c r="CY50" i="90" s="1"/>
  <c r="CZ50" i="90" s="1"/>
  <c r="DA50" i="90" s="1"/>
  <c r="DB50" i="90" s="1"/>
  <c r="DC50" i="90" s="1"/>
  <c r="DD50" i="90" s="1"/>
  <c r="DE50" i="90" s="1"/>
  <c r="DF50" i="90" s="1"/>
  <c r="DG50" i="90" s="1"/>
  <c r="DH50" i="90" s="1"/>
  <c r="DI50" i="90" s="1"/>
  <c r="DJ50" i="90" s="1"/>
  <c r="DK50" i="90" s="1"/>
  <c r="DL50" i="90" s="1"/>
  <c r="DM50" i="90" s="1"/>
  <c r="Q63" i="90"/>
  <c r="AC55" i="90"/>
  <c r="AA87" i="83"/>
  <c r="AE4" i="91"/>
  <c r="AD6" i="91"/>
  <c r="AD5" i="91"/>
  <c r="AC6" i="90"/>
  <c r="AC21" i="90" s="1"/>
  <c r="AC5" i="90"/>
  <c r="AD4" i="90"/>
  <c r="AC4" i="83"/>
  <c r="AB6" i="83"/>
  <c r="AB5" i="83"/>
  <c r="AA48" i="83"/>
  <c r="Y62" i="91" l="1"/>
  <c r="Y149" i="90"/>
  <c r="Y153" i="90" s="1"/>
  <c r="Y64" i="83"/>
  <c r="Y65" i="83" s="1"/>
  <c r="Y68" i="83" s="1"/>
  <c r="AB80" i="83"/>
  <c r="AB93" i="83"/>
  <c r="V70" i="83"/>
  <c r="U70" i="83"/>
  <c r="X155" i="90"/>
  <c r="X159" i="90" s="1"/>
  <c r="X69" i="83"/>
  <c r="W70" i="83"/>
  <c r="Z96" i="83"/>
  <c r="Z97" i="83" s="1"/>
  <c r="Z89" i="83"/>
  <c r="Z90" i="83" s="1"/>
  <c r="AA82" i="83"/>
  <c r="Z83" i="83"/>
  <c r="Y108" i="83"/>
  <c r="Y109" i="83" s="1"/>
  <c r="Y110" i="83" s="1"/>
  <c r="Y18" i="91" s="1"/>
  <c r="Y63" i="91" s="1"/>
  <c r="AA107" i="83"/>
  <c r="AA118" i="83"/>
  <c r="AA22" i="91"/>
  <c r="AB47" i="83"/>
  <c r="AB117" i="83"/>
  <c r="AB23" i="91" s="1"/>
  <c r="AB116" i="83"/>
  <c r="AB36" i="83"/>
  <c r="AB37" i="83"/>
  <c r="AB100" i="83"/>
  <c r="AB102" i="83" s="1"/>
  <c r="AB104" i="83" s="1"/>
  <c r="AB39" i="83"/>
  <c r="AB45" i="83" s="1"/>
  <c r="AA44" i="83"/>
  <c r="AA51" i="83" s="1"/>
  <c r="AA55" i="83" s="1"/>
  <c r="AA71" i="93" s="1"/>
  <c r="AA41" i="83"/>
  <c r="AB86" i="83"/>
  <c r="AB94" i="83"/>
  <c r="AB78" i="83"/>
  <c r="R66" i="91"/>
  <c r="Q66" i="91"/>
  <c r="Z64" i="83"/>
  <c r="Z65" i="83" s="1"/>
  <c r="Z62" i="91"/>
  <c r="Z149" i="90"/>
  <c r="Z153" i="90" s="1"/>
  <c r="Z77" i="93"/>
  <c r="R11" i="90"/>
  <c r="AD54" i="90"/>
  <c r="Q26" i="91"/>
  <c r="U10" i="91"/>
  <c r="U12" i="91" s="1"/>
  <c r="U11" i="90" s="1"/>
  <c r="U73" i="83"/>
  <c r="U74" i="83" s="1"/>
  <c r="U15" i="91" s="1"/>
  <c r="W10" i="91"/>
  <c r="W12" i="91" s="1"/>
  <c r="W73" i="83"/>
  <c r="W74" i="83" s="1"/>
  <c r="W15" i="91" s="1"/>
  <c r="V12" i="90"/>
  <c r="AA30" i="83"/>
  <c r="AA32" i="83" s="1"/>
  <c r="AA21" i="91" s="1"/>
  <c r="AB29" i="83"/>
  <c r="AB24" i="83"/>
  <c r="AB27" i="83"/>
  <c r="AB26" i="83"/>
  <c r="AB28" i="83"/>
  <c r="AB25" i="83"/>
  <c r="AB62" i="83"/>
  <c r="V11" i="90"/>
  <c r="V26" i="91"/>
  <c r="AB72" i="83"/>
  <c r="V64" i="91"/>
  <c r="V71" i="91" s="1"/>
  <c r="X86" i="91"/>
  <c r="Y24" i="91"/>
  <c r="X29" i="90"/>
  <c r="U28" i="90"/>
  <c r="U30" i="90" s="1"/>
  <c r="T33" i="90"/>
  <c r="T37" i="90" s="1"/>
  <c r="X14" i="90"/>
  <c r="X63" i="91"/>
  <c r="O64" i="90"/>
  <c r="P64" i="90" s="1"/>
  <c r="U61" i="90"/>
  <c r="V61" i="90" s="1"/>
  <c r="AB59" i="90"/>
  <c r="AC59" i="90" s="1"/>
  <c r="AD55" i="90"/>
  <c r="AE55" i="90" s="1"/>
  <c r="AD57" i="90"/>
  <c r="AE57" i="90" s="1"/>
  <c r="V60" i="90"/>
  <c r="W60" i="90" s="1"/>
  <c r="X60" i="90" s="1"/>
  <c r="Y60" i="90" s="1"/>
  <c r="Z60" i="90" s="1"/>
  <c r="AA60" i="90" s="1"/>
  <c r="AB60" i="90" s="1"/>
  <c r="AC60" i="90" s="1"/>
  <c r="AD60" i="90" s="1"/>
  <c r="AC8" i="90"/>
  <c r="R62" i="90"/>
  <c r="S62" i="90" s="1"/>
  <c r="AE45" i="90"/>
  <c r="K66" i="90"/>
  <c r="L66" i="90" s="1"/>
  <c r="AD51" i="90"/>
  <c r="AE51" i="90" s="1"/>
  <c r="AF51" i="90" s="1"/>
  <c r="AG51" i="90" s="1"/>
  <c r="AH51" i="90" s="1"/>
  <c r="AI51" i="90" s="1"/>
  <c r="AJ51" i="90" s="1"/>
  <c r="AK51" i="90" s="1"/>
  <c r="AL51" i="90" s="1"/>
  <c r="AM51" i="90" s="1"/>
  <c r="AN51" i="90" s="1"/>
  <c r="AO51" i="90" s="1"/>
  <c r="AP51" i="90" s="1"/>
  <c r="AQ51" i="90" s="1"/>
  <c r="AR51" i="90" s="1"/>
  <c r="AS51" i="90" s="1"/>
  <c r="AT51" i="90" s="1"/>
  <c r="AU51" i="90" s="1"/>
  <c r="AV51" i="90" s="1"/>
  <c r="AW51" i="90" s="1"/>
  <c r="AX51" i="90" s="1"/>
  <c r="AY51" i="90" s="1"/>
  <c r="AZ51" i="90" s="1"/>
  <c r="BA51" i="90" s="1"/>
  <c r="BB51" i="90" s="1"/>
  <c r="BC51" i="90" s="1"/>
  <c r="BD51" i="90" s="1"/>
  <c r="BE51" i="90" s="1"/>
  <c r="BF51" i="90" s="1"/>
  <c r="BG51" i="90" s="1"/>
  <c r="BH51" i="90" s="1"/>
  <c r="BI51" i="90" s="1"/>
  <c r="BJ51" i="90" s="1"/>
  <c r="BK51" i="90" s="1"/>
  <c r="BL51" i="90" s="1"/>
  <c r="BM51" i="90" s="1"/>
  <c r="BN51" i="90" s="1"/>
  <c r="BO51" i="90" s="1"/>
  <c r="BP51" i="90" s="1"/>
  <c r="BQ51" i="90" s="1"/>
  <c r="BR51" i="90" s="1"/>
  <c r="BS51" i="90" s="1"/>
  <c r="BT51" i="90" s="1"/>
  <c r="BU51" i="90" s="1"/>
  <c r="BV51" i="90" s="1"/>
  <c r="BW51" i="90" s="1"/>
  <c r="BX51" i="90" s="1"/>
  <c r="BY51" i="90" s="1"/>
  <c r="BZ51" i="90" s="1"/>
  <c r="CA51" i="90" s="1"/>
  <c r="CB51" i="90" s="1"/>
  <c r="CC51" i="90" s="1"/>
  <c r="CD51" i="90" s="1"/>
  <c r="CE51" i="90" s="1"/>
  <c r="CF51" i="90" s="1"/>
  <c r="CG51" i="90" s="1"/>
  <c r="CH51" i="90" s="1"/>
  <c r="CI51" i="90" s="1"/>
  <c r="CJ51" i="90" s="1"/>
  <c r="CK51" i="90" s="1"/>
  <c r="CL51" i="90" s="1"/>
  <c r="CM51" i="90" s="1"/>
  <c r="CN51" i="90" s="1"/>
  <c r="CO51" i="90" s="1"/>
  <c r="CP51" i="90" s="1"/>
  <c r="CQ51" i="90" s="1"/>
  <c r="CR51" i="90" s="1"/>
  <c r="CS51" i="90" s="1"/>
  <c r="CT51" i="90" s="1"/>
  <c r="CU51" i="90" s="1"/>
  <c r="CV51" i="90" s="1"/>
  <c r="CW51" i="90" s="1"/>
  <c r="CX51" i="90" s="1"/>
  <c r="CY51" i="90" s="1"/>
  <c r="CZ51" i="90" s="1"/>
  <c r="DA51" i="90" s="1"/>
  <c r="DB51" i="90" s="1"/>
  <c r="DC51" i="90" s="1"/>
  <c r="DD51" i="90" s="1"/>
  <c r="DE51" i="90" s="1"/>
  <c r="DF51" i="90" s="1"/>
  <c r="DG51" i="90" s="1"/>
  <c r="DH51" i="90" s="1"/>
  <c r="DI51" i="90" s="1"/>
  <c r="DJ51" i="90" s="1"/>
  <c r="DK51" i="90" s="1"/>
  <c r="DL51" i="90" s="1"/>
  <c r="DM51" i="90" s="1"/>
  <c r="C68" i="90"/>
  <c r="J67" i="90"/>
  <c r="AD56" i="90"/>
  <c r="AD53" i="90"/>
  <c r="AE53" i="90" s="1"/>
  <c r="M65" i="90"/>
  <c r="R63" i="90"/>
  <c r="AD52" i="90"/>
  <c r="AE52" i="90" s="1"/>
  <c r="AF52" i="90" s="1"/>
  <c r="AG52" i="90" s="1"/>
  <c r="AH52" i="90" s="1"/>
  <c r="AI52" i="90" s="1"/>
  <c r="AJ52" i="90" s="1"/>
  <c r="AK52" i="90" s="1"/>
  <c r="AL52" i="90" s="1"/>
  <c r="AM52" i="90" s="1"/>
  <c r="AN52" i="90" s="1"/>
  <c r="AO52" i="90" s="1"/>
  <c r="AP52" i="90" s="1"/>
  <c r="AQ52" i="90" s="1"/>
  <c r="AR52" i="90" s="1"/>
  <c r="AS52" i="90" s="1"/>
  <c r="AT52" i="90" s="1"/>
  <c r="AU52" i="90" s="1"/>
  <c r="AV52" i="90" s="1"/>
  <c r="AW52" i="90" s="1"/>
  <c r="AX52" i="90" s="1"/>
  <c r="AY52" i="90" s="1"/>
  <c r="AZ52" i="90" s="1"/>
  <c r="BA52" i="90" s="1"/>
  <c r="BB52" i="90" s="1"/>
  <c r="BC52" i="90" s="1"/>
  <c r="BD52" i="90" s="1"/>
  <c r="BE52" i="90" s="1"/>
  <c r="BF52" i="90" s="1"/>
  <c r="BG52" i="90" s="1"/>
  <c r="BH52" i="90" s="1"/>
  <c r="BI52" i="90" s="1"/>
  <c r="BJ52" i="90" s="1"/>
  <c r="BK52" i="90" s="1"/>
  <c r="BL52" i="90" s="1"/>
  <c r="BM52" i="90" s="1"/>
  <c r="BN52" i="90" s="1"/>
  <c r="BO52" i="90" s="1"/>
  <c r="BP52" i="90" s="1"/>
  <c r="BQ52" i="90" s="1"/>
  <c r="BR52" i="90" s="1"/>
  <c r="BS52" i="90" s="1"/>
  <c r="BT52" i="90" s="1"/>
  <c r="BU52" i="90" s="1"/>
  <c r="BV52" i="90" s="1"/>
  <c r="BW52" i="90" s="1"/>
  <c r="BX52" i="90" s="1"/>
  <c r="BY52" i="90" s="1"/>
  <c r="BZ52" i="90" s="1"/>
  <c r="CA52" i="90" s="1"/>
  <c r="CB52" i="90" s="1"/>
  <c r="CC52" i="90" s="1"/>
  <c r="CD52" i="90" s="1"/>
  <c r="CE52" i="90" s="1"/>
  <c r="CF52" i="90" s="1"/>
  <c r="CG52" i="90" s="1"/>
  <c r="CH52" i="90" s="1"/>
  <c r="CI52" i="90" s="1"/>
  <c r="CJ52" i="90" s="1"/>
  <c r="CK52" i="90" s="1"/>
  <c r="CL52" i="90" s="1"/>
  <c r="CM52" i="90" s="1"/>
  <c r="CN52" i="90" s="1"/>
  <c r="CO52" i="90" s="1"/>
  <c r="CP52" i="90" s="1"/>
  <c r="CQ52" i="90" s="1"/>
  <c r="CR52" i="90" s="1"/>
  <c r="CS52" i="90" s="1"/>
  <c r="CT52" i="90" s="1"/>
  <c r="CU52" i="90" s="1"/>
  <c r="CV52" i="90" s="1"/>
  <c r="CW52" i="90" s="1"/>
  <c r="CX52" i="90" s="1"/>
  <c r="CY52" i="90" s="1"/>
  <c r="CZ52" i="90" s="1"/>
  <c r="DA52" i="90" s="1"/>
  <c r="DB52" i="90" s="1"/>
  <c r="DC52" i="90" s="1"/>
  <c r="DD52" i="90" s="1"/>
  <c r="DE52" i="90" s="1"/>
  <c r="DF52" i="90" s="1"/>
  <c r="DG52" i="90" s="1"/>
  <c r="DH52" i="90" s="1"/>
  <c r="DI52" i="90" s="1"/>
  <c r="DJ52" i="90" s="1"/>
  <c r="DK52" i="90" s="1"/>
  <c r="DL52" i="90" s="1"/>
  <c r="DM52" i="90" s="1"/>
  <c r="AD58" i="90"/>
  <c r="AE58" i="90" s="1"/>
  <c r="AB87" i="83"/>
  <c r="AF4" i="91"/>
  <c r="AE6" i="91"/>
  <c r="AE5" i="91"/>
  <c r="AE4" i="90"/>
  <c r="AD6" i="90"/>
  <c r="AD21" i="90" s="1"/>
  <c r="AD5" i="90"/>
  <c r="AB48" i="83"/>
  <c r="AD4" i="83"/>
  <c r="AC5" i="83"/>
  <c r="AC6" i="83"/>
  <c r="X70" i="83" l="1"/>
  <c r="X71" i="83"/>
  <c r="T16" i="97" s="1"/>
  <c r="AC80" i="83"/>
  <c r="Y85" i="91"/>
  <c r="Y86" i="91" s="1"/>
  <c r="Y155" i="90"/>
  <c r="Y159" i="90" s="1"/>
  <c r="Y69" i="83"/>
  <c r="AA96" i="83"/>
  <c r="AA97" i="83" s="1"/>
  <c r="Z108" i="83"/>
  <c r="Z109" i="83" s="1"/>
  <c r="Z110" i="83" s="1"/>
  <c r="Z18" i="91" s="1"/>
  <c r="Z14" i="90" s="1"/>
  <c r="Y157" i="90"/>
  <c r="Y160" i="90" s="1"/>
  <c r="AB82" i="83"/>
  <c r="Y14" i="90"/>
  <c r="AA89" i="83"/>
  <c r="AA90" i="83" s="1"/>
  <c r="AB107" i="83"/>
  <c r="AB44" i="83"/>
  <c r="AB51" i="83" s="1"/>
  <c r="AB55" i="83" s="1"/>
  <c r="AB41" i="83"/>
  <c r="AB22" i="91"/>
  <c r="AB118" i="83"/>
  <c r="AC47" i="83"/>
  <c r="AC117" i="83"/>
  <c r="AC23" i="91" s="1"/>
  <c r="AC116" i="83"/>
  <c r="AC36" i="83"/>
  <c r="AC37" i="83"/>
  <c r="AC100" i="83"/>
  <c r="AC102" i="83" s="1"/>
  <c r="AC104" i="83" s="1"/>
  <c r="AC39" i="83"/>
  <c r="AC45" i="83" s="1"/>
  <c r="AA83" i="83"/>
  <c r="AC86" i="83"/>
  <c r="AC93" i="83"/>
  <c r="AC94" i="83"/>
  <c r="AC78" i="83"/>
  <c r="V66" i="91"/>
  <c r="AA64" i="83"/>
  <c r="AA65" i="83" s="1"/>
  <c r="AA62" i="91"/>
  <c r="AA149" i="90"/>
  <c r="AA153" i="90" s="1"/>
  <c r="AA77" i="93"/>
  <c r="W61" i="90"/>
  <c r="X61" i="90" s="1"/>
  <c r="Y61" i="90" s="1"/>
  <c r="Z61" i="90" s="1"/>
  <c r="AA61" i="90" s="1"/>
  <c r="AB61" i="90" s="1"/>
  <c r="AC61" i="90" s="1"/>
  <c r="AD61" i="90" s="1"/>
  <c r="X10" i="91"/>
  <c r="X12" i="91" s="1"/>
  <c r="X11" i="90" s="1"/>
  <c r="X73" i="83"/>
  <c r="X74" i="83" s="1"/>
  <c r="X15" i="91" s="1"/>
  <c r="W12" i="90"/>
  <c r="U12" i="90"/>
  <c r="U26" i="91"/>
  <c r="AC26" i="83"/>
  <c r="AC29" i="83"/>
  <c r="AC24" i="83"/>
  <c r="AC25" i="83"/>
  <c r="AC27" i="83"/>
  <c r="AC28" i="83"/>
  <c r="AB30" i="83"/>
  <c r="AB32" i="83" s="1"/>
  <c r="AB21" i="91" s="1"/>
  <c r="AC62" i="83"/>
  <c r="U64" i="91"/>
  <c r="U71" i="91" s="1"/>
  <c r="W64" i="91"/>
  <c r="W71" i="91" s="1"/>
  <c r="W11" i="90"/>
  <c r="W26" i="91"/>
  <c r="AC72" i="83"/>
  <c r="Z68" i="83"/>
  <c r="Y25" i="90"/>
  <c r="Y29" i="90" s="1"/>
  <c r="Z24" i="91"/>
  <c r="V28" i="90"/>
  <c r="V30" i="90" s="1"/>
  <c r="U33" i="90"/>
  <c r="U37" i="90" s="1"/>
  <c r="AD59" i="90"/>
  <c r="AE59" i="90" s="1"/>
  <c r="AF59" i="90" s="1"/>
  <c r="Q64" i="90"/>
  <c r="R64" i="90" s="1"/>
  <c r="S64" i="90" s="1"/>
  <c r="AE60" i="90"/>
  <c r="AD8" i="90"/>
  <c r="T62" i="90"/>
  <c r="U62" i="90" s="1"/>
  <c r="V62" i="90" s="1"/>
  <c r="W62" i="90" s="1"/>
  <c r="X62" i="90" s="1"/>
  <c r="Y62" i="90" s="1"/>
  <c r="Z62" i="90" s="1"/>
  <c r="AA62" i="90" s="1"/>
  <c r="AB62" i="90" s="1"/>
  <c r="AC62" i="90" s="1"/>
  <c r="AD62" i="90" s="1"/>
  <c r="AE62" i="90" s="1"/>
  <c r="K67" i="90"/>
  <c r="L67" i="90" s="1"/>
  <c r="AE54" i="90"/>
  <c r="AF53" i="90"/>
  <c r="AG53" i="90" s="1"/>
  <c r="AH53" i="90" s="1"/>
  <c r="AI53" i="90" s="1"/>
  <c r="AJ53" i="90" s="1"/>
  <c r="AK53" i="90" s="1"/>
  <c r="AL53" i="90" s="1"/>
  <c r="AM53" i="90" s="1"/>
  <c r="AN53" i="90" s="1"/>
  <c r="AO53" i="90" s="1"/>
  <c r="AP53" i="90" s="1"/>
  <c r="AQ53" i="90" s="1"/>
  <c r="AR53" i="90" s="1"/>
  <c r="AS53" i="90" s="1"/>
  <c r="AT53" i="90" s="1"/>
  <c r="AU53" i="90" s="1"/>
  <c r="AV53" i="90" s="1"/>
  <c r="AW53" i="90" s="1"/>
  <c r="AX53" i="90" s="1"/>
  <c r="AY53" i="90" s="1"/>
  <c r="AZ53" i="90" s="1"/>
  <c r="BA53" i="90" s="1"/>
  <c r="BB53" i="90" s="1"/>
  <c r="BC53" i="90" s="1"/>
  <c r="BD53" i="90" s="1"/>
  <c r="BE53" i="90" s="1"/>
  <c r="BF53" i="90" s="1"/>
  <c r="BG53" i="90" s="1"/>
  <c r="BH53" i="90" s="1"/>
  <c r="BI53" i="90" s="1"/>
  <c r="BJ53" i="90" s="1"/>
  <c r="BK53" i="90" s="1"/>
  <c r="BL53" i="90" s="1"/>
  <c r="BM53" i="90" s="1"/>
  <c r="BN53" i="90" s="1"/>
  <c r="BO53" i="90" s="1"/>
  <c r="BP53" i="90" s="1"/>
  <c r="BQ53" i="90" s="1"/>
  <c r="BR53" i="90" s="1"/>
  <c r="BS53" i="90" s="1"/>
  <c r="BT53" i="90" s="1"/>
  <c r="BU53" i="90" s="1"/>
  <c r="BV53" i="90" s="1"/>
  <c r="BW53" i="90" s="1"/>
  <c r="BX53" i="90" s="1"/>
  <c r="BY53" i="90" s="1"/>
  <c r="BZ53" i="90" s="1"/>
  <c r="CA53" i="90" s="1"/>
  <c r="CB53" i="90" s="1"/>
  <c r="CC53" i="90" s="1"/>
  <c r="CD53" i="90" s="1"/>
  <c r="CE53" i="90" s="1"/>
  <c r="CF53" i="90" s="1"/>
  <c r="CG53" i="90" s="1"/>
  <c r="CH53" i="90" s="1"/>
  <c r="CI53" i="90" s="1"/>
  <c r="CJ53" i="90" s="1"/>
  <c r="CK53" i="90" s="1"/>
  <c r="CL53" i="90" s="1"/>
  <c r="CM53" i="90" s="1"/>
  <c r="CN53" i="90" s="1"/>
  <c r="CO53" i="90" s="1"/>
  <c r="CP53" i="90" s="1"/>
  <c r="CQ53" i="90" s="1"/>
  <c r="CR53" i="90" s="1"/>
  <c r="CS53" i="90" s="1"/>
  <c r="CT53" i="90" s="1"/>
  <c r="CU53" i="90" s="1"/>
  <c r="CV53" i="90" s="1"/>
  <c r="CW53" i="90" s="1"/>
  <c r="CX53" i="90" s="1"/>
  <c r="CY53" i="90" s="1"/>
  <c r="CZ53" i="90" s="1"/>
  <c r="DA53" i="90" s="1"/>
  <c r="DB53" i="90" s="1"/>
  <c r="DC53" i="90" s="1"/>
  <c r="DD53" i="90" s="1"/>
  <c r="DE53" i="90" s="1"/>
  <c r="DF53" i="90" s="1"/>
  <c r="DG53" i="90" s="1"/>
  <c r="DH53" i="90" s="1"/>
  <c r="DI53" i="90" s="1"/>
  <c r="DJ53" i="90" s="1"/>
  <c r="DK53" i="90" s="1"/>
  <c r="DL53" i="90" s="1"/>
  <c r="DM53" i="90" s="1"/>
  <c r="S63" i="90"/>
  <c r="T63" i="90" s="1"/>
  <c r="AE56" i="90"/>
  <c r="C69" i="90"/>
  <c r="J68" i="90"/>
  <c r="M66" i="90"/>
  <c r="N66" i="90" s="1"/>
  <c r="AF45" i="90"/>
  <c r="N65" i="90"/>
  <c r="AC87" i="83"/>
  <c r="AG4" i="91"/>
  <c r="AF6" i="91"/>
  <c r="AF5" i="91"/>
  <c r="AF4" i="90"/>
  <c r="AF58" i="90" s="1"/>
  <c r="AE6" i="90"/>
  <c r="AE21" i="90" s="1"/>
  <c r="AE5" i="90"/>
  <c r="AC48" i="83"/>
  <c r="AE4" i="83"/>
  <c r="AD6" i="83"/>
  <c r="AD80" i="83" s="1"/>
  <c r="AD5" i="83"/>
  <c r="Z25" i="90" l="1"/>
  <c r="Z157" i="90"/>
  <c r="Z160" i="90" s="1"/>
  <c r="Z63" i="91"/>
  <c r="Z155" i="90"/>
  <c r="Z159" i="90" s="1"/>
  <c r="Z69" i="83"/>
  <c r="AB89" i="83"/>
  <c r="AB90" i="83" s="1"/>
  <c r="AC82" i="83"/>
  <c r="AC83" i="83" s="1"/>
  <c r="AB96" i="83"/>
  <c r="AB97" i="83" s="1"/>
  <c r="AB83" i="83"/>
  <c r="AA108" i="83"/>
  <c r="AA109" i="83" s="1"/>
  <c r="AA110" i="83" s="1"/>
  <c r="AA18" i="91" s="1"/>
  <c r="AC44" i="83"/>
  <c r="AC51" i="83" s="1"/>
  <c r="AC55" i="83" s="1"/>
  <c r="AC71" i="93" s="1"/>
  <c r="AC41" i="83"/>
  <c r="AC118" i="83"/>
  <c r="AC22" i="91"/>
  <c r="AD47" i="83"/>
  <c r="AD117" i="83"/>
  <c r="AD23" i="91" s="1"/>
  <c r="AD116" i="83"/>
  <c r="AD36" i="83"/>
  <c r="AD100" i="83"/>
  <c r="AD102" i="83" s="1"/>
  <c r="AD104" i="83" s="1"/>
  <c r="AD39" i="83"/>
  <c r="AD45" i="83" s="1"/>
  <c r="AD37" i="83"/>
  <c r="AC107" i="83"/>
  <c r="AB71" i="93"/>
  <c r="AB77" i="93" s="1"/>
  <c r="AD86" i="83"/>
  <c r="AD93" i="83"/>
  <c r="AD94" i="83"/>
  <c r="AD78" i="83"/>
  <c r="U66" i="91"/>
  <c r="W66" i="91"/>
  <c r="AB64" i="83"/>
  <c r="AB65" i="83" s="1"/>
  <c r="AB149" i="90"/>
  <c r="AB153" i="90" s="1"/>
  <c r="AB62" i="91"/>
  <c r="AE61" i="90"/>
  <c r="AF61" i="90" s="1"/>
  <c r="Y10" i="91"/>
  <c r="Y12" i="91" s="1"/>
  <c r="Y11" i="90" s="1"/>
  <c r="Y73" i="83"/>
  <c r="Y74" i="83" s="1"/>
  <c r="Y15" i="91" s="1"/>
  <c r="X12" i="90"/>
  <c r="X26" i="91"/>
  <c r="AD26" i="83"/>
  <c r="AD29" i="83"/>
  <c r="AD24" i="83"/>
  <c r="AD25" i="83"/>
  <c r="AD27" i="83"/>
  <c r="AD28" i="83"/>
  <c r="AC30" i="83"/>
  <c r="AC32" i="83" s="1"/>
  <c r="AC21" i="91" s="1"/>
  <c r="AD62" i="83"/>
  <c r="X64" i="91"/>
  <c r="X71" i="91" s="1"/>
  <c r="AD72" i="83"/>
  <c r="AA68" i="83"/>
  <c r="AA155" i="90" s="1"/>
  <c r="AA159" i="90" s="1"/>
  <c r="Z85" i="91"/>
  <c r="Z86" i="91" s="1"/>
  <c r="AA24" i="91"/>
  <c r="Z29" i="90"/>
  <c r="AB24" i="91"/>
  <c r="W28" i="90"/>
  <c r="W30" i="90" s="1"/>
  <c r="V33" i="90"/>
  <c r="V37" i="90" s="1"/>
  <c r="AF62" i="90"/>
  <c r="AF60" i="90"/>
  <c r="M67" i="90"/>
  <c r="N67" i="90" s="1"/>
  <c r="T64" i="90"/>
  <c r="U64" i="90" s="1"/>
  <c r="V64" i="90" s="1"/>
  <c r="O66" i="90"/>
  <c r="P66" i="90" s="1"/>
  <c r="AF57" i="90"/>
  <c r="AE8" i="90"/>
  <c r="AG45" i="90"/>
  <c r="K68" i="90"/>
  <c r="L68" i="90" s="1"/>
  <c r="O65" i="90"/>
  <c r="C70" i="90"/>
  <c r="J69" i="90"/>
  <c r="AF54" i="90"/>
  <c r="AF56" i="90"/>
  <c r="U63" i="90"/>
  <c r="V63" i="90" s="1"/>
  <c r="W63" i="90" s="1"/>
  <c r="X63" i="90" s="1"/>
  <c r="Y63" i="90" s="1"/>
  <c r="Z63" i="90" s="1"/>
  <c r="AA63" i="90" s="1"/>
  <c r="AB63" i="90" s="1"/>
  <c r="AC63" i="90" s="1"/>
  <c r="AD63" i="90" s="1"/>
  <c r="AE63" i="90" s="1"/>
  <c r="AF63" i="90" s="1"/>
  <c r="AF55" i="90"/>
  <c r="AD87" i="83"/>
  <c r="AG6" i="91"/>
  <c r="AG5" i="91"/>
  <c r="AH4" i="91"/>
  <c r="AF6" i="90"/>
  <c r="AF21" i="90" s="1"/>
  <c r="AF5" i="90"/>
  <c r="AG4" i="90"/>
  <c r="AD48" i="83"/>
  <c r="AF4" i="83"/>
  <c r="AE6" i="83"/>
  <c r="AE80" i="83" s="1"/>
  <c r="AE5" i="83"/>
  <c r="AA25" i="90" l="1"/>
  <c r="AA29" i="90" s="1"/>
  <c r="AA157" i="90"/>
  <c r="AA160" i="90" s="1"/>
  <c r="AB108" i="83"/>
  <c r="AB109" i="83" s="1"/>
  <c r="AB110" i="83" s="1"/>
  <c r="AB18" i="91" s="1"/>
  <c r="AB14" i="90" s="1"/>
  <c r="AC89" i="83"/>
  <c r="AC90" i="83" s="1"/>
  <c r="AD82" i="83"/>
  <c r="AC96" i="83"/>
  <c r="AC97" i="83" s="1"/>
  <c r="AE47" i="83"/>
  <c r="AE100" i="83"/>
  <c r="AE102" i="83" s="1"/>
  <c r="AE104" i="83" s="1"/>
  <c r="AE116" i="83"/>
  <c r="AE36" i="83"/>
  <c r="AE37" i="83"/>
  <c r="AE39" i="83"/>
  <c r="AE45" i="83" s="1"/>
  <c r="AE117" i="83"/>
  <c r="AE23" i="91" s="1"/>
  <c r="AD118" i="83"/>
  <c r="AD22" i="91"/>
  <c r="AD44" i="83"/>
  <c r="AD51" i="83" s="1"/>
  <c r="AD55" i="83" s="1"/>
  <c r="AD41" i="83"/>
  <c r="AD107" i="83"/>
  <c r="AE86" i="83"/>
  <c r="AE93" i="83"/>
  <c r="AE94" i="83"/>
  <c r="AE78" i="83"/>
  <c r="X66" i="91"/>
  <c r="Y12" i="90"/>
  <c r="AC64" i="83"/>
  <c r="AC65" i="83" s="1"/>
  <c r="AC149" i="90"/>
  <c r="AC153" i="90" s="1"/>
  <c r="AC62" i="91"/>
  <c r="AC77" i="93"/>
  <c r="Y26" i="91"/>
  <c r="AE28" i="83"/>
  <c r="AE26" i="83"/>
  <c r="AE27" i="83"/>
  <c r="AE25" i="83"/>
  <c r="AE29" i="83"/>
  <c r="AE24" i="83"/>
  <c r="AD30" i="83"/>
  <c r="AD32" i="83" s="1"/>
  <c r="AD21" i="91" s="1"/>
  <c r="AE62" i="83"/>
  <c r="AB68" i="83"/>
  <c r="AB155" i="90" s="1"/>
  <c r="AB159" i="90" s="1"/>
  <c r="AA69" i="83"/>
  <c r="AE72" i="83"/>
  <c r="Y64" i="91"/>
  <c r="Y71" i="91" s="1"/>
  <c r="AA85" i="91"/>
  <c r="AA86" i="91" s="1"/>
  <c r="AG62" i="90"/>
  <c r="X28" i="90"/>
  <c r="X30" i="90" s="1"/>
  <c r="W33" i="90"/>
  <c r="W37" i="90" s="1"/>
  <c r="AA14" i="90"/>
  <c r="AA63" i="91"/>
  <c r="AB25" i="90"/>
  <c r="AB85" i="91"/>
  <c r="AC24" i="91"/>
  <c r="W64" i="90"/>
  <c r="X64" i="90" s="1"/>
  <c r="AG63" i="90"/>
  <c r="AG60" i="90"/>
  <c r="AG54" i="90"/>
  <c r="AH54" i="90" s="1"/>
  <c r="AI54" i="90" s="1"/>
  <c r="AJ54" i="90" s="1"/>
  <c r="AK54" i="90" s="1"/>
  <c r="AL54" i="90" s="1"/>
  <c r="AM54" i="90" s="1"/>
  <c r="AN54" i="90" s="1"/>
  <c r="AO54" i="90" s="1"/>
  <c r="AP54" i="90" s="1"/>
  <c r="AQ54" i="90" s="1"/>
  <c r="AR54" i="90" s="1"/>
  <c r="AS54" i="90" s="1"/>
  <c r="AT54" i="90" s="1"/>
  <c r="AU54" i="90" s="1"/>
  <c r="AV54" i="90" s="1"/>
  <c r="AW54" i="90" s="1"/>
  <c r="AX54" i="90" s="1"/>
  <c r="AY54" i="90" s="1"/>
  <c r="AZ54" i="90" s="1"/>
  <c r="BA54" i="90" s="1"/>
  <c r="BB54" i="90" s="1"/>
  <c r="BC54" i="90" s="1"/>
  <c r="BD54" i="90" s="1"/>
  <c r="BE54" i="90" s="1"/>
  <c r="BF54" i="90" s="1"/>
  <c r="BG54" i="90" s="1"/>
  <c r="BH54" i="90" s="1"/>
  <c r="BI54" i="90" s="1"/>
  <c r="BJ54" i="90" s="1"/>
  <c r="BK54" i="90" s="1"/>
  <c r="BL54" i="90" s="1"/>
  <c r="BM54" i="90" s="1"/>
  <c r="BN54" i="90" s="1"/>
  <c r="BO54" i="90" s="1"/>
  <c r="BP54" i="90" s="1"/>
  <c r="BQ54" i="90" s="1"/>
  <c r="BR54" i="90" s="1"/>
  <c r="BS54" i="90" s="1"/>
  <c r="BT54" i="90" s="1"/>
  <c r="BU54" i="90" s="1"/>
  <c r="BV54" i="90" s="1"/>
  <c r="BW54" i="90" s="1"/>
  <c r="BX54" i="90" s="1"/>
  <c r="BY54" i="90" s="1"/>
  <c r="BZ54" i="90" s="1"/>
  <c r="CA54" i="90" s="1"/>
  <c r="CB54" i="90" s="1"/>
  <c r="CC54" i="90" s="1"/>
  <c r="CD54" i="90" s="1"/>
  <c r="CE54" i="90" s="1"/>
  <c r="CF54" i="90" s="1"/>
  <c r="CG54" i="90" s="1"/>
  <c r="CH54" i="90" s="1"/>
  <c r="CI54" i="90" s="1"/>
  <c r="CJ54" i="90" s="1"/>
  <c r="CK54" i="90" s="1"/>
  <c r="CL54" i="90" s="1"/>
  <c r="CM54" i="90" s="1"/>
  <c r="CN54" i="90" s="1"/>
  <c r="CO54" i="90" s="1"/>
  <c r="CP54" i="90" s="1"/>
  <c r="CQ54" i="90" s="1"/>
  <c r="CR54" i="90" s="1"/>
  <c r="CS54" i="90" s="1"/>
  <c r="CT54" i="90" s="1"/>
  <c r="CU54" i="90" s="1"/>
  <c r="CV54" i="90" s="1"/>
  <c r="CW54" i="90" s="1"/>
  <c r="CX54" i="90" s="1"/>
  <c r="CY54" i="90" s="1"/>
  <c r="CZ54" i="90" s="1"/>
  <c r="DA54" i="90" s="1"/>
  <c r="DB54" i="90" s="1"/>
  <c r="DC54" i="90" s="1"/>
  <c r="DD54" i="90" s="1"/>
  <c r="DE54" i="90" s="1"/>
  <c r="DF54" i="90" s="1"/>
  <c r="DG54" i="90" s="1"/>
  <c r="DH54" i="90" s="1"/>
  <c r="DI54" i="90" s="1"/>
  <c r="DJ54" i="90" s="1"/>
  <c r="DK54" i="90" s="1"/>
  <c r="DL54" i="90" s="1"/>
  <c r="DM54" i="90" s="1"/>
  <c r="M68" i="90"/>
  <c r="N68" i="90" s="1"/>
  <c r="O68" i="90" s="1"/>
  <c r="AF8" i="90"/>
  <c r="AG55" i="90"/>
  <c r="AG56" i="90"/>
  <c r="AG59" i="90"/>
  <c r="P65" i="90"/>
  <c r="AG57" i="90"/>
  <c r="AH45" i="90"/>
  <c r="Q66" i="90"/>
  <c r="R66" i="90" s="1"/>
  <c r="S66" i="90" s="1"/>
  <c r="C71" i="90"/>
  <c r="J70" i="90"/>
  <c r="K69" i="90"/>
  <c r="L69" i="90" s="1"/>
  <c r="O67" i="90"/>
  <c r="AG61" i="90"/>
  <c r="AG58" i="90"/>
  <c r="AE87" i="83"/>
  <c r="AI4" i="91"/>
  <c r="AH6" i="91"/>
  <c r="AH5" i="91"/>
  <c r="AH4" i="90"/>
  <c r="AG6" i="90"/>
  <c r="AG21" i="90" s="1"/>
  <c r="AG5" i="90"/>
  <c r="AE48" i="83"/>
  <c r="AG4" i="83"/>
  <c r="AF6" i="83"/>
  <c r="AF80" i="83" s="1"/>
  <c r="AF5" i="83"/>
  <c r="AB157" i="90" l="1"/>
  <c r="AB160" i="90" s="1"/>
  <c r="AB63" i="91"/>
  <c r="AC108" i="83"/>
  <c r="AC109" i="83" s="1"/>
  <c r="AC110" i="83" s="1"/>
  <c r="AC18" i="91" s="1"/>
  <c r="AC63" i="91" s="1"/>
  <c r="AE82" i="83"/>
  <c r="AD83" i="83"/>
  <c r="AD96" i="83"/>
  <c r="AD97" i="83" s="1"/>
  <c r="AE44" i="83"/>
  <c r="AE51" i="83" s="1"/>
  <c r="AE55" i="83" s="1"/>
  <c r="AE71" i="93" s="1"/>
  <c r="AE41" i="83"/>
  <c r="AF47" i="83"/>
  <c r="AF116" i="83"/>
  <c r="AF36" i="83"/>
  <c r="AF37" i="83"/>
  <c r="AF100" i="83"/>
  <c r="AF102" i="83" s="1"/>
  <c r="AF104" i="83" s="1"/>
  <c r="AF39" i="83"/>
  <c r="AF45" i="83" s="1"/>
  <c r="AF117" i="83"/>
  <c r="AF23" i="91" s="1"/>
  <c r="AE118" i="83"/>
  <c r="AE22" i="91"/>
  <c r="AD89" i="83"/>
  <c r="AD90" i="83" s="1"/>
  <c r="AE107" i="83"/>
  <c r="AD71" i="93"/>
  <c r="AD77" i="93" s="1"/>
  <c r="AF86" i="83"/>
  <c r="AF93" i="83"/>
  <c r="AF94" i="83"/>
  <c r="AF78" i="83"/>
  <c r="Y66" i="91"/>
  <c r="AD64" i="83"/>
  <c r="AD65" i="83" s="1"/>
  <c r="AD62" i="91"/>
  <c r="AD149" i="90"/>
  <c r="AD153" i="90" s="1"/>
  <c r="AH62" i="90"/>
  <c r="AA10" i="91"/>
  <c r="AA64" i="91" s="1"/>
  <c r="AA71" i="91" s="1"/>
  <c r="AA73" i="83"/>
  <c r="AA74" i="83" s="1"/>
  <c r="AA15" i="91" s="1"/>
  <c r="Z10" i="91"/>
  <c r="Z73" i="83"/>
  <c r="Z74" i="83" s="1"/>
  <c r="Z15" i="91" s="1"/>
  <c r="AE30" i="83"/>
  <c r="AE32" i="83" s="1"/>
  <c r="AE21" i="91" s="1"/>
  <c r="AF25" i="83"/>
  <c r="AF28" i="83"/>
  <c r="AF24" i="83"/>
  <c r="AF27" i="83"/>
  <c r="AF29" i="83"/>
  <c r="AF26" i="83"/>
  <c r="AF62" i="83"/>
  <c r="AC68" i="83"/>
  <c r="AC155" i="90" s="1"/>
  <c r="AC159" i="90" s="1"/>
  <c r="Z64" i="91"/>
  <c r="Z71" i="91" s="1"/>
  <c r="AF72" i="83"/>
  <c r="AB86" i="91"/>
  <c r="AB69" i="83"/>
  <c r="AC25" i="90"/>
  <c r="AC85" i="91"/>
  <c r="AB29" i="90"/>
  <c r="Y28" i="90"/>
  <c r="Y30" i="90" s="1"/>
  <c r="X33" i="90"/>
  <c r="X37" i="90" s="1"/>
  <c r="Y64" i="90"/>
  <c r="Z64" i="90" s="1"/>
  <c r="AA64" i="90" s="1"/>
  <c r="AB64" i="90" s="1"/>
  <c r="AC64" i="90" s="1"/>
  <c r="AD64" i="90" s="1"/>
  <c r="AE64" i="90" s="1"/>
  <c r="AF64" i="90" s="1"/>
  <c r="AG64" i="90" s="1"/>
  <c r="AH64" i="90" s="1"/>
  <c r="AH61" i="90"/>
  <c r="AG8" i="90"/>
  <c r="T66" i="90"/>
  <c r="U66" i="90" s="1"/>
  <c r="V66" i="90" s="1"/>
  <c r="W66" i="90" s="1"/>
  <c r="X66" i="90" s="1"/>
  <c r="Y66" i="90" s="1"/>
  <c r="Z66" i="90" s="1"/>
  <c r="AA66" i="90" s="1"/>
  <c r="AB66" i="90" s="1"/>
  <c r="AC66" i="90" s="1"/>
  <c r="AD66" i="90" s="1"/>
  <c r="AE66" i="90" s="1"/>
  <c r="AF66" i="90" s="1"/>
  <c r="AG66" i="90" s="1"/>
  <c r="AH66" i="90" s="1"/>
  <c r="P68" i="90"/>
  <c r="AH59" i="90"/>
  <c r="Q65" i="90"/>
  <c r="R65" i="90" s="1"/>
  <c r="S65" i="90" s="1"/>
  <c r="AH56" i="90"/>
  <c r="AH63" i="90"/>
  <c r="AH57" i="90"/>
  <c r="AH55" i="90"/>
  <c r="AI55" i="90" s="1"/>
  <c r="AJ55" i="90" s="1"/>
  <c r="AK55" i="90" s="1"/>
  <c r="AL55" i="90" s="1"/>
  <c r="AM55" i="90" s="1"/>
  <c r="AN55" i="90" s="1"/>
  <c r="AO55" i="90" s="1"/>
  <c r="AP55" i="90" s="1"/>
  <c r="AQ55" i="90" s="1"/>
  <c r="AR55" i="90" s="1"/>
  <c r="AS55" i="90" s="1"/>
  <c r="AT55" i="90" s="1"/>
  <c r="AU55" i="90" s="1"/>
  <c r="AV55" i="90" s="1"/>
  <c r="AW55" i="90" s="1"/>
  <c r="AX55" i="90" s="1"/>
  <c r="AY55" i="90" s="1"/>
  <c r="AZ55" i="90" s="1"/>
  <c r="BA55" i="90" s="1"/>
  <c r="BB55" i="90" s="1"/>
  <c r="BC55" i="90" s="1"/>
  <c r="BD55" i="90" s="1"/>
  <c r="BE55" i="90" s="1"/>
  <c r="BF55" i="90" s="1"/>
  <c r="BG55" i="90" s="1"/>
  <c r="BH55" i="90" s="1"/>
  <c r="BI55" i="90" s="1"/>
  <c r="BJ55" i="90" s="1"/>
  <c r="BK55" i="90" s="1"/>
  <c r="BL55" i="90" s="1"/>
  <c r="BM55" i="90" s="1"/>
  <c r="BN55" i="90" s="1"/>
  <c r="BO55" i="90" s="1"/>
  <c r="BP55" i="90" s="1"/>
  <c r="BQ55" i="90" s="1"/>
  <c r="BR55" i="90" s="1"/>
  <c r="BS55" i="90" s="1"/>
  <c r="BT55" i="90" s="1"/>
  <c r="BU55" i="90" s="1"/>
  <c r="BV55" i="90" s="1"/>
  <c r="BW55" i="90" s="1"/>
  <c r="BX55" i="90" s="1"/>
  <c r="BY55" i="90" s="1"/>
  <c r="BZ55" i="90" s="1"/>
  <c r="CA55" i="90" s="1"/>
  <c r="CB55" i="90" s="1"/>
  <c r="CC55" i="90" s="1"/>
  <c r="CD55" i="90" s="1"/>
  <c r="CE55" i="90" s="1"/>
  <c r="CF55" i="90" s="1"/>
  <c r="CG55" i="90" s="1"/>
  <c r="CH55" i="90" s="1"/>
  <c r="CI55" i="90" s="1"/>
  <c r="CJ55" i="90" s="1"/>
  <c r="CK55" i="90" s="1"/>
  <c r="CL55" i="90" s="1"/>
  <c r="CM55" i="90" s="1"/>
  <c r="CN55" i="90" s="1"/>
  <c r="CO55" i="90" s="1"/>
  <c r="CP55" i="90" s="1"/>
  <c r="CQ55" i="90" s="1"/>
  <c r="CR55" i="90" s="1"/>
  <c r="CS55" i="90" s="1"/>
  <c r="CT55" i="90" s="1"/>
  <c r="CU55" i="90" s="1"/>
  <c r="CV55" i="90" s="1"/>
  <c r="CW55" i="90" s="1"/>
  <c r="CX55" i="90" s="1"/>
  <c r="CY55" i="90" s="1"/>
  <c r="CZ55" i="90" s="1"/>
  <c r="DA55" i="90" s="1"/>
  <c r="DB55" i="90" s="1"/>
  <c r="DC55" i="90" s="1"/>
  <c r="DD55" i="90" s="1"/>
  <c r="DE55" i="90" s="1"/>
  <c r="DF55" i="90" s="1"/>
  <c r="DG55" i="90" s="1"/>
  <c r="DH55" i="90" s="1"/>
  <c r="DI55" i="90" s="1"/>
  <c r="DJ55" i="90" s="1"/>
  <c r="DK55" i="90" s="1"/>
  <c r="DL55" i="90" s="1"/>
  <c r="DM55" i="90" s="1"/>
  <c r="C72" i="90"/>
  <c r="J71" i="90"/>
  <c r="AI45" i="90"/>
  <c r="AH58" i="90"/>
  <c r="AI58" i="90" s="1"/>
  <c r="P67" i="90"/>
  <c r="Q67" i="90" s="1"/>
  <c r="R67" i="90" s="1"/>
  <c r="M69" i="90"/>
  <c r="K70" i="90"/>
  <c r="L70" i="90" s="1"/>
  <c r="M70" i="90" s="1"/>
  <c r="AH60" i="90"/>
  <c r="AF87" i="83"/>
  <c r="AJ4" i="91"/>
  <c r="AI6" i="91"/>
  <c r="AI5" i="91"/>
  <c r="AI4" i="90"/>
  <c r="AH6" i="90"/>
  <c r="AH21" i="90" s="1"/>
  <c r="AH5" i="90"/>
  <c r="AF48" i="83"/>
  <c r="AH4" i="83"/>
  <c r="AG5" i="83"/>
  <c r="AG6" i="83"/>
  <c r="AG80" i="83" s="1"/>
  <c r="AC14" i="90" l="1"/>
  <c r="AC157" i="90"/>
  <c r="AC160" i="90" s="1"/>
  <c r="AF82" i="83"/>
  <c r="AF83" i="83" s="1"/>
  <c r="AD108" i="83"/>
  <c r="AD109" i="83" s="1"/>
  <c r="AD110" i="83" s="1"/>
  <c r="AD18" i="91" s="1"/>
  <c r="AD14" i="90" s="1"/>
  <c r="AF44" i="83"/>
  <c r="AF51" i="83" s="1"/>
  <c r="AF55" i="83" s="1"/>
  <c r="AF71" i="93" s="1"/>
  <c r="AF41" i="83"/>
  <c r="AE89" i="83"/>
  <c r="AE90" i="83" s="1"/>
  <c r="AG47" i="83"/>
  <c r="AG116" i="83"/>
  <c r="AG37" i="83"/>
  <c r="AG100" i="83"/>
  <c r="AG102" i="83" s="1"/>
  <c r="AG104" i="83" s="1"/>
  <c r="AG117" i="83"/>
  <c r="AG23" i="91" s="1"/>
  <c r="AG39" i="83"/>
  <c r="AG45" i="83" s="1"/>
  <c r="AG36" i="83"/>
  <c r="AF22" i="91"/>
  <c r="AF118" i="83"/>
  <c r="AE83" i="83"/>
  <c r="AE96" i="83"/>
  <c r="AE97" i="83" s="1"/>
  <c r="AF107" i="83"/>
  <c r="AG86" i="83"/>
  <c r="AG93" i="83"/>
  <c r="AG94" i="83"/>
  <c r="AG78" i="83"/>
  <c r="Z66" i="91"/>
  <c r="AA66" i="91"/>
  <c r="AE64" i="83"/>
  <c r="AE65" i="83" s="1"/>
  <c r="AE149" i="90"/>
  <c r="AE153" i="90" s="1"/>
  <c r="AE62" i="91"/>
  <c r="AE77" i="93"/>
  <c r="AI62" i="90"/>
  <c r="Z12" i="91"/>
  <c r="Z11" i="90" s="1"/>
  <c r="AB10" i="91"/>
  <c r="AB73" i="83"/>
  <c r="AB74" i="83" s="1"/>
  <c r="AB15" i="91" s="1"/>
  <c r="Z12" i="90"/>
  <c r="AA12" i="91"/>
  <c r="AA11" i="90" s="1"/>
  <c r="AA12" i="90"/>
  <c r="AF30" i="83"/>
  <c r="AF32" i="83" s="1"/>
  <c r="AF21" i="91" s="1"/>
  <c r="AG25" i="83"/>
  <c r="AG28" i="83"/>
  <c r="AG24" i="83"/>
  <c r="AG29" i="83"/>
  <c r="AG26" i="83"/>
  <c r="AG27" i="83"/>
  <c r="AG62" i="83"/>
  <c r="AC69" i="83"/>
  <c r="AC86" i="91"/>
  <c r="AD68" i="83"/>
  <c r="AD155" i="90" s="1"/>
  <c r="AD159" i="90" s="1"/>
  <c r="AG72" i="83"/>
  <c r="AI66" i="90"/>
  <c r="AD24" i="91"/>
  <c r="Z28" i="90"/>
  <c r="Z30" i="90" s="1"/>
  <c r="Y33" i="90"/>
  <c r="Y37" i="90" s="1"/>
  <c r="AE24" i="91"/>
  <c r="AC29" i="90"/>
  <c r="T65" i="90"/>
  <c r="U65" i="90" s="1"/>
  <c r="V65" i="90" s="1"/>
  <c r="N70" i="90"/>
  <c r="O70" i="90" s="1"/>
  <c r="P70" i="90" s="1"/>
  <c r="AI63" i="90"/>
  <c r="AH8" i="90"/>
  <c r="AI56" i="90"/>
  <c r="AJ56" i="90" s="1"/>
  <c r="AK56" i="90" s="1"/>
  <c r="AL56" i="90" s="1"/>
  <c r="AM56" i="90" s="1"/>
  <c r="AN56" i="90" s="1"/>
  <c r="AO56" i="90" s="1"/>
  <c r="AP56" i="90" s="1"/>
  <c r="AQ56" i="90" s="1"/>
  <c r="AR56" i="90" s="1"/>
  <c r="AS56" i="90" s="1"/>
  <c r="AT56" i="90" s="1"/>
  <c r="AU56" i="90" s="1"/>
  <c r="AV56" i="90" s="1"/>
  <c r="AW56" i="90" s="1"/>
  <c r="AX56" i="90" s="1"/>
  <c r="AY56" i="90" s="1"/>
  <c r="AZ56" i="90" s="1"/>
  <c r="BA56" i="90" s="1"/>
  <c r="BB56" i="90" s="1"/>
  <c r="BC56" i="90" s="1"/>
  <c r="BD56" i="90" s="1"/>
  <c r="BE56" i="90" s="1"/>
  <c r="BF56" i="90" s="1"/>
  <c r="BG56" i="90" s="1"/>
  <c r="BH56" i="90" s="1"/>
  <c r="BI56" i="90" s="1"/>
  <c r="BJ56" i="90" s="1"/>
  <c r="BK56" i="90" s="1"/>
  <c r="BL56" i="90" s="1"/>
  <c r="BM56" i="90" s="1"/>
  <c r="BN56" i="90" s="1"/>
  <c r="BO56" i="90" s="1"/>
  <c r="BP56" i="90" s="1"/>
  <c r="BQ56" i="90" s="1"/>
  <c r="BR56" i="90" s="1"/>
  <c r="BS56" i="90" s="1"/>
  <c r="BT56" i="90" s="1"/>
  <c r="BU56" i="90" s="1"/>
  <c r="BV56" i="90" s="1"/>
  <c r="BW56" i="90" s="1"/>
  <c r="BX56" i="90" s="1"/>
  <c r="BY56" i="90" s="1"/>
  <c r="BZ56" i="90" s="1"/>
  <c r="CA56" i="90" s="1"/>
  <c r="CB56" i="90" s="1"/>
  <c r="CC56" i="90" s="1"/>
  <c r="CD56" i="90" s="1"/>
  <c r="CE56" i="90" s="1"/>
  <c r="CF56" i="90" s="1"/>
  <c r="CG56" i="90" s="1"/>
  <c r="CH56" i="90" s="1"/>
  <c r="CI56" i="90" s="1"/>
  <c r="CJ56" i="90" s="1"/>
  <c r="CK56" i="90" s="1"/>
  <c r="CL56" i="90" s="1"/>
  <c r="CM56" i="90" s="1"/>
  <c r="CN56" i="90" s="1"/>
  <c r="CO56" i="90" s="1"/>
  <c r="CP56" i="90" s="1"/>
  <c r="CQ56" i="90" s="1"/>
  <c r="CR56" i="90" s="1"/>
  <c r="CS56" i="90" s="1"/>
  <c r="CT56" i="90" s="1"/>
  <c r="CU56" i="90" s="1"/>
  <c r="CV56" i="90" s="1"/>
  <c r="CW56" i="90" s="1"/>
  <c r="CX56" i="90" s="1"/>
  <c r="CY56" i="90" s="1"/>
  <c r="CZ56" i="90" s="1"/>
  <c r="DA56" i="90" s="1"/>
  <c r="DB56" i="90" s="1"/>
  <c r="DC56" i="90" s="1"/>
  <c r="DD56" i="90" s="1"/>
  <c r="DE56" i="90" s="1"/>
  <c r="DF56" i="90" s="1"/>
  <c r="DG56" i="90" s="1"/>
  <c r="DH56" i="90" s="1"/>
  <c r="DI56" i="90" s="1"/>
  <c r="DJ56" i="90" s="1"/>
  <c r="DK56" i="90" s="1"/>
  <c r="DL56" i="90" s="1"/>
  <c r="DM56" i="90" s="1"/>
  <c r="Q68" i="90"/>
  <c r="N69" i="90"/>
  <c r="O69" i="90" s="1"/>
  <c r="C73" i="90"/>
  <c r="J72" i="90"/>
  <c r="AI59" i="90"/>
  <c r="AI64" i="90"/>
  <c r="K71" i="90"/>
  <c r="L71" i="90" s="1"/>
  <c r="AI60" i="90"/>
  <c r="S67" i="90"/>
  <c r="T67" i="90" s="1"/>
  <c r="AJ45" i="90"/>
  <c r="AI57" i="90"/>
  <c r="AI61" i="90"/>
  <c r="AG87" i="83"/>
  <c r="AK4" i="91"/>
  <c r="AJ6" i="91"/>
  <c r="AJ5" i="91"/>
  <c r="AJ4" i="90"/>
  <c r="AI6" i="90"/>
  <c r="AI21" i="90" s="1"/>
  <c r="AI5" i="90"/>
  <c r="AI4" i="83"/>
  <c r="AH6" i="83"/>
  <c r="AH80" i="83" s="1"/>
  <c r="AH5" i="83"/>
  <c r="AG48" i="83"/>
  <c r="AF89" i="83" l="1"/>
  <c r="AF90" i="83" s="1"/>
  <c r="AD63" i="91"/>
  <c r="AF96" i="83"/>
  <c r="AF97" i="83" s="1"/>
  <c r="AG82" i="83"/>
  <c r="AD157" i="90"/>
  <c r="AD160" i="90" s="1"/>
  <c r="AE108" i="83"/>
  <c r="AE109" i="83" s="1"/>
  <c r="AE110" i="83" s="1"/>
  <c r="AE18" i="91" s="1"/>
  <c r="AG44" i="83"/>
  <c r="AG51" i="83" s="1"/>
  <c r="AG55" i="83" s="1"/>
  <c r="AG41" i="83"/>
  <c r="AH47" i="83"/>
  <c r="AH37" i="83"/>
  <c r="AH100" i="83"/>
  <c r="AH102" i="83" s="1"/>
  <c r="AH104" i="83" s="1"/>
  <c r="AH39" i="83"/>
  <c r="AH45" i="83" s="1"/>
  <c r="AH117" i="83"/>
  <c r="AH23" i="91" s="1"/>
  <c r="AH36" i="83"/>
  <c r="AH116" i="83"/>
  <c r="AG118" i="83"/>
  <c r="AG22" i="91"/>
  <c r="AG107" i="83"/>
  <c r="AH86" i="83"/>
  <c r="AH93" i="83"/>
  <c r="AH94" i="83"/>
  <c r="AH78" i="83"/>
  <c r="AF64" i="83"/>
  <c r="AF65" i="83" s="1"/>
  <c r="AF62" i="91"/>
  <c r="AF149" i="90"/>
  <c r="AF153" i="90" s="1"/>
  <c r="AF77" i="93"/>
  <c r="AJ62" i="90"/>
  <c r="AB12" i="91"/>
  <c r="AB26" i="91" s="1"/>
  <c r="Z26" i="91"/>
  <c r="AA26" i="91"/>
  <c r="AC10" i="91"/>
  <c r="AC73" i="83"/>
  <c r="AC74" i="83" s="1"/>
  <c r="AC15" i="91" s="1"/>
  <c r="AB12" i="90"/>
  <c r="AG30" i="83"/>
  <c r="AG32" i="83" s="1"/>
  <c r="AG21" i="91" s="1"/>
  <c r="AH27" i="83"/>
  <c r="AH25" i="83"/>
  <c r="AH26" i="83"/>
  <c r="AH29" i="83"/>
  <c r="AH24" i="83"/>
  <c r="AH28" i="83"/>
  <c r="AH62" i="83"/>
  <c r="AH72" i="83"/>
  <c r="AD69" i="83"/>
  <c r="AE68" i="83"/>
  <c r="AE155" i="90" s="1"/>
  <c r="AE159" i="90" s="1"/>
  <c r="AB64" i="91"/>
  <c r="AB71" i="91" s="1"/>
  <c r="AE25" i="90"/>
  <c r="AE85" i="91"/>
  <c r="AA28" i="90"/>
  <c r="AA30" i="90" s="1"/>
  <c r="Z33" i="90"/>
  <c r="Z37" i="90" s="1"/>
  <c r="AD25" i="90"/>
  <c r="AD85" i="91"/>
  <c r="AD86" i="91" s="1"/>
  <c r="M71" i="90"/>
  <c r="N71" i="90" s="1"/>
  <c r="AI8" i="90"/>
  <c r="AJ57" i="90"/>
  <c r="AK57" i="90" s="1"/>
  <c r="AL57" i="90" s="1"/>
  <c r="AM57" i="90" s="1"/>
  <c r="AN57" i="90" s="1"/>
  <c r="AO57" i="90" s="1"/>
  <c r="AP57" i="90" s="1"/>
  <c r="AQ57" i="90" s="1"/>
  <c r="AR57" i="90" s="1"/>
  <c r="AS57" i="90" s="1"/>
  <c r="AT57" i="90" s="1"/>
  <c r="AU57" i="90" s="1"/>
  <c r="AV57" i="90" s="1"/>
  <c r="AW57" i="90" s="1"/>
  <c r="AX57" i="90" s="1"/>
  <c r="AY57" i="90" s="1"/>
  <c r="AZ57" i="90" s="1"/>
  <c r="BA57" i="90" s="1"/>
  <c r="BB57" i="90" s="1"/>
  <c r="BC57" i="90" s="1"/>
  <c r="BD57" i="90" s="1"/>
  <c r="BE57" i="90" s="1"/>
  <c r="BF57" i="90" s="1"/>
  <c r="BG57" i="90" s="1"/>
  <c r="BH57" i="90" s="1"/>
  <c r="BI57" i="90" s="1"/>
  <c r="BJ57" i="90" s="1"/>
  <c r="BK57" i="90" s="1"/>
  <c r="BL57" i="90" s="1"/>
  <c r="BM57" i="90" s="1"/>
  <c r="BN57" i="90" s="1"/>
  <c r="BO57" i="90" s="1"/>
  <c r="BP57" i="90" s="1"/>
  <c r="BQ57" i="90" s="1"/>
  <c r="BR57" i="90" s="1"/>
  <c r="BS57" i="90" s="1"/>
  <c r="BT57" i="90" s="1"/>
  <c r="BU57" i="90" s="1"/>
  <c r="BV57" i="90" s="1"/>
  <c r="BW57" i="90" s="1"/>
  <c r="BX57" i="90" s="1"/>
  <c r="BY57" i="90" s="1"/>
  <c r="BZ57" i="90" s="1"/>
  <c r="CA57" i="90" s="1"/>
  <c r="CB57" i="90" s="1"/>
  <c r="CC57" i="90" s="1"/>
  <c r="CD57" i="90" s="1"/>
  <c r="CE57" i="90" s="1"/>
  <c r="CF57" i="90" s="1"/>
  <c r="CG57" i="90" s="1"/>
  <c r="CH57" i="90" s="1"/>
  <c r="CI57" i="90" s="1"/>
  <c r="CJ57" i="90" s="1"/>
  <c r="CK57" i="90" s="1"/>
  <c r="CL57" i="90" s="1"/>
  <c r="CM57" i="90" s="1"/>
  <c r="CN57" i="90" s="1"/>
  <c r="CO57" i="90" s="1"/>
  <c r="CP57" i="90" s="1"/>
  <c r="CQ57" i="90" s="1"/>
  <c r="CR57" i="90" s="1"/>
  <c r="CS57" i="90" s="1"/>
  <c r="CT57" i="90" s="1"/>
  <c r="CU57" i="90" s="1"/>
  <c r="CV57" i="90" s="1"/>
  <c r="CW57" i="90" s="1"/>
  <c r="CX57" i="90" s="1"/>
  <c r="CY57" i="90" s="1"/>
  <c r="CZ57" i="90" s="1"/>
  <c r="DA57" i="90" s="1"/>
  <c r="DB57" i="90" s="1"/>
  <c r="DC57" i="90" s="1"/>
  <c r="DD57" i="90" s="1"/>
  <c r="DE57" i="90" s="1"/>
  <c r="DF57" i="90" s="1"/>
  <c r="DG57" i="90" s="1"/>
  <c r="DH57" i="90" s="1"/>
  <c r="DI57" i="90" s="1"/>
  <c r="DJ57" i="90" s="1"/>
  <c r="DK57" i="90" s="1"/>
  <c r="DL57" i="90" s="1"/>
  <c r="DM57" i="90" s="1"/>
  <c r="P69" i="90"/>
  <c r="U67" i="90"/>
  <c r="R68" i="90"/>
  <c r="S68" i="90" s="1"/>
  <c r="AJ59" i="90"/>
  <c r="C74" i="90"/>
  <c r="J73" i="90"/>
  <c r="AJ61" i="90"/>
  <c r="AJ60" i="90"/>
  <c r="AJ66" i="90"/>
  <c r="AJ58" i="90"/>
  <c r="AK45" i="90"/>
  <c r="AJ64" i="90"/>
  <c r="K72" i="90"/>
  <c r="L72" i="90" s="1"/>
  <c r="M72" i="90" s="1"/>
  <c r="N72" i="90" s="1"/>
  <c r="AJ63" i="90"/>
  <c r="W65" i="90"/>
  <c r="X65" i="90" s="1"/>
  <c r="Y65" i="90" s="1"/>
  <c r="Z65" i="90" s="1"/>
  <c r="AA65" i="90" s="1"/>
  <c r="AB65" i="90" s="1"/>
  <c r="AC65" i="90" s="1"/>
  <c r="AD65" i="90" s="1"/>
  <c r="AE65" i="90" s="1"/>
  <c r="AF65" i="90" s="1"/>
  <c r="AG65" i="90" s="1"/>
  <c r="AH65" i="90" s="1"/>
  <c r="AI65" i="90" s="1"/>
  <c r="AJ65" i="90" s="1"/>
  <c r="Q70" i="90"/>
  <c r="AH87" i="83"/>
  <c r="AK6" i="91"/>
  <c r="AK5" i="91"/>
  <c r="AL4" i="91"/>
  <c r="AJ6" i="90"/>
  <c r="AJ21" i="90" s="1"/>
  <c r="AJ5" i="90"/>
  <c r="AK4" i="90"/>
  <c r="AK62" i="90" s="1"/>
  <c r="AH48" i="83"/>
  <c r="AJ4" i="83"/>
  <c r="AI6" i="83"/>
  <c r="AI80" i="83" s="1"/>
  <c r="AI5" i="83"/>
  <c r="AE157" i="90" l="1"/>
  <c r="AE160" i="90" s="1"/>
  <c r="AF108" i="83"/>
  <c r="AF109" i="83" s="1"/>
  <c r="AF110" i="83" s="1"/>
  <c r="AF18" i="91" s="1"/>
  <c r="AG96" i="83"/>
  <c r="AG97" i="83" s="1"/>
  <c r="AG89" i="83"/>
  <c r="AG90" i="83" s="1"/>
  <c r="AH82" i="83"/>
  <c r="AH22" i="91"/>
  <c r="AH118" i="83"/>
  <c r="AH44" i="83"/>
  <c r="AH51" i="83" s="1"/>
  <c r="AH55" i="83" s="1"/>
  <c r="AH71" i="93" s="1"/>
  <c r="AH41" i="83"/>
  <c r="AI47" i="83"/>
  <c r="AI37" i="83"/>
  <c r="AI100" i="83"/>
  <c r="AI102" i="83" s="1"/>
  <c r="AI104" i="83" s="1"/>
  <c r="AI39" i="83"/>
  <c r="AI45" i="83" s="1"/>
  <c r="AI117" i="83"/>
  <c r="AI23" i="91" s="1"/>
  <c r="AI116" i="83"/>
  <c r="AI36" i="83"/>
  <c r="AG83" i="83"/>
  <c r="AG71" i="93"/>
  <c r="AG77" i="93" s="1"/>
  <c r="AH107" i="83"/>
  <c r="AI86" i="83"/>
  <c r="AI93" i="83"/>
  <c r="AI94" i="83"/>
  <c r="AI78" i="83"/>
  <c r="AB66" i="91"/>
  <c r="AG64" i="83"/>
  <c r="AG65" i="83" s="1"/>
  <c r="AG62" i="91"/>
  <c r="AG149" i="90"/>
  <c r="AG153" i="90" s="1"/>
  <c r="AB11" i="90"/>
  <c r="AC12" i="91"/>
  <c r="AC26" i="91" s="1"/>
  <c r="AC64" i="91"/>
  <c r="AC71" i="91" s="1"/>
  <c r="AC12" i="90"/>
  <c r="AD10" i="91"/>
  <c r="AD73" i="83"/>
  <c r="AD74" i="83" s="1"/>
  <c r="AD15" i="91" s="1"/>
  <c r="AH30" i="83"/>
  <c r="AH32" i="83" s="1"/>
  <c r="AH21" i="91" s="1"/>
  <c r="AI24" i="83"/>
  <c r="AI27" i="83"/>
  <c r="AI25" i="83"/>
  <c r="AI26" i="83"/>
  <c r="AI29" i="83"/>
  <c r="AI28" i="83"/>
  <c r="AI62" i="83"/>
  <c r="AI72" i="83"/>
  <c r="AF68" i="83"/>
  <c r="AF155" i="90" s="1"/>
  <c r="AF159" i="90" s="1"/>
  <c r="AE69" i="83"/>
  <c r="AE86" i="91"/>
  <c r="AF24" i="91"/>
  <c r="AF85" i="91" s="1"/>
  <c r="AE14" i="90"/>
  <c r="AE63" i="91"/>
  <c r="AD29" i="90"/>
  <c r="AB28" i="90"/>
  <c r="AB30" i="90" s="1"/>
  <c r="AA33" i="90"/>
  <c r="AA37" i="90" s="1"/>
  <c r="AE29" i="90"/>
  <c r="AK65" i="90"/>
  <c r="O72" i="90"/>
  <c r="P72" i="90" s="1"/>
  <c r="Q72" i="90" s="1"/>
  <c r="R72" i="90" s="1"/>
  <c r="T68" i="90"/>
  <c r="U68" i="90" s="1"/>
  <c r="V68" i="90" s="1"/>
  <c r="W68" i="90" s="1"/>
  <c r="X68" i="90" s="1"/>
  <c r="Y68" i="90" s="1"/>
  <c r="Z68" i="90" s="1"/>
  <c r="AA68" i="90" s="1"/>
  <c r="AB68" i="90" s="1"/>
  <c r="AC68" i="90" s="1"/>
  <c r="AD68" i="90" s="1"/>
  <c r="AE68" i="90" s="1"/>
  <c r="AF68" i="90" s="1"/>
  <c r="AG68" i="90" s="1"/>
  <c r="AH68" i="90" s="1"/>
  <c r="AI68" i="90" s="1"/>
  <c r="AJ68" i="90" s="1"/>
  <c r="O71" i="90"/>
  <c r="P71" i="90" s="1"/>
  <c r="AJ8" i="90"/>
  <c r="AI38" i="90"/>
  <c r="AL45" i="90"/>
  <c r="AK63" i="90"/>
  <c r="AK58" i="90"/>
  <c r="AL58" i="90" s="1"/>
  <c r="AM58" i="90" s="1"/>
  <c r="AN58" i="90" s="1"/>
  <c r="AO58" i="90" s="1"/>
  <c r="AP58" i="90" s="1"/>
  <c r="AQ58" i="90" s="1"/>
  <c r="AR58" i="90" s="1"/>
  <c r="AS58" i="90" s="1"/>
  <c r="AT58" i="90" s="1"/>
  <c r="AU58" i="90" s="1"/>
  <c r="AV58" i="90" s="1"/>
  <c r="AW58" i="90" s="1"/>
  <c r="AX58" i="90" s="1"/>
  <c r="AY58" i="90" s="1"/>
  <c r="AZ58" i="90" s="1"/>
  <c r="BA58" i="90" s="1"/>
  <c r="BB58" i="90" s="1"/>
  <c r="BC58" i="90" s="1"/>
  <c r="BD58" i="90" s="1"/>
  <c r="BE58" i="90" s="1"/>
  <c r="BF58" i="90" s="1"/>
  <c r="BG58" i="90" s="1"/>
  <c r="BH58" i="90" s="1"/>
  <c r="BI58" i="90" s="1"/>
  <c r="BJ58" i="90" s="1"/>
  <c r="BK58" i="90" s="1"/>
  <c r="BL58" i="90" s="1"/>
  <c r="BM58" i="90" s="1"/>
  <c r="BN58" i="90" s="1"/>
  <c r="BO58" i="90" s="1"/>
  <c r="BP58" i="90" s="1"/>
  <c r="BQ58" i="90" s="1"/>
  <c r="BR58" i="90" s="1"/>
  <c r="BS58" i="90" s="1"/>
  <c r="BT58" i="90" s="1"/>
  <c r="BU58" i="90" s="1"/>
  <c r="BV58" i="90" s="1"/>
  <c r="BW58" i="90" s="1"/>
  <c r="BX58" i="90" s="1"/>
  <c r="BY58" i="90" s="1"/>
  <c r="BZ58" i="90" s="1"/>
  <c r="CA58" i="90" s="1"/>
  <c r="CB58" i="90" s="1"/>
  <c r="CC58" i="90" s="1"/>
  <c r="CD58" i="90" s="1"/>
  <c r="CE58" i="90" s="1"/>
  <c r="CF58" i="90" s="1"/>
  <c r="CG58" i="90" s="1"/>
  <c r="CH58" i="90" s="1"/>
  <c r="CI58" i="90" s="1"/>
  <c r="CJ58" i="90" s="1"/>
  <c r="CK58" i="90" s="1"/>
  <c r="CL58" i="90" s="1"/>
  <c r="CM58" i="90" s="1"/>
  <c r="CN58" i="90" s="1"/>
  <c r="CO58" i="90" s="1"/>
  <c r="CP58" i="90" s="1"/>
  <c r="CQ58" i="90" s="1"/>
  <c r="CR58" i="90" s="1"/>
  <c r="CS58" i="90" s="1"/>
  <c r="CT58" i="90" s="1"/>
  <c r="CU58" i="90" s="1"/>
  <c r="CV58" i="90" s="1"/>
  <c r="CW58" i="90" s="1"/>
  <c r="CX58" i="90" s="1"/>
  <c r="CY58" i="90" s="1"/>
  <c r="CZ58" i="90" s="1"/>
  <c r="DA58" i="90" s="1"/>
  <c r="DB58" i="90" s="1"/>
  <c r="DC58" i="90" s="1"/>
  <c r="DD58" i="90" s="1"/>
  <c r="DE58" i="90" s="1"/>
  <c r="DF58" i="90" s="1"/>
  <c r="DG58" i="90" s="1"/>
  <c r="DH58" i="90" s="1"/>
  <c r="DI58" i="90" s="1"/>
  <c r="DJ58" i="90" s="1"/>
  <c r="DK58" i="90" s="1"/>
  <c r="DL58" i="90" s="1"/>
  <c r="DM58" i="90" s="1"/>
  <c r="AK60" i="90"/>
  <c r="K73" i="90"/>
  <c r="L73" i="90" s="1"/>
  <c r="V67" i="90"/>
  <c r="W67" i="90" s="1"/>
  <c r="X67" i="90" s="1"/>
  <c r="Y67" i="90" s="1"/>
  <c r="Z67" i="90" s="1"/>
  <c r="AA67" i="90" s="1"/>
  <c r="AB67" i="90" s="1"/>
  <c r="AC67" i="90" s="1"/>
  <c r="AD67" i="90" s="1"/>
  <c r="AE67" i="90" s="1"/>
  <c r="AF67" i="90" s="1"/>
  <c r="AG67" i="90" s="1"/>
  <c r="AH67" i="90" s="1"/>
  <c r="AI67" i="90" s="1"/>
  <c r="AJ67" i="90" s="1"/>
  <c r="AK67" i="90" s="1"/>
  <c r="AK66" i="90"/>
  <c r="AK61" i="90"/>
  <c r="C75" i="90"/>
  <c r="J74" i="90"/>
  <c r="AK59" i="90"/>
  <c r="R70" i="90"/>
  <c r="S70" i="90" s="1"/>
  <c r="AK64" i="90"/>
  <c r="Q69" i="90"/>
  <c r="R69" i="90" s="1"/>
  <c r="S69" i="90" s="1"/>
  <c r="T69" i="90" s="1"/>
  <c r="U69" i="90" s="1"/>
  <c r="V69" i="90" s="1"/>
  <c r="W69" i="90" s="1"/>
  <c r="X69" i="90" s="1"/>
  <c r="Y69" i="90" s="1"/>
  <c r="Z69" i="90" s="1"/>
  <c r="AA69" i="90" s="1"/>
  <c r="AB69" i="90" s="1"/>
  <c r="AC69" i="90" s="1"/>
  <c r="AD69" i="90" s="1"/>
  <c r="AE69" i="90" s="1"/>
  <c r="AF69" i="90" s="1"/>
  <c r="AG69" i="90" s="1"/>
  <c r="AH69" i="90" s="1"/>
  <c r="AI69" i="90" s="1"/>
  <c r="AJ69" i="90" s="1"/>
  <c r="AK69" i="90" s="1"/>
  <c r="AI87" i="83"/>
  <c r="AM4" i="91"/>
  <c r="AL6" i="91"/>
  <c r="AL5" i="91"/>
  <c r="AL4" i="90"/>
  <c r="AK6" i="90"/>
  <c r="AK21" i="90" s="1"/>
  <c r="AK5" i="90"/>
  <c r="AK4" i="83"/>
  <c r="AJ6" i="83"/>
  <c r="AJ80" i="83" s="1"/>
  <c r="AJ5" i="83"/>
  <c r="AI48" i="83"/>
  <c r="AF157" i="90" l="1"/>
  <c r="AF160" i="90" s="1"/>
  <c r="AI82" i="83"/>
  <c r="AH89" i="83"/>
  <c r="AH90" i="83" s="1"/>
  <c r="AG108" i="83"/>
  <c r="AG109" i="83" s="1"/>
  <c r="AG110" i="83" s="1"/>
  <c r="AG18" i="91" s="1"/>
  <c r="AI118" i="83"/>
  <c r="AI22" i="91"/>
  <c r="AI44" i="83"/>
  <c r="AI51" i="83" s="1"/>
  <c r="AI55" i="83" s="1"/>
  <c r="AI41" i="83"/>
  <c r="AJ47" i="83"/>
  <c r="AJ100" i="83"/>
  <c r="AJ102" i="83" s="1"/>
  <c r="AJ104" i="83" s="1"/>
  <c r="AJ39" i="83"/>
  <c r="AJ45" i="83" s="1"/>
  <c r="AJ117" i="83"/>
  <c r="AJ23" i="91" s="1"/>
  <c r="AJ116" i="83"/>
  <c r="AJ36" i="83"/>
  <c r="AJ37" i="83"/>
  <c r="AH96" i="83"/>
  <c r="AH97" i="83" s="1"/>
  <c r="AH83" i="83"/>
  <c r="AI107" i="83"/>
  <c r="AJ86" i="83"/>
  <c r="AJ93" i="83"/>
  <c r="AJ94" i="83"/>
  <c r="AJ78" i="83"/>
  <c r="AC66" i="91"/>
  <c r="AH64" i="83"/>
  <c r="AH65" i="83" s="1"/>
  <c r="AH62" i="91"/>
  <c r="AH149" i="90"/>
  <c r="AH153" i="90" s="1"/>
  <c r="AH77" i="93"/>
  <c r="AC11" i="90"/>
  <c r="AL65" i="90"/>
  <c r="Q71" i="90"/>
  <c r="R71" i="90" s="1"/>
  <c r="AD64" i="91"/>
  <c r="AD71" i="91" s="1"/>
  <c r="AE10" i="91"/>
  <c r="AE12" i="91" s="1"/>
  <c r="AE73" i="83"/>
  <c r="AE74" i="83" s="1"/>
  <c r="AE15" i="91" s="1"/>
  <c r="AD12" i="90"/>
  <c r="AD12" i="91"/>
  <c r="AD26" i="91" s="1"/>
  <c r="AI30" i="83"/>
  <c r="AI32" i="83" s="1"/>
  <c r="AI21" i="91" s="1"/>
  <c r="AJ29" i="83"/>
  <c r="AJ24" i="83"/>
  <c r="AJ27" i="83"/>
  <c r="AJ25" i="83"/>
  <c r="AJ28" i="83"/>
  <c r="AJ26" i="83"/>
  <c r="AJ62" i="83"/>
  <c r="AJ72" i="83"/>
  <c r="AG68" i="83"/>
  <c r="AG155" i="90" s="1"/>
  <c r="AG159" i="90" s="1"/>
  <c r="AF69" i="83"/>
  <c r="AF86" i="91"/>
  <c r="AF25" i="90"/>
  <c r="AF29" i="90" s="1"/>
  <c r="AG24" i="91"/>
  <c r="AG25" i="90" s="1"/>
  <c r="AF63" i="91"/>
  <c r="AF14" i="90"/>
  <c r="AH24" i="91"/>
  <c r="AC28" i="90"/>
  <c r="AC30" i="90" s="1"/>
  <c r="AB33" i="90"/>
  <c r="AB37" i="90" s="1"/>
  <c r="AK68" i="90"/>
  <c r="AL68" i="90" s="1"/>
  <c r="AI17" i="90"/>
  <c r="AI69" i="91" s="1"/>
  <c r="AL69" i="90"/>
  <c r="AL59" i="90"/>
  <c r="AM59" i="90" s="1"/>
  <c r="AN59" i="90" s="1"/>
  <c r="AO59" i="90" s="1"/>
  <c r="AP59" i="90" s="1"/>
  <c r="AQ59" i="90" s="1"/>
  <c r="AR59" i="90" s="1"/>
  <c r="AS59" i="90" s="1"/>
  <c r="AT59" i="90" s="1"/>
  <c r="AU59" i="90" s="1"/>
  <c r="AV59" i="90" s="1"/>
  <c r="AW59" i="90" s="1"/>
  <c r="AX59" i="90" s="1"/>
  <c r="AY59" i="90" s="1"/>
  <c r="AZ59" i="90" s="1"/>
  <c r="BA59" i="90" s="1"/>
  <c r="BB59" i="90" s="1"/>
  <c r="BC59" i="90" s="1"/>
  <c r="BD59" i="90" s="1"/>
  <c r="BE59" i="90" s="1"/>
  <c r="BF59" i="90" s="1"/>
  <c r="BG59" i="90" s="1"/>
  <c r="BH59" i="90" s="1"/>
  <c r="BI59" i="90" s="1"/>
  <c r="BJ59" i="90" s="1"/>
  <c r="BK59" i="90" s="1"/>
  <c r="BL59" i="90" s="1"/>
  <c r="BM59" i="90" s="1"/>
  <c r="BN59" i="90" s="1"/>
  <c r="BO59" i="90" s="1"/>
  <c r="BP59" i="90" s="1"/>
  <c r="BQ59" i="90" s="1"/>
  <c r="BR59" i="90" s="1"/>
  <c r="BS59" i="90" s="1"/>
  <c r="BT59" i="90" s="1"/>
  <c r="BU59" i="90" s="1"/>
  <c r="BV59" i="90" s="1"/>
  <c r="BW59" i="90" s="1"/>
  <c r="BX59" i="90" s="1"/>
  <c r="BY59" i="90" s="1"/>
  <c r="BZ59" i="90" s="1"/>
  <c r="CA59" i="90" s="1"/>
  <c r="CB59" i="90" s="1"/>
  <c r="CC59" i="90" s="1"/>
  <c r="CD59" i="90" s="1"/>
  <c r="CE59" i="90" s="1"/>
  <c r="CF59" i="90" s="1"/>
  <c r="CG59" i="90" s="1"/>
  <c r="CH59" i="90" s="1"/>
  <c r="CI59" i="90" s="1"/>
  <c r="CJ59" i="90" s="1"/>
  <c r="CK59" i="90" s="1"/>
  <c r="CL59" i="90" s="1"/>
  <c r="CM59" i="90" s="1"/>
  <c r="CN59" i="90" s="1"/>
  <c r="CO59" i="90" s="1"/>
  <c r="CP59" i="90" s="1"/>
  <c r="CQ59" i="90" s="1"/>
  <c r="CR59" i="90" s="1"/>
  <c r="CS59" i="90" s="1"/>
  <c r="CT59" i="90" s="1"/>
  <c r="CU59" i="90" s="1"/>
  <c r="CV59" i="90" s="1"/>
  <c r="CW59" i="90" s="1"/>
  <c r="CX59" i="90" s="1"/>
  <c r="CY59" i="90" s="1"/>
  <c r="CZ59" i="90" s="1"/>
  <c r="DA59" i="90" s="1"/>
  <c r="DB59" i="90" s="1"/>
  <c r="DC59" i="90" s="1"/>
  <c r="DD59" i="90" s="1"/>
  <c r="DE59" i="90" s="1"/>
  <c r="DF59" i="90" s="1"/>
  <c r="DG59" i="90" s="1"/>
  <c r="DH59" i="90" s="1"/>
  <c r="DI59" i="90" s="1"/>
  <c r="DJ59" i="90" s="1"/>
  <c r="DK59" i="90" s="1"/>
  <c r="DL59" i="90" s="1"/>
  <c r="DM59" i="90" s="1"/>
  <c r="AK8" i="90"/>
  <c r="AJ38" i="90"/>
  <c r="AL67" i="90"/>
  <c r="T70" i="90"/>
  <c r="U70" i="90" s="1"/>
  <c r="V70" i="90" s="1"/>
  <c r="W70" i="90" s="1"/>
  <c r="X70" i="90" s="1"/>
  <c r="Y70" i="90" s="1"/>
  <c r="Z70" i="90" s="1"/>
  <c r="AA70" i="90" s="1"/>
  <c r="AB70" i="90" s="1"/>
  <c r="AC70" i="90" s="1"/>
  <c r="AD70" i="90" s="1"/>
  <c r="AE70" i="90" s="1"/>
  <c r="AF70" i="90" s="1"/>
  <c r="AG70" i="90" s="1"/>
  <c r="AH70" i="90" s="1"/>
  <c r="AI70" i="90" s="1"/>
  <c r="AJ70" i="90" s="1"/>
  <c r="AK70" i="90" s="1"/>
  <c r="AL70" i="90" s="1"/>
  <c r="S72" i="90"/>
  <c r="C76" i="90"/>
  <c r="J75" i="90"/>
  <c r="AL60" i="90"/>
  <c r="AL63" i="90"/>
  <c r="AL62" i="90"/>
  <c r="AL64" i="90"/>
  <c r="AL61" i="90"/>
  <c r="K74" i="90"/>
  <c r="L74" i="90" s="1"/>
  <c r="AL66" i="90"/>
  <c r="M73" i="90"/>
  <c r="AM45" i="90"/>
  <c r="AJ87" i="83"/>
  <c r="AN4" i="91"/>
  <c r="AM6" i="91"/>
  <c r="AM5" i="91"/>
  <c r="AM4" i="90"/>
  <c r="AL6" i="90"/>
  <c r="AL21" i="90" s="1"/>
  <c r="AL5" i="90"/>
  <c r="AJ48" i="83"/>
  <c r="AL4" i="83"/>
  <c r="AK5" i="83"/>
  <c r="AK6" i="83"/>
  <c r="AK80" i="83" s="1"/>
  <c r="AG157" i="90" l="1"/>
  <c r="AG160" i="90" s="1"/>
  <c r="AI89" i="83"/>
  <c r="AI90" i="83" s="1"/>
  <c r="AJ82" i="83"/>
  <c r="AH108" i="83"/>
  <c r="AH109" i="83" s="1"/>
  <c r="AH110" i="83" s="1"/>
  <c r="AH18" i="91" s="1"/>
  <c r="AH14" i="90" s="1"/>
  <c r="AJ107" i="83"/>
  <c r="AJ118" i="83"/>
  <c r="AJ22" i="91"/>
  <c r="AI96" i="83"/>
  <c r="AI97" i="83" s="1"/>
  <c r="AK47" i="83"/>
  <c r="AK100" i="83"/>
  <c r="AK102" i="83" s="1"/>
  <c r="AK104" i="83" s="1"/>
  <c r="AK39" i="83"/>
  <c r="AK45" i="83" s="1"/>
  <c r="AK117" i="83"/>
  <c r="AK23" i="91" s="1"/>
  <c r="AK116" i="83"/>
  <c r="AK36" i="83"/>
  <c r="AK37" i="83"/>
  <c r="AI83" i="83"/>
  <c r="AJ44" i="83"/>
  <c r="AJ51" i="83" s="1"/>
  <c r="AJ55" i="83" s="1"/>
  <c r="AJ41" i="83"/>
  <c r="AI71" i="93"/>
  <c r="AI77" i="93" s="1"/>
  <c r="AK86" i="83"/>
  <c r="AK93" i="83"/>
  <c r="AK94" i="83"/>
  <c r="AK78" i="83"/>
  <c r="AD66" i="91"/>
  <c r="AI64" i="83"/>
  <c r="AI65" i="83" s="1"/>
  <c r="AI149" i="90"/>
  <c r="AI153" i="90" s="1"/>
  <c r="AI62" i="91"/>
  <c r="AH159" i="90"/>
  <c r="AM65" i="90"/>
  <c r="S71" i="90"/>
  <c r="T71" i="90" s="1"/>
  <c r="U71" i="90" s="1"/>
  <c r="AD11" i="90"/>
  <c r="AE26" i="91"/>
  <c r="AF10" i="91"/>
  <c r="AF12" i="91" s="1"/>
  <c r="AF73" i="83"/>
  <c r="AF74" i="83" s="1"/>
  <c r="AF15" i="91" s="1"/>
  <c r="AE12" i="90"/>
  <c r="AK26" i="83"/>
  <c r="AK29" i="83"/>
  <c r="AK24" i="83"/>
  <c r="AK25" i="83"/>
  <c r="AK28" i="83"/>
  <c r="AK27" i="83"/>
  <c r="AJ30" i="83"/>
  <c r="AJ32" i="83" s="1"/>
  <c r="AJ21" i="91" s="1"/>
  <c r="AK62" i="83"/>
  <c r="AG69" i="83"/>
  <c r="AE11" i="90"/>
  <c r="AK72" i="83"/>
  <c r="AE64" i="91"/>
  <c r="AE71" i="91" s="1"/>
  <c r="AH68" i="83"/>
  <c r="AH155" i="90" s="1"/>
  <c r="AG85" i="91"/>
  <c r="AG86" i="91" s="1"/>
  <c r="AG29" i="90"/>
  <c r="AI24" i="91"/>
  <c r="AG14" i="90"/>
  <c r="AG63" i="91"/>
  <c r="AD28" i="90"/>
  <c r="AD30" i="90" s="1"/>
  <c r="AC33" i="90"/>
  <c r="AC37" i="90" s="1"/>
  <c r="AH25" i="90"/>
  <c r="AH85" i="91"/>
  <c r="AJ17" i="90"/>
  <c r="AJ69" i="91" s="1"/>
  <c r="N73" i="90"/>
  <c r="O73" i="90" s="1"/>
  <c r="P73" i="90" s="1"/>
  <c r="M74" i="90"/>
  <c r="N74" i="90" s="1"/>
  <c r="AM70" i="90"/>
  <c r="AL8" i="90"/>
  <c r="AK38" i="90"/>
  <c r="K75" i="90"/>
  <c r="L75" i="90" s="1"/>
  <c r="AN45" i="90"/>
  <c r="AM66" i="90"/>
  <c r="AM62" i="90"/>
  <c r="C77" i="90"/>
  <c r="J76" i="90"/>
  <c r="AM67" i="90"/>
  <c r="AM69" i="90"/>
  <c r="AM60" i="90"/>
  <c r="AN60" i="90" s="1"/>
  <c r="AO60" i="90" s="1"/>
  <c r="AP60" i="90" s="1"/>
  <c r="AQ60" i="90" s="1"/>
  <c r="AR60" i="90" s="1"/>
  <c r="AS60" i="90" s="1"/>
  <c r="AT60" i="90" s="1"/>
  <c r="AU60" i="90" s="1"/>
  <c r="AV60" i="90" s="1"/>
  <c r="AW60" i="90" s="1"/>
  <c r="AX60" i="90" s="1"/>
  <c r="AY60" i="90" s="1"/>
  <c r="AZ60" i="90" s="1"/>
  <c r="BA60" i="90" s="1"/>
  <c r="BB60" i="90" s="1"/>
  <c r="BC60" i="90" s="1"/>
  <c r="BD60" i="90" s="1"/>
  <c r="BE60" i="90" s="1"/>
  <c r="BF60" i="90" s="1"/>
  <c r="BG60" i="90" s="1"/>
  <c r="BH60" i="90" s="1"/>
  <c r="BI60" i="90" s="1"/>
  <c r="BJ60" i="90" s="1"/>
  <c r="BK60" i="90" s="1"/>
  <c r="BL60" i="90" s="1"/>
  <c r="BM60" i="90" s="1"/>
  <c r="BN60" i="90" s="1"/>
  <c r="BO60" i="90" s="1"/>
  <c r="BP60" i="90" s="1"/>
  <c r="BQ60" i="90" s="1"/>
  <c r="BR60" i="90" s="1"/>
  <c r="BS60" i="90" s="1"/>
  <c r="BT60" i="90" s="1"/>
  <c r="BU60" i="90" s="1"/>
  <c r="BV60" i="90" s="1"/>
  <c r="BW60" i="90" s="1"/>
  <c r="BX60" i="90" s="1"/>
  <c r="BY60" i="90" s="1"/>
  <c r="BZ60" i="90" s="1"/>
  <c r="CA60" i="90" s="1"/>
  <c r="CB60" i="90" s="1"/>
  <c r="CC60" i="90" s="1"/>
  <c r="CD60" i="90" s="1"/>
  <c r="CE60" i="90" s="1"/>
  <c r="CF60" i="90" s="1"/>
  <c r="CG60" i="90" s="1"/>
  <c r="CH60" i="90" s="1"/>
  <c r="CI60" i="90" s="1"/>
  <c r="CJ60" i="90" s="1"/>
  <c r="CK60" i="90" s="1"/>
  <c r="CL60" i="90" s="1"/>
  <c r="CM60" i="90" s="1"/>
  <c r="CN60" i="90" s="1"/>
  <c r="CO60" i="90" s="1"/>
  <c r="CP60" i="90" s="1"/>
  <c r="CQ60" i="90" s="1"/>
  <c r="CR60" i="90" s="1"/>
  <c r="CS60" i="90" s="1"/>
  <c r="CT60" i="90" s="1"/>
  <c r="CU60" i="90" s="1"/>
  <c r="CV60" i="90" s="1"/>
  <c r="CW60" i="90" s="1"/>
  <c r="CX60" i="90" s="1"/>
  <c r="CY60" i="90" s="1"/>
  <c r="CZ60" i="90" s="1"/>
  <c r="DA60" i="90" s="1"/>
  <c r="DB60" i="90" s="1"/>
  <c r="DC60" i="90" s="1"/>
  <c r="DD60" i="90" s="1"/>
  <c r="DE60" i="90" s="1"/>
  <c r="DF60" i="90" s="1"/>
  <c r="DG60" i="90" s="1"/>
  <c r="DH60" i="90" s="1"/>
  <c r="DI60" i="90" s="1"/>
  <c r="DJ60" i="90" s="1"/>
  <c r="DK60" i="90" s="1"/>
  <c r="DL60" i="90" s="1"/>
  <c r="DM60" i="90" s="1"/>
  <c r="AM63" i="90"/>
  <c r="T72" i="90"/>
  <c r="AM64" i="90"/>
  <c r="AM68" i="90"/>
  <c r="AN68" i="90" s="1"/>
  <c r="AM61" i="90"/>
  <c r="AK87" i="83"/>
  <c r="AO4" i="91"/>
  <c r="AN6" i="91"/>
  <c r="AN5" i="91"/>
  <c r="AN4" i="90"/>
  <c r="AM6" i="90"/>
  <c r="AM21" i="90" s="1"/>
  <c r="AM5" i="90"/>
  <c r="AK48" i="83"/>
  <c r="AM4" i="83"/>
  <c r="AL6" i="83"/>
  <c r="AL80" i="83" s="1"/>
  <c r="AL5" i="83"/>
  <c r="AK82" i="83" l="1"/>
  <c r="AJ89" i="83"/>
  <c r="AJ90" i="83" s="1"/>
  <c r="AH63" i="91"/>
  <c r="AH157" i="90"/>
  <c r="AH160" i="90" s="1"/>
  <c r="AI108" i="83"/>
  <c r="AI109" i="83" s="1"/>
  <c r="AI110" i="83" s="1"/>
  <c r="AI18" i="91" s="1"/>
  <c r="AK107" i="83"/>
  <c r="AK118" i="83"/>
  <c r="AK22" i="91"/>
  <c r="AL47" i="83"/>
  <c r="AL39" i="83"/>
  <c r="AL45" i="83" s="1"/>
  <c r="AL117" i="83"/>
  <c r="AL23" i="91" s="1"/>
  <c r="AL116" i="83"/>
  <c r="AL36" i="83"/>
  <c r="AL100" i="83"/>
  <c r="AL102" i="83" s="1"/>
  <c r="AL104" i="83" s="1"/>
  <c r="AL37" i="83"/>
  <c r="AJ83" i="83"/>
  <c r="AJ96" i="83"/>
  <c r="AJ97" i="83" s="1"/>
  <c r="AK44" i="83"/>
  <c r="AK51" i="83" s="1"/>
  <c r="AK55" i="83" s="1"/>
  <c r="AK71" i="93" s="1"/>
  <c r="AK41" i="83"/>
  <c r="AJ71" i="93"/>
  <c r="AJ77" i="93" s="1"/>
  <c r="AL86" i="83"/>
  <c r="AL93" i="83"/>
  <c r="AL94" i="83"/>
  <c r="AL78" i="83"/>
  <c r="AE66" i="91"/>
  <c r="AI78" i="91"/>
  <c r="AI70" i="91"/>
  <c r="AI161" i="90"/>
  <c r="AI159" i="90"/>
  <c r="AI160" i="90"/>
  <c r="AJ64" i="83"/>
  <c r="AJ65" i="83" s="1"/>
  <c r="AJ149" i="90"/>
  <c r="AJ153" i="90" s="1"/>
  <c r="AJ62" i="91"/>
  <c r="AF26" i="91"/>
  <c r="V71" i="90"/>
  <c r="W71" i="90" s="1"/>
  <c r="X71" i="90" s="1"/>
  <c r="Y71" i="90" s="1"/>
  <c r="Z71" i="90" s="1"/>
  <c r="AA71" i="90" s="1"/>
  <c r="AB71" i="90" s="1"/>
  <c r="AC71" i="90" s="1"/>
  <c r="AD71" i="90" s="1"/>
  <c r="AE71" i="90" s="1"/>
  <c r="AF71" i="90" s="1"/>
  <c r="AG71" i="90" s="1"/>
  <c r="AH71" i="90" s="1"/>
  <c r="AI71" i="90" s="1"/>
  <c r="AJ71" i="90" s="1"/>
  <c r="AK71" i="90" s="1"/>
  <c r="AL71" i="90" s="1"/>
  <c r="AM71" i="90" s="1"/>
  <c r="AG10" i="91"/>
  <c r="AG12" i="91" s="1"/>
  <c r="AG11" i="90" s="1"/>
  <c r="AG73" i="83"/>
  <c r="AG74" i="83" s="1"/>
  <c r="AG15" i="91" s="1"/>
  <c r="AF12" i="90"/>
  <c r="AK30" i="83"/>
  <c r="AK32" i="83" s="1"/>
  <c r="AK21" i="91" s="1"/>
  <c r="AL26" i="83"/>
  <c r="AL29" i="83"/>
  <c r="AL24" i="83"/>
  <c r="AL25" i="83"/>
  <c r="AL28" i="83"/>
  <c r="AL27" i="83"/>
  <c r="AL62" i="83"/>
  <c r="AL72" i="83"/>
  <c r="AI68" i="83"/>
  <c r="AI155" i="90" s="1"/>
  <c r="AF64" i="91"/>
  <c r="AF71" i="91" s="1"/>
  <c r="AF11" i="90"/>
  <c r="AH69" i="83"/>
  <c r="AH86" i="91"/>
  <c r="AN70" i="90"/>
  <c r="AH29" i="90"/>
  <c r="AE28" i="90"/>
  <c r="AE30" i="90" s="1"/>
  <c r="AD33" i="90"/>
  <c r="AD37" i="90" s="1"/>
  <c r="AI25" i="90"/>
  <c r="AI85" i="91"/>
  <c r="AK17" i="90"/>
  <c r="AK69" i="91" s="1"/>
  <c r="O74" i="90"/>
  <c r="P74" i="90" s="1"/>
  <c r="AM8" i="90"/>
  <c r="AL38" i="90"/>
  <c r="M75" i="90"/>
  <c r="N75" i="90" s="1"/>
  <c r="O75" i="90" s="1"/>
  <c r="AN61" i="90"/>
  <c r="AO61" i="90" s="1"/>
  <c r="AP61" i="90" s="1"/>
  <c r="AQ61" i="90" s="1"/>
  <c r="AR61" i="90" s="1"/>
  <c r="AS61" i="90" s="1"/>
  <c r="AT61" i="90" s="1"/>
  <c r="AU61" i="90" s="1"/>
  <c r="AV61" i="90" s="1"/>
  <c r="AW61" i="90" s="1"/>
  <c r="AX61" i="90" s="1"/>
  <c r="AY61" i="90" s="1"/>
  <c r="AZ61" i="90" s="1"/>
  <c r="BA61" i="90" s="1"/>
  <c r="BB61" i="90" s="1"/>
  <c r="BC61" i="90" s="1"/>
  <c r="BD61" i="90" s="1"/>
  <c r="BE61" i="90" s="1"/>
  <c r="BF61" i="90" s="1"/>
  <c r="BG61" i="90" s="1"/>
  <c r="BH61" i="90" s="1"/>
  <c r="BI61" i="90" s="1"/>
  <c r="BJ61" i="90" s="1"/>
  <c r="BK61" i="90" s="1"/>
  <c r="BL61" i="90" s="1"/>
  <c r="BM61" i="90" s="1"/>
  <c r="BN61" i="90" s="1"/>
  <c r="BO61" i="90" s="1"/>
  <c r="BP61" i="90" s="1"/>
  <c r="BQ61" i="90" s="1"/>
  <c r="BR61" i="90" s="1"/>
  <c r="BS61" i="90" s="1"/>
  <c r="BT61" i="90" s="1"/>
  <c r="BU61" i="90" s="1"/>
  <c r="BV61" i="90" s="1"/>
  <c r="BW61" i="90" s="1"/>
  <c r="BX61" i="90" s="1"/>
  <c r="BY61" i="90" s="1"/>
  <c r="BZ61" i="90" s="1"/>
  <c r="CA61" i="90" s="1"/>
  <c r="CB61" i="90" s="1"/>
  <c r="CC61" i="90" s="1"/>
  <c r="CD61" i="90" s="1"/>
  <c r="CE61" i="90" s="1"/>
  <c r="CF61" i="90" s="1"/>
  <c r="CG61" i="90" s="1"/>
  <c r="CH61" i="90" s="1"/>
  <c r="CI61" i="90" s="1"/>
  <c r="CJ61" i="90" s="1"/>
  <c r="CK61" i="90" s="1"/>
  <c r="CL61" i="90" s="1"/>
  <c r="CM61" i="90" s="1"/>
  <c r="CN61" i="90" s="1"/>
  <c r="CO61" i="90" s="1"/>
  <c r="CP61" i="90" s="1"/>
  <c r="CQ61" i="90" s="1"/>
  <c r="CR61" i="90" s="1"/>
  <c r="CS61" i="90" s="1"/>
  <c r="CT61" i="90" s="1"/>
  <c r="CU61" i="90" s="1"/>
  <c r="CV61" i="90" s="1"/>
  <c r="CW61" i="90" s="1"/>
  <c r="CX61" i="90" s="1"/>
  <c r="CY61" i="90" s="1"/>
  <c r="CZ61" i="90" s="1"/>
  <c r="DA61" i="90" s="1"/>
  <c r="DB61" i="90" s="1"/>
  <c r="DC61" i="90" s="1"/>
  <c r="DD61" i="90" s="1"/>
  <c r="DE61" i="90" s="1"/>
  <c r="DF61" i="90" s="1"/>
  <c r="DG61" i="90" s="1"/>
  <c r="DH61" i="90" s="1"/>
  <c r="DI61" i="90" s="1"/>
  <c r="DJ61" i="90" s="1"/>
  <c r="DK61" i="90" s="1"/>
  <c r="DL61" i="90" s="1"/>
  <c r="DM61" i="90" s="1"/>
  <c r="AN67" i="90"/>
  <c r="AN62" i="90"/>
  <c r="Q73" i="90"/>
  <c r="R73" i="90" s="1"/>
  <c r="U72" i="90"/>
  <c r="V72" i="90" s="1"/>
  <c r="W72" i="90" s="1"/>
  <c r="AN64" i="90"/>
  <c r="AN63" i="90"/>
  <c r="AO45" i="90"/>
  <c r="K76" i="90"/>
  <c r="L76" i="90" s="1"/>
  <c r="AN69" i="90"/>
  <c r="C78" i="90"/>
  <c r="J77" i="90"/>
  <c r="AN66" i="90"/>
  <c r="AO66" i="90" s="1"/>
  <c r="AN65" i="90"/>
  <c r="AL87" i="83"/>
  <c r="AO6" i="91"/>
  <c r="AO5" i="91"/>
  <c r="AP4" i="91"/>
  <c r="AN6" i="90"/>
  <c r="AN21" i="90" s="1"/>
  <c r="AN5" i="90"/>
  <c r="AO4" i="90"/>
  <c r="AL48" i="83"/>
  <c r="AN4" i="83"/>
  <c r="AM6" i="83"/>
  <c r="AM80" i="83" s="1"/>
  <c r="AM5" i="83"/>
  <c r="AK89" i="83" l="1"/>
  <c r="AL82" i="83"/>
  <c r="AI157" i="90"/>
  <c r="AK83" i="83"/>
  <c r="AK96" i="83"/>
  <c r="AK97" i="83" s="1"/>
  <c r="AL44" i="83"/>
  <c r="AL51" i="83" s="1"/>
  <c r="AL55" i="83" s="1"/>
  <c r="AL71" i="93" s="1"/>
  <c r="AL41" i="83"/>
  <c r="AM47" i="83"/>
  <c r="AM117" i="83"/>
  <c r="AM23" i="91" s="1"/>
  <c r="AM116" i="83"/>
  <c r="AM37" i="83"/>
  <c r="AM100" i="83"/>
  <c r="AM102" i="83" s="1"/>
  <c r="AM104" i="83" s="1"/>
  <c r="AM39" i="83"/>
  <c r="AM45" i="83" s="1"/>
  <c r="AM36" i="83"/>
  <c r="AJ108" i="83"/>
  <c r="AJ109" i="83" s="1"/>
  <c r="AJ110" i="83" s="1"/>
  <c r="AJ18" i="91" s="1"/>
  <c r="AL22" i="91"/>
  <c r="AL118" i="83"/>
  <c r="AL107" i="83"/>
  <c r="AK90" i="83"/>
  <c r="AM86" i="83"/>
  <c r="AM93" i="83"/>
  <c r="AM94" i="83"/>
  <c r="AM78" i="83"/>
  <c r="AF66" i="91"/>
  <c r="AJ78" i="91"/>
  <c r="AJ70" i="91"/>
  <c r="AJ161" i="90"/>
  <c r="AJ159" i="90"/>
  <c r="AJ160" i="90"/>
  <c r="AK64" i="83"/>
  <c r="AK65" i="83" s="1"/>
  <c r="AK149" i="90"/>
  <c r="AK153" i="90" s="1"/>
  <c r="AK62" i="91"/>
  <c r="AI162" i="90"/>
  <c r="AK77" i="93"/>
  <c r="AN71" i="90"/>
  <c r="AG26" i="91"/>
  <c r="AH10" i="91"/>
  <c r="AH73" i="83"/>
  <c r="AH74" i="83" s="1"/>
  <c r="AH15" i="91" s="1"/>
  <c r="AG64" i="91"/>
  <c r="AG71" i="91" s="1"/>
  <c r="AG12" i="90"/>
  <c r="AL30" i="83"/>
  <c r="AL32" i="83" s="1"/>
  <c r="AL21" i="91" s="1"/>
  <c r="AM28" i="83"/>
  <c r="AM26" i="83"/>
  <c r="AM27" i="83"/>
  <c r="AM25" i="83"/>
  <c r="AM29" i="83"/>
  <c r="AM24" i="83"/>
  <c r="AM62" i="83"/>
  <c r="AI69" i="83"/>
  <c r="AM72" i="83"/>
  <c r="AJ68" i="83"/>
  <c r="AJ155" i="90" s="1"/>
  <c r="AI86" i="91"/>
  <c r="AO71" i="90"/>
  <c r="AF28" i="90"/>
  <c r="AF30" i="90" s="1"/>
  <c r="AE33" i="90"/>
  <c r="AE37" i="90" s="1"/>
  <c r="AJ24" i="91"/>
  <c r="AI29" i="90"/>
  <c r="AI14" i="90"/>
  <c r="AI63" i="91"/>
  <c r="AL17" i="90"/>
  <c r="AL69" i="91" s="1"/>
  <c r="Q74" i="90"/>
  <c r="R74" i="90" s="1"/>
  <c r="S74" i="90" s="1"/>
  <c r="T74" i="90" s="1"/>
  <c r="U74" i="90" s="1"/>
  <c r="V74" i="90" s="1"/>
  <c r="W74" i="90" s="1"/>
  <c r="X74" i="90" s="1"/>
  <c r="Y74" i="90" s="1"/>
  <c r="Z74" i="90" s="1"/>
  <c r="AA74" i="90" s="1"/>
  <c r="AB74" i="90" s="1"/>
  <c r="AC74" i="90" s="1"/>
  <c r="AD74" i="90" s="1"/>
  <c r="AE74" i="90" s="1"/>
  <c r="AF74" i="90" s="1"/>
  <c r="AG74" i="90" s="1"/>
  <c r="AH74" i="90" s="1"/>
  <c r="AI74" i="90" s="1"/>
  <c r="AJ74" i="90" s="1"/>
  <c r="AK74" i="90" s="1"/>
  <c r="AL74" i="90" s="1"/>
  <c r="AM74" i="90" s="1"/>
  <c r="AN74" i="90" s="1"/>
  <c r="AO74" i="90" s="1"/>
  <c r="M76" i="90"/>
  <c r="N76" i="90" s="1"/>
  <c r="O76" i="90" s="1"/>
  <c r="P76" i="90" s="1"/>
  <c r="Q76" i="90" s="1"/>
  <c r="AO69" i="90"/>
  <c r="P75" i="90"/>
  <c r="Q75" i="90" s="1"/>
  <c r="R75" i="90" s="1"/>
  <c r="AN8" i="90"/>
  <c r="AM38" i="90"/>
  <c r="X72" i="90"/>
  <c r="Y72" i="90" s="1"/>
  <c r="Z72" i="90" s="1"/>
  <c r="AA72" i="90" s="1"/>
  <c r="AB72" i="90" s="1"/>
  <c r="AC72" i="90" s="1"/>
  <c r="AD72" i="90" s="1"/>
  <c r="AE72" i="90" s="1"/>
  <c r="AF72" i="90" s="1"/>
  <c r="AG72" i="90" s="1"/>
  <c r="AH72" i="90" s="1"/>
  <c r="AI72" i="90" s="1"/>
  <c r="AJ72" i="90" s="1"/>
  <c r="AK72" i="90" s="1"/>
  <c r="AL72" i="90" s="1"/>
  <c r="AM72" i="90" s="1"/>
  <c r="AN72" i="90" s="1"/>
  <c r="AO72" i="90" s="1"/>
  <c r="AP45" i="90"/>
  <c r="AO64" i="90"/>
  <c r="AO68" i="90"/>
  <c r="K77" i="90"/>
  <c r="L77" i="90" s="1"/>
  <c r="AO65" i="90"/>
  <c r="C79" i="90"/>
  <c r="J78" i="90"/>
  <c r="AO62" i="90"/>
  <c r="AP62" i="90" s="1"/>
  <c r="AQ62" i="90" s="1"/>
  <c r="AR62" i="90" s="1"/>
  <c r="AS62" i="90" s="1"/>
  <c r="AT62" i="90" s="1"/>
  <c r="AU62" i="90" s="1"/>
  <c r="AV62" i="90" s="1"/>
  <c r="AW62" i="90" s="1"/>
  <c r="AX62" i="90" s="1"/>
  <c r="AY62" i="90" s="1"/>
  <c r="AZ62" i="90" s="1"/>
  <c r="BA62" i="90" s="1"/>
  <c r="BB62" i="90" s="1"/>
  <c r="BC62" i="90" s="1"/>
  <c r="BD62" i="90" s="1"/>
  <c r="BE62" i="90" s="1"/>
  <c r="BF62" i="90" s="1"/>
  <c r="BG62" i="90" s="1"/>
  <c r="BH62" i="90" s="1"/>
  <c r="BI62" i="90" s="1"/>
  <c r="BJ62" i="90" s="1"/>
  <c r="BK62" i="90" s="1"/>
  <c r="BL62" i="90" s="1"/>
  <c r="BM62" i="90" s="1"/>
  <c r="BN62" i="90" s="1"/>
  <c r="BO62" i="90" s="1"/>
  <c r="BP62" i="90" s="1"/>
  <c r="BQ62" i="90" s="1"/>
  <c r="BR62" i="90" s="1"/>
  <c r="BS62" i="90" s="1"/>
  <c r="BT62" i="90" s="1"/>
  <c r="BU62" i="90" s="1"/>
  <c r="BV62" i="90" s="1"/>
  <c r="BW62" i="90" s="1"/>
  <c r="BX62" i="90" s="1"/>
  <c r="BY62" i="90" s="1"/>
  <c r="BZ62" i="90" s="1"/>
  <c r="CA62" i="90" s="1"/>
  <c r="CB62" i="90" s="1"/>
  <c r="CC62" i="90" s="1"/>
  <c r="CD62" i="90" s="1"/>
  <c r="CE62" i="90" s="1"/>
  <c r="CF62" i="90" s="1"/>
  <c r="CG62" i="90" s="1"/>
  <c r="CH62" i="90" s="1"/>
  <c r="CI62" i="90" s="1"/>
  <c r="CJ62" i="90" s="1"/>
  <c r="CK62" i="90" s="1"/>
  <c r="CL62" i="90" s="1"/>
  <c r="CM62" i="90" s="1"/>
  <c r="CN62" i="90" s="1"/>
  <c r="CO62" i="90" s="1"/>
  <c r="CP62" i="90" s="1"/>
  <c r="CQ62" i="90" s="1"/>
  <c r="CR62" i="90" s="1"/>
  <c r="CS62" i="90" s="1"/>
  <c r="CT62" i="90" s="1"/>
  <c r="CU62" i="90" s="1"/>
  <c r="CV62" i="90" s="1"/>
  <c r="CW62" i="90" s="1"/>
  <c r="CX62" i="90" s="1"/>
  <c r="CY62" i="90" s="1"/>
  <c r="CZ62" i="90" s="1"/>
  <c r="DA62" i="90" s="1"/>
  <c r="DB62" i="90" s="1"/>
  <c r="DC62" i="90" s="1"/>
  <c r="DD62" i="90" s="1"/>
  <c r="DE62" i="90" s="1"/>
  <c r="DF62" i="90" s="1"/>
  <c r="DG62" i="90" s="1"/>
  <c r="DH62" i="90" s="1"/>
  <c r="DI62" i="90" s="1"/>
  <c r="DJ62" i="90" s="1"/>
  <c r="DK62" i="90" s="1"/>
  <c r="DL62" i="90" s="1"/>
  <c r="DM62" i="90" s="1"/>
  <c r="AO63" i="90"/>
  <c r="S73" i="90"/>
  <c r="T73" i="90" s="1"/>
  <c r="U73" i="90" s="1"/>
  <c r="AO67" i="90"/>
  <c r="AO70" i="90"/>
  <c r="AM87" i="83"/>
  <c r="AQ4" i="91"/>
  <c r="AP6" i="91"/>
  <c r="AP5" i="91"/>
  <c r="AP4" i="90"/>
  <c r="AO6" i="90"/>
  <c r="AO21" i="90" s="1"/>
  <c r="AO5" i="90"/>
  <c r="AM48" i="83"/>
  <c r="AO4" i="83"/>
  <c r="AN6" i="83"/>
  <c r="AN80" i="83" s="1"/>
  <c r="AN5" i="83"/>
  <c r="AL89" i="83" l="1"/>
  <c r="AM82" i="83"/>
  <c r="AK108" i="83"/>
  <c r="AK109" i="83" s="1"/>
  <c r="AK110" i="83" s="1"/>
  <c r="AK18" i="91" s="1"/>
  <c r="AK14" i="90" s="1"/>
  <c r="AL96" i="83"/>
  <c r="AL97" i="83" s="1"/>
  <c r="AJ157" i="90"/>
  <c r="AN47" i="83"/>
  <c r="AN117" i="83"/>
  <c r="AN23" i="91" s="1"/>
  <c r="AN116" i="83"/>
  <c r="AN36" i="83"/>
  <c r="AN37" i="83"/>
  <c r="AN100" i="83"/>
  <c r="AN102" i="83" s="1"/>
  <c r="AN104" i="83" s="1"/>
  <c r="AN39" i="83"/>
  <c r="AN45" i="83" s="1"/>
  <c r="AM44" i="83"/>
  <c r="AM51" i="83" s="1"/>
  <c r="AM55" i="83" s="1"/>
  <c r="AM41" i="83"/>
  <c r="AM22" i="91"/>
  <c r="AM118" i="83"/>
  <c r="AL83" i="83"/>
  <c r="AM107" i="83"/>
  <c r="AL90" i="83"/>
  <c r="AN86" i="83"/>
  <c r="AN93" i="83"/>
  <c r="AN94" i="83"/>
  <c r="AN78" i="83"/>
  <c r="AG66" i="91"/>
  <c r="AK70" i="91"/>
  <c r="AK78" i="91"/>
  <c r="AL64" i="83"/>
  <c r="AL65" i="83" s="1"/>
  <c r="AL149" i="90"/>
  <c r="AL153" i="90" s="1"/>
  <c r="AL62" i="91"/>
  <c r="AK160" i="90"/>
  <c r="AK161" i="90"/>
  <c r="AK159" i="90"/>
  <c r="AL77" i="93"/>
  <c r="AI173" i="90"/>
  <c r="AI174" i="90" s="1"/>
  <c r="AI175" i="90" s="1"/>
  <c r="AI169" i="90"/>
  <c r="AI170" i="90" s="1"/>
  <c r="AJ162" i="90"/>
  <c r="AH12" i="91"/>
  <c r="AH11" i="90" s="1"/>
  <c r="AI10" i="91"/>
  <c r="AI12" i="91" s="1"/>
  <c r="AI11" i="90" s="1"/>
  <c r="AI73" i="83"/>
  <c r="AI74" i="83" s="1"/>
  <c r="AI15" i="91" s="1"/>
  <c r="AH12" i="90"/>
  <c r="AM30" i="83"/>
  <c r="AM32" i="83" s="1"/>
  <c r="AM21" i="91" s="1"/>
  <c r="AN25" i="83"/>
  <c r="AN28" i="83"/>
  <c r="AN24" i="83"/>
  <c r="AN27" i="83"/>
  <c r="AN29" i="83"/>
  <c r="AN26" i="83"/>
  <c r="AN62" i="83"/>
  <c r="AJ69" i="83"/>
  <c r="AN72" i="83"/>
  <c r="AK68" i="83"/>
  <c r="AK155" i="90" s="1"/>
  <c r="AK24" i="91"/>
  <c r="AK25" i="90" s="1"/>
  <c r="AH64" i="91"/>
  <c r="AH71" i="91" s="1"/>
  <c r="AJ25" i="90"/>
  <c r="AJ85" i="91"/>
  <c r="AJ86" i="91" s="1"/>
  <c r="AJ14" i="90"/>
  <c r="AJ63" i="91"/>
  <c r="AG28" i="90"/>
  <c r="AG30" i="90" s="1"/>
  <c r="AF33" i="90"/>
  <c r="AF37" i="90" s="1"/>
  <c r="AK157" i="90"/>
  <c r="V73" i="90"/>
  <c r="W73" i="90" s="1"/>
  <c r="X73" i="90" s="1"/>
  <c r="Y73" i="90" s="1"/>
  <c r="Z73" i="90" s="1"/>
  <c r="AA73" i="90" s="1"/>
  <c r="AB73" i="90" s="1"/>
  <c r="AC73" i="90" s="1"/>
  <c r="AD73" i="90" s="1"/>
  <c r="AE73" i="90" s="1"/>
  <c r="AF73" i="90" s="1"/>
  <c r="AG73" i="90" s="1"/>
  <c r="AH73" i="90" s="1"/>
  <c r="AI73" i="90" s="1"/>
  <c r="AJ73" i="90" s="1"/>
  <c r="AK73" i="90" s="1"/>
  <c r="AL73" i="90" s="1"/>
  <c r="AM73" i="90" s="1"/>
  <c r="AN73" i="90" s="1"/>
  <c r="AO73" i="90" s="1"/>
  <c r="AP73" i="90" s="1"/>
  <c r="AM17" i="90"/>
  <c r="AM69" i="91" s="1"/>
  <c r="AP74" i="90"/>
  <c r="AP70" i="90"/>
  <c r="AP65" i="90"/>
  <c r="AO8" i="90"/>
  <c r="AN38" i="90"/>
  <c r="R76" i="90"/>
  <c r="S76" i="90" s="1"/>
  <c r="T76" i="90" s="1"/>
  <c r="U76" i="90" s="1"/>
  <c r="V76" i="90" s="1"/>
  <c r="W76" i="90" s="1"/>
  <c r="X76" i="90" s="1"/>
  <c r="Y76" i="90" s="1"/>
  <c r="Z76" i="90" s="1"/>
  <c r="AA76" i="90" s="1"/>
  <c r="AB76" i="90" s="1"/>
  <c r="AC76" i="90" s="1"/>
  <c r="AD76" i="90" s="1"/>
  <c r="AE76" i="90" s="1"/>
  <c r="AF76" i="90" s="1"/>
  <c r="AG76" i="90" s="1"/>
  <c r="AH76" i="90" s="1"/>
  <c r="AI76" i="90" s="1"/>
  <c r="AJ76" i="90" s="1"/>
  <c r="AK76" i="90" s="1"/>
  <c r="AL76" i="90" s="1"/>
  <c r="AM76" i="90" s="1"/>
  <c r="AN76" i="90" s="1"/>
  <c r="AO76" i="90" s="1"/>
  <c r="AP76" i="90" s="1"/>
  <c r="AP72" i="90"/>
  <c r="K78" i="90"/>
  <c r="L78" i="90" s="1"/>
  <c r="AP71" i="90"/>
  <c r="AP69" i="90"/>
  <c r="AP67" i="90"/>
  <c r="AP63" i="90"/>
  <c r="AQ63" i="90" s="1"/>
  <c r="AR63" i="90" s="1"/>
  <c r="AS63" i="90" s="1"/>
  <c r="AT63" i="90" s="1"/>
  <c r="AU63" i="90" s="1"/>
  <c r="AV63" i="90" s="1"/>
  <c r="AW63" i="90" s="1"/>
  <c r="AX63" i="90" s="1"/>
  <c r="AY63" i="90" s="1"/>
  <c r="AZ63" i="90" s="1"/>
  <c r="BA63" i="90" s="1"/>
  <c r="BB63" i="90" s="1"/>
  <c r="BC63" i="90" s="1"/>
  <c r="BD63" i="90" s="1"/>
  <c r="BE63" i="90" s="1"/>
  <c r="BF63" i="90" s="1"/>
  <c r="BG63" i="90" s="1"/>
  <c r="BH63" i="90" s="1"/>
  <c r="BI63" i="90" s="1"/>
  <c r="BJ63" i="90" s="1"/>
  <c r="BK63" i="90" s="1"/>
  <c r="BL63" i="90" s="1"/>
  <c r="BM63" i="90" s="1"/>
  <c r="BN63" i="90" s="1"/>
  <c r="BO63" i="90" s="1"/>
  <c r="BP63" i="90" s="1"/>
  <c r="BQ63" i="90" s="1"/>
  <c r="BR63" i="90" s="1"/>
  <c r="BS63" i="90" s="1"/>
  <c r="BT63" i="90" s="1"/>
  <c r="BU63" i="90" s="1"/>
  <c r="BV63" i="90" s="1"/>
  <c r="BW63" i="90" s="1"/>
  <c r="BX63" i="90" s="1"/>
  <c r="BY63" i="90" s="1"/>
  <c r="BZ63" i="90" s="1"/>
  <c r="CA63" i="90" s="1"/>
  <c r="CB63" i="90" s="1"/>
  <c r="CC63" i="90" s="1"/>
  <c r="CD63" i="90" s="1"/>
  <c r="CE63" i="90" s="1"/>
  <c r="CF63" i="90" s="1"/>
  <c r="CG63" i="90" s="1"/>
  <c r="CH63" i="90" s="1"/>
  <c r="CI63" i="90" s="1"/>
  <c r="CJ63" i="90" s="1"/>
  <c r="CK63" i="90" s="1"/>
  <c r="CL63" i="90" s="1"/>
  <c r="CM63" i="90" s="1"/>
  <c r="CN63" i="90" s="1"/>
  <c r="CO63" i="90" s="1"/>
  <c r="CP63" i="90" s="1"/>
  <c r="CQ63" i="90" s="1"/>
  <c r="CR63" i="90" s="1"/>
  <c r="CS63" i="90" s="1"/>
  <c r="CT63" i="90" s="1"/>
  <c r="CU63" i="90" s="1"/>
  <c r="CV63" i="90" s="1"/>
  <c r="CW63" i="90" s="1"/>
  <c r="CX63" i="90" s="1"/>
  <c r="CY63" i="90" s="1"/>
  <c r="CZ63" i="90" s="1"/>
  <c r="DA63" i="90" s="1"/>
  <c r="DB63" i="90" s="1"/>
  <c r="DC63" i="90" s="1"/>
  <c r="DD63" i="90" s="1"/>
  <c r="DE63" i="90" s="1"/>
  <c r="DF63" i="90" s="1"/>
  <c r="DG63" i="90" s="1"/>
  <c r="DH63" i="90" s="1"/>
  <c r="DI63" i="90" s="1"/>
  <c r="DJ63" i="90" s="1"/>
  <c r="DK63" i="90" s="1"/>
  <c r="DL63" i="90" s="1"/>
  <c r="DM63" i="90" s="1"/>
  <c r="AP66" i="90"/>
  <c r="C80" i="90"/>
  <c r="J79" i="90"/>
  <c r="M77" i="90"/>
  <c r="AP64" i="90"/>
  <c r="S75" i="90"/>
  <c r="AP68" i="90"/>
  <c r="AQ45" i="90"/>
  <c r="AN87" i="83"/>
  <c r="AR4" i="91"/>
  <c r="AQ6" i="91"/>
  <c r="AQ5" i="91"/>
  <c r="AQ4" i="90"/>
  <c r="AP6" i="90"/>
  <c r="AP21" i="90" s="1"/>
  <c r="AP5" i="90"/>
  <c r="AN48" i="83"/>
  <c r="AP4" i="83"/>
  <c r="AO5" i="83"/>
  <c r="AO6" i="83"/>
  <c r="AO80" i="83" s="1"/>
  <c r="AK63" i="91" l="1"/>
  <c r="AL108" i="83"/>
  <c r="AL109" i="83" s="1"/>
  <c r="AL110" i="83" s="1"/>
  <c r="AL18" i="91" s="1"/>
  <c r="AL14" i="90" s="1"/>
  <c r="AN82" i="83"/>
  <c r="AM96" i="83"/>
  <c r="AM97" i="83" s="1"/>
  <c r="AN44" i="83"/>
  <c r="AN51" i="83" s="1"/>
  <c r="AN55" i="83" s="1"/>
  <c r="AN41" i="83"/>
  <c r="AM89" i="83"/>
  <c r="AM90" i="83" s="1"/>
  <c r="AN22" i="91"/>
  <c r="AN118" i="83"/>
  <c r="AO47" i="83"/>
  <c r="AO117" i="83"/>
  <c r="AO23" i="91" s="1"/>
  <c r="AO116" i="83"/>
  <c r="AO36" i="83"/>
  <c r="AO37" i="83"/>
  <c r="AO100" i="83"/>
  <c r="AO102" i="83" s="1"/>
  <c r="AO104" i="83" s="1"/>
  <c r="AO39" i="83"/>
  <c r="AO45" i="83" s="1"/>
  <c r="AM83" i="83"/>
  <c r="AN107" i="83"/>
  <c r="AM71" i="93"/>
  <c r="AM77" i="93" s="1"/>
  <c r="AO86" i="83"/>
  <c r="AO93" i="83"/>
  <c r="AO94" i="83"/>
  <c r="AO78" i="83"/>
  <c r="AH66" i="91"/>
  <c r="AL78" i="91"/>
  <c r="AL70" i="91"/>
  <c r="AJ169" i="90"/>
  <c r="AJ170" i="90" s="1"/>
  <c r="AJ173" i="90"/>
  <c r="AJ174" i="90" s="1"/>
  <c r="AJ175" i="90" s="1"/>
  <c r="AH26" i="91"/>
  <c r="AM64" i="83"/>
  <c r="AM65" i="83" s="1"/>
  <c r="AM149" i="90"/>
  <c r="AM153" i="90" s="1"/>
  <c r="AM62" i="91"/>
  <c r="AK162" i="90"/>
  <c r="AL160" i="90"/>
  <c r="AL159" i="90"/>
  <c r="AL161" i="90"/>
  <c r="AI12" i="90"/>
  <c r="AJ10" i="91"/>
  <c r="AJ12" i="91" s="1"/>
  <c r="AJ73" i="83"/>
  <c r="AJ74" i="83" s="1"/>
  <c r="AJ15" i="91" s="1"/>
  <c r="AI26" i="91"/>
  <c r="AL68" i="83"/>
  <c r="AL155" i="90" s="1"/>
  <c r="AN30" i="83"/>
  <c r="AN32" i="83" s="1"/>
  <c r="AN21" i="91" s="1"/>
  <c r="AO25" i="83"/>
  <c r="AO28" i="83"/>
  <c r="AO24" i="83"/>
  <c r="AO26" i="83"/>
  <c r="AO27" i="83"/>
  <c r="AO29" i="83"/>
  <c r="AO62" i="83"/>
  <c r="AO72" i="83"/>
  <c r="AK85" i="91"/>
  <c r="AK86" i="91" s="1"/>
  <c r="AI64" i="91"/>
  <c r="AI71" i="91" s="1"/>
  <c r="AI72" i="91" s="1"/>
  <c r="AI74" i="91" s="1"/>
  <c r="AK69" i="83"/>
  <c r="AL24" i="91"/>
  <c r="AL85" i="91" s="1"/>
  <c r="AK29" i="90"/>
  <c r="AJ29" i="90"/>
  <c r="AH28" i="90"/>
  <c r="AH30" i="90" s="1"/>
  <c r="AG33" i="90"/>
  <c r="AG37" i="90" s="1"/>
  <c r="AQ73" i="90"/>
  <c r="AN17" i="90"/>
  <c r="AN69" i="91" s="1"/>
  <c r="AQ68" i="90"/>
  <c r="AQ64" i="90"/>
  <c r="AR64" i="90" s="1"/>
  <c r="AS64" i="90" s="1"/>
  <c r="AT64" i="90" s="1"/>
  <c r="AU64" i="90" s="1"/>
  <c r="AV64" i="90" s="1"/>
  <c r="AW64" i="90" s="1"/>
  <c r="AX64" i="90" s="1"/>
  <c r="AY64" i="90" s="1"/>
  <c r="AZ64" i="90" s="1"/>
  <c r="BA64" i="90" s="1"/>
  <c r="BB64" i="90" s="1"/>
  <c r="BC64" i="90" s="1"/>
  <c r="BD64" i="90" s="1"/>
  <c r="BE64" i="90" s="1"/>
  <c r="BF64" i="90" s="1"/>
  <c r="BG64" i="90" s="1"/>
  <c r="BH64" i="90" s="1"/>
  <c r="BI64" i="90" s="1"/>
  <c r="BJ64" i="90" s="1"/>
  <c r="BK64" i="90" s="1"/>
  <c r="BL64" i="90" s="1"/>
  <c r="BM64" i="90" s="1"/>
  <c r="BN64" i="90" s="1"/>
  <c r="BO64" i="90" s="1"/>
  <c r="BP64" i="90" s="1"/>
  <c r="BQ64" i="90" s="1"/>
  <c r="BR64" i="90" s="1"/>
  <c r="BS64" i="90" s="1"/>
  <c r="BT64" i="90" s="1"/>
  <c r="BU64" i="90" s="1"/>
  <c r="BV64" i="90" s="1"/>
  <c r="BW64" i="90" s="1"/>
  <c r="BX64" i="90" s="1"/>
  <c r="BY64" i="90" s="1"/>
  <c r="BZ64" i="90" s="1"/>
  <c r="CA64" i="90" s="1"/>
  <c r="CB64" i="90" s="1"/>
  <c r="CC64" i="90" s="1"/>
  <c r="CD64" i="90" s="1"/>
  <c r="CE64" i="90" s="1"/>
  <c r="CF64" i="90" s="1"/>
  <c r="CG64" i="90" s="1"/>
  <c r="CH64" i="90" s="1"/>
  <c r="CI64" i="90" s="1"/>
  <c r="CJ64" i="90" s="1"/>
  <c r="CK64" i="90" s="1"/>
  <c r="CL64" i="90" s="1"/>
  <c r="CM64" i="90" s="1"/>
  <c r="CN64" i="90" s="1"/>
  <c r="CO64" i="90" s="1"/>
  <c r="CP64" i="90" s="1"/>
  <c r="CQ64" i="90" s="1"/>
  <c r="CR64" i="90" s="1"/>
  <c r="CS64" i="90" s="1"/>
  <c r="CT64" i="90" s="1"/>
  <c r="CU64" i="90" s="1"/>
  <c r="CV64" i="90" s="1"/>
  <c r="CW64" i="90" s="1"/>
  <c r="CX64" i="90" s="1"/>
  <c r="CY64" i="90" s="1"/>
  <c r="CZ64" i="90" s="1"/>
  <c r="DA64" i="90" s="1"/>
  <c r="DB64" i="90" s="1"/>
  <c r="DC64" i="90" s="1"/>
  <c r="DD64" i="90" s="1"/>
  <c r="DE64" i="90" s="1"/>
  <c r="DF64" i="90" s="1"/>
  <c r="DG64" i="90" s="1"/>
  <c r="DH64" i="90" s="1"/>
  <c r="DI64" i="90" s="1"/>
  <c r="DJ64" i="90" s="1"/>
  <c r="DK64" i="90" s="1"/>
  <c r="DL64" i="90" s="1"/>
  <c r="DM64" i="90" s="1"/>
  <c r="AQ65" i="90"/>
  <c r="AP8" i="90"/>
  <c r="AO38" i="90"/>
  <c r="T75" i="90"/>
  <c r="U75" i="90" s="1"/>
  <c r="C81" i="90"/>
  <c r="J80" i="90"/>
  <c r="AQ69" i="90"/>
  <c r="AQ72" i="90"/>
  <c r="AR45" i="90"/>
  <c r="AQ76" i="90"/>
  <c r="AQ66" i="90"/>
  <c r="AQ70" i="90"/>
  <c r="N77" i="90"/>
  <c r="M78" i="90"/>
  <c r="AQ74" i="90"/>
  <c r="AQ71" i="90"/>
  <c r="K79" i="90"/>
  <c r="L79" i="90" s="1"/>
  <c r="M79" i="90" s="1"/>
  <c r="AQ67" i="90"/>
  <c r="AO87" i="83"/>
  <c r="AS4" i="91"/>
  <c r="AR6" i="91"/>
  <c r="AR5" i="91"/>
  <c r="AR4" i="90"/>
  <c r="AQ6" i="90"/>
  <c r="AQ21" i="90" s="1"/>
  <c r="AQ5" i="90"/>
  <c r="AQ4" i="83"/>
  <c r="AP6" i="83"/>
  <c r="AP80" i="83" s="1"/>
  <c r="AP5" i="83"/>
  <c r="AO48" i="83"/>
  <c r="AL157" i="90" l="1"/>
  <c r="AL63" i="91"/>
  <c r="AN89" i="83"/>
  <c r="AN90" i="83" s="1"/>
  <c r="AO82" i="83"/>
  <c r="AM108" i="83"/>
  <c r="AM109" i="83" s="1"/>
  <c r="AM110" i="83" s="1"/>
  <c r="AM18" i="91" s="1"/>
  <c r="AO118" i="83"/>
  <c r="AO22" i="91"/>
  <c r="AN83" i="83"/>
  <c r="AP47" i="83"/>
  <c r="AP117" i="83"/>
  <c r="AP23" i="91" s="1"/>
  <c r="AP116" i="83"/>
  <c r="AP36" i="83"/>
  <c r="AP100" i="83"/>
  <c r="AP102" i="83" s="1"/>
  <c r="AP104" i="83" s="1"/>
  <c r="AP39" i="83"/>
  <c r="AP45" i="83" s="1"/>
  <c r="AP37" i="83"/>
  <c r="AO107" i="83"/>
  <c r="AO44" i="83"/>
  <c r="AO51" i="83" s="1"/>
  <c r="AO55" i="83" s="1"/>
  <c r="AO71" i="93" s="1"/>
  <c r="AO41" i="83"/>
  <c r="AN96" i="83"/>
  <c r="AN97" i="83" s="1"/>
  <c r="AN71" i="93"/>
  <c r="AN77" i="93" s="1"/>
  <c r="AP86" i="83"/>
  <c r="AP93" i="83"/>
  <c r="AP94" i="83"/>
  <c r="AP78" i="83"/>
  <c r="AI66" i="91"/>
  <c r="AM78" i="91"/>
  <c r="AM70" i="91"/>
  <c r="AK173" i="90"/>
  <c r="AK174" i="90" s="1"/>
  <c r="AK175" i="90" s="1"/>
  <c r="AK169" i="90"/>
  <c r="AK170" i="90" s="1"/>
  <c r="AL162" i="90"/>
  <c r="AM160" i="90"/>
  <c r="AM161" i="90"/>
  <c r="AM159" i="90"/>
  <c r="AN64" i="83"/>
  <c r="AN65" i="83" s="1"/>
  <c r="AN149" i="90"/>
  <c r="AN153" i="90" s="1"/>
  <c r="AN62" i="91"/>
  <c r="AK10" i="91"/>
  <c r="AK73" i="83"/>
  <c r="AK74" i="83" s="1"/>
  <c r="AK15" i="91" s="1"/>
  <c r="AJ12" i="90"/>
  <c r="AJ26" i="91"/>
  <c r="AJ11" i="90"/>
  <c r="AO30" i="83"/>
  <c r="AO32" i="83" s="1"/>
  <c r="AO21" i="91" s="1"/>
  <c r="AP27" i="83"/>
  <c r="AP25" i="83"/>
  <c r="AP26" i="83"/>
  <c r="AP28" i="83"/>
  <c r="AP24" i="83"/>
  <c r="AP29" i="83"/>
  <c r="AP62" i="83"/>
  <c r="AM68" i="83"/>
  <c r="AM155" i="90" s="1"/>
  <c r="AP72" i="83"/>
  <c r="AL69" i="83"/>
  <c r="AL25" i="90"/>
  <c r="AL29" i="90" s="1"/>
  <c r="AM24" i="91"/>
  <c r="AM25" i="90" s="1"/>
  <c r="AR73" i="90"/>
  <c r="AI28" i="90"/>
  <c r="AI30" i="90" s="1"/>
  <c r="AH33" i="90"/>
  <c r="AH37" i="90" s="1"/>
  <c r="AL86" i="91"/>
  <c r="AR74" i="90"/>
  <c r="AO17" i="90"/>
  <c r="AO69" i="91" s="1"/>
  <c r="AR68" i="90"/>
  <c r="AR70" i="90"/>
  <c r="AR72" i="90"/>
  <c r="V75" i="90"/>
  <c r="W75" i="90" s="1"/>
  <c r="AQ8" i="90"/>
  <c r="AP38" i="90"/>
  <c r="C82" i="90"/>
  <c r="J81" i="90"/>
  <c r="AR67" i="90"/>
  <c r="N79" i="90"/>
  <c r="AR71" i="90"/>
  <c r="O77" i="90"/>
  <c r="P77" i="90" s="1"/>
  <c r="AR76" i="90"/>
  <c r="N78" i="90"/>
  <c r="AR69" i="90"/>
  <c r="AR65" i="90"/>
  <c r="AS65" i="90" s="1"/>
  <c r="AT65" i="90" s="1"/>
  <c r="AU65" i="90" s="1"/>
  <c r="AV65" i="90" s="1"/>
  <c r="AW65" i="90" s="1"/>
  <c r="AX65" i="90" s="1"/>
  <c r="AY65" i="90" s="1"/>
  <c r="AZ65" i="90" s="1"/>
  <c r="BA65" i="90" s="1"/>
  <c r="BB65" i="90" s="1"/>
  <c r="BC65" i="90" s="1"/>
  <c r="BD65" i="90" s="1"/>
  <c r="BE65" i="90" s="1"/>
  <c r="BF65" i="90" s="1"/>
  <c r="BG65" i="90" s="1"/>
  <c r="BH65" i="90" s="1"/>
  <c r="BI65" i="90" s="1"/>
  <c r="BJ65" i="90" s="1"/>
  <c r="BK65" i="90" s="1"/>
  <c r="BL65" i="90" s="1"/>
  <c r="BM65" i="90" s="1"/>
  <c r="BN65" i="90" s="1"/>
  <c r="BO65" i="90" s="1"/>
  <c r="BP65" i="90" s="1"/>
  <c r="BQ65" i="90" s="1"/>
  <c r="BR65" i="90" s="1"/>
  <c r="BS65" i="90" s="1"/>
  <c r="BT65" i="90" s="1"/>
  <c r="BU65" i="90" s="1"/>
  <c r="BV65" i="90" s="1"/>
  <c r="BW65" i="90" s="1"/>
  <c r="BX65" i="90" s="1"/>
  <c r="BY65" i="90" s="1"/>
  <c r="BZ65" i="90" s="1"/>
  <c r="CA65" i="90" s="1"/>
  <c r="CB65" i="90" s="1"/>
  <c r="CC65" i="90" s="1"/>
  <c r="CD65" i="90" s="1"/>
  <c r="CE65" i="90" s="1"/>
  <c r="CF65" i="90" s="1"/>
  <c r="CG65" i="90" s="1"/>
  <c r="CH65" i="90" s="1"/>
  <c r="CI65" i="90" s="1"/>
  <c r="CJ65" i="90" s="1"/>
  <c r="CK65" i="90" s="1"/>
  <c r="CL65" i="90" s="1"/>
  <c r="CM65" i="90" s="1"/>
  <c r="CN65" i="90" s="1"/>
  <c r="CO65" i="90" s="1"/>
  <c r="CP65" i="90" s="1"/>
  <c r="CQ65" i="90" s="1"/>
  <c r="CR65" i="90" s="1"/>
  <c r="CS65" i="90" s="1"/>
  <c r="CT65" i="90" s="1"/>
  <c r="CU65" i="90" s="1"/>
  <c r="CV65" i="90" s="1"/>
  <c r="CW65" i="90" s="1"/>
  <c r="CX65" i="90" s="1"/>
  <c r="CY65" i="90" s="1"/>
  <c r="CZ65" i="90" s="1"/>
  <c r="DA65" i="90" s="1"/>
  <c r="DB65" i="90" s="1"/>
  <c r="DC65" i="90" s="1"/>
  <c r="DD65" i="90" s="1"/>
  <c r="DE65" i="90" s="1"/>
  <c r="DF65" i="90" s="1"/>
  <c r="DG65" i="90" s="1"/>
  <c r="DH65" i="90" s="1"/>
  <c r="DI65" i="90" s="1"/>
  <c r="DJ65" i="90" s="1"/>
  <c r="DK65" i="90" s="1"/>
  <c r="DL65" i="90" s="1"/>
  <c r="DM65" i="90" s="1"/>
  <c r="AR66" i="90"/>
  <c r="AS45" i="90"/>
  <c r="K80" i="90"/>
  <c r="L80" i="90"/>
  <c r="M80" i="90" s="1"/>
  <c r="AP87" i="83"/>
  <c r="AS6" i="91"/>
  <c r="AS5" i="91"/>
  <c r="AT4" i="91"/>
  <c r="AR6" i="90"/>
  <c r="AR21" i="90" s="1"/>
  <c r="AR5" i="90"/>
  <c r="AS4" i="90"/>
  <c r="AP48" i="83"/>
  <c r="AR4" i="83"/>
  <c r="AQ6" i="83"/>
  <c r="AQ80" i="83" s="1"/>
  <c r="AQ5" i="83"/>
  <c r="AM157" i="90" l="1"/>
  <c r="AO89" i="83"/>
  <c r="AP82" i="83"/>
  <c r="AP83" i="83" s="1"/>
  <c r="AN108" i="83"/>
  <c r="AN109" i="83" s="1"/>
  <c r="AN110" i="83" s="1"/>
  <c r="AN18" i="91" s="1"/>
  <c r="AO83" i="83"/>
  <c r="AP44" i="83"/>
  <c r="AP51" i="83" s="1"/>
  <c r="AP55" i="83" s="1"/>
  <c r="AP41" i="83"/>
  <c r="AQ47" i="83"/>
  <c r="AQ116" i="83"/>
  <c r="AQ36" i="83"/>
  <c r="AQ100" i="83"/>
  <c r="AQ102" i="83" s="1"/>
  <c r="AQ104" i="83" s="1"/>
  <c r="AQ37" i="83"/>
  <c r="AQ39" i="83"/>
  <c r="AQ45" i="83" s="1"/>
  <c r="AQ117" i="83"/>
  <c r="AQ23" i="91" s="1"/>
  <c r="AP118" i="83"/>
  <c r="AP22" i="91"/>
  <c r="AO96" i="83"/>
  <c r="AO97" i="83" s="1"/>
  <c r="AI79" i="91"/>
  <c r="AI80" i="91" s="1"/>
  <c r="AI82" i="91" s="1"/>
  <c r="AP107" i="83"/>
  <c r="AO90" i="83"/>
  <c r="AQ86" i="83"/>
  <c r="AQ93" i="83"/>
  <c r="AQ94" i="83"/>
  <c r="AQ78" i="83"/>
  <c r="AN78" i="91"/>
  <c r="AN70" i="91"/>
  <c r="AM162" i="90"/>
  <c r="AN161" i="90"/>
  <c r="AN160" i="90"/>
  <c r="AN159" i="90"/>
  <c r="AO64" i="83"/>
  <c r="AO65" i="83" s="1"/>
  <c r="AO149" i="90"/>
  <c r="AO153" i="90" s="1"/>
  <c r="AO62" i="91"/>
  <c r="AO77" i="93"/>
  <c r="AL173" i="90"/>
  <c r="AL174" i="90" s="1"/>
  <c r="AL175" i="90" s="1"/>
  <c r="AL169" i="90"/>
  <c r="AL170" i="90" s="1"/>
  <c r="AS73" i="90"/>
  <c r="AJ64" i="91"/>
  <c r="AJ71" i="91" s="1"/>
  <c r="AJ72" i="91" s="1"/>
  <c r="AJ74" i="91" s="1"/>
  <c r="AK12" i="91"/>
  <c r="AK11" i="90" s="1"/>
  <c r="AK12" i="90"/>
  <c r="AL10" i="91"/>
  <c r="AL73" i="83"/>
  <c r="AL74" i="83" s="1"/>
  <c r="AL15" i="91" s="1"/>
  <c r="AP30" i="83"/>
  <c r="AP32" i="83" s="1"/>
  <c r="AP21" i="91" s="1"/>
  <c r="AQ24" i="83"/>
  <c r="AQ27" i="83"/>
  <c r="AQ25" i="83"/>
  <c r="AQ26" i="83"/>
  <c r="AQ29" i="83"/>
  <c r="AQ28" i="83"/>
  <c r="AQ62" i="83"/>
  <c r="AN68" i="83"/>
  <c r="AN155" i="90" s="1"/>
  <c r="AQ72" i="83"/>
  <c r="AK64" i="91"/>
  <c r="AK71" i="91" s="1"/>
  <c r="AK72" i="91" s="1"/>
  <c r="AK74" i="91" s="1"/>
  <c r="AM69" i="83"/>
  <c r="AM85" i="91"/>
  <c r="AM86" i="91" s="1"/>
  <c r="AN24" i="91"/>
  <c r="AN25" i="90" s="1"/>
  <c r="AM14" i="90"/>
  <c r="AM63" i="91"/>
  <c r="AJ28" i="90"/>
  <c r="AJ30" i="90" s="1"/>
  <c r="AI33" i="90"/>
  <c r="AI37" i="90" s="1"/>
  <c r="AM29" i="90"/>
  <c r="AP17" i="90"/>
  <c r="AP69" i="91" s="1"/>
  <c r="AS68" i="90"/>
  <c r="AS71" i="90"/>
  <c r="X75" i="90"/>
  <c r="Y75" i="90" s="1"/>
  <c r="Z75" i="90" s="1"/>
  <c r="AA75" i="90" s="1"/>
  <c r="AB75" i="90" s="1"/>
  <c r="AC75" i="90" s="1"/>
  <c r="AD75" i="90" s="1"/>
  <c r="AE75" i="90" s="1"/>
  <c r="AF75" i="90" s="1"/>
  <c r="AG75" i="90" s="1"/>
  <c r="AH75" i="90" s="1"/>
  <c r="AI75" i="90" s="1"/>
  <c r="AJ75" i="90" s="1"/>
  <c r="AK75" i="90" s="1"/>
  <c r="AL75" i="90" s="1"/>
  <c r="AM75" i="90" s="1"/>
  <c r="AN75" i="90" s="1"/>
  <c r="AO75" i="90" s="1"/>
  <c r="AP75" i="90" s="1"/>
  <c r="AQ75" i="90" s="1"/>
  <c r="AR75" i="90" s="1"/>
  <c r="AR8" i="90"/>
  <c r="AQ38" i="90"/>
  <c r="N80" i="90"/>
  <c r="O80" i="90" s="1"/>
  <c r="Q77" i="90"/>
  <c r="R77" i="90" s="1"/>
  <c r="AS76" i="90"/>
  <c r="AS66" i="90"/>
  <c r="AT66" i="90" s="1"/>
  <c r="AU66" i="90" s="1"/>
  <c r="AV66" i="90" s="1"/>
  <c r="AW66" i="90" s="1"/>
  <c r="AX66" i="90" s="1"/>
  <c r="AY66" i="90" s="1"/>
  <c r="AZ66" i="90" s="1"/>
  <c r="BA66" i="90" s="1"/>
  <c r="BB66" i="90" s="1"/>
  <c r="BC66" i="90" s="1"/>
  <c r="BD66" i="90" s="1"/>
  <c r="BE66" i="90" s="1"/>
  <c r="BF66" i="90" s="1"/>
  <c r="BG66" i="90" s="1"/>
  <c r="BH66" i="90" s="1"/>
  <c r="BI66" i="90" s="1"/>
  <c r="BJ66" i="90" s="1"/>
  <c r="BK66" i="90" s="1"/>
  <c r="BL66" i="90" s="1"/>
  <c r="BM66" i="90" s="1"/>
  <c r="BN66" i="90" s="1"/>
  <c r="BO66" i="90" s="1"/>
  <c r="BP66" i="90" s="1"/>
  <c r="BQ66" i="90" s="1"/>
  <c r="BR66" i="90" s="1"/>
  <c r="BS66" i="90" s="1"/>
  <c r="BT66" i="90" s="1"/>
  <c r="BU66" i="90" s="1"/>
  <c r="BV66" i="90" s="1"/>
  <c r="BW66" i="90" s="1"/>
  <c r="BX66" i="90" s="1"/>
  <c r="BY66" i="90" s="1"/>
  <c r="BZ66" i="90" s="1"/>
  <c r="CA66" i="90" s="1"/>
  <c r="CB66" i="90" s="1"/>
  <c r="CC66" i="90" s="1"/>
  <c r="CD66" i="90" s="1"/>
  <c r="CE66" i="90" s="1"/>
  <c r="CF66" i="90" s="1"/>
  <c r="CG66" i="90" s="1"/>
  <c r="CH66" i="90" s="1"/>
  <c r="CI66" i="90" s="1"/>
  <c r="CJ66" i="90" s="1"/>
  <c r="CK66" i="90" s="1"/>
  <c r="CL66" i="90" s="1"/>
  <c r="CM66" i="90" s="1"/>
  <c r="CN66" i="90" s="1"/>
  <c r="CO66" i="90" s="1"/>
  <c r="CP66" i="90" s="1"/>
  <c r="CQ66" i="90" s="1"/>
  <c r="CR66" i="90" s="1"/>
  <c r="CS66" i="90" s="1"/>
  <c r="CT66" i="90" s="1"/>
  <c r="CU66" i="90" s="1"/>
  <c r="CV66" i="90" s="1"/>
  <c r="CW66" i="90" s="1"/>
  <c r="CX66" i="90" s="1"/>
  <c r="CY66" i="90" s="1"/>
  <c r="CZ66" i="90" s="1"/>
  <c r="DA66" i="90" s="1"/>
  <c r="DB66" i="90" s="1"/>
  <c r="DC66" i="90" s="1"/>
  <c r="DD66" i="90" s="1"/>
  <c r="DE66" i="90" s="1"/>
  <c r="DF66" i="90" s="1"/>
  <c r="DG66" i="90" s="1"/>
  <c r="DH66" i="90" s="1"/>
  <c r="DI66" i="90" s="1"/>
  <c r="DJ66" i="90" s="1"/>
  <c r="DK66" i="90" s="1"/>
  <c r="DL66" i="90" s="1"/>
  <c r="DM66" i="90" s="1"/>
  <c r="AS67" i="90"/>
  <c r="AT45" i="90"/>
  <c r="K81" i="90"/>
  <c r="L81" i="90" s="1"/>
  <c r="M81" i="90" s="1"/>
  <c r="N81" i="90" s="1"/>
  <c r="AS74" i="90"/>
  <c r="AS69" i="90"/>
  <c r="O79" i="90"/>
  <c r="P79" i="90" s="1"/>
  <c r="C83" i="90"/>
  <c r="J82" i="90"/>
  <c r="AS70" i="90"/>
  <c r="O78" i="90"/>
  <c r="AS72" i="90"/>
  <c r="AQ87" i="83"/>
  <c r="AU4" i="91"/>
  <c r="AT6" i="91"/>
  <c r="AT5" i="91"/>
  <c r="AT4" i="90"/>
  <c r="AS6" i="90"/>
  <c r="AS21" i="90" s="1"/>
  <c r="AS5" i="90"/>
  <c r="AQ48" i="83"/>
  <c r="AS4" i="83"/>
  <c r="AR5" i="83"/>
  <c r="AR6" i="83"/>
  <c r="AR80" i="83" s="1"/>
  <c r="AN157" i="90" l="1"/>
  <c r="AP89" i="83"/>
  <c r="AP90" i="83" s="1"/>
  <c r="AQ82" i="83"/>
  <c r="AO108" i="83"/>
  <c r="AO109" i="83" s="1"/>
  <c r="AO110" i="83" s="1"/>
  <c r="AO18" i="91" s="1"/>
  <c r="AO63" i="91" s="1"/>
  <c r="AQ44" i="83"/>
  <c r="AQ51" i="83" s="1"/>
  <c r="AQ55" i="83" s="1"/>
  <c r="AQ71" i="93" s="1"/>
  <c r="AQ41" i="83"/>
  <c r="AR47" i="83"/>
  <c r="AR116" i="83"/>
  <c r="AR36" i="83"/>
  <c r="AR37" i="83"/>
  <c r="AR100" i="83"/>
  <c r="AR102" i="83" s="1"/>
  <c r="AR104" i="83" s="1"/>
  <c r="AR39" i="83"/>
  <c r="AR45" i="83" s="1"/>
  <c r="AR117" i="83"/>
  <c r="AR23" i="91" s="1"/>
  <c r="AQ22" i="91"/>
  <c r="AQ118" i="83"/>
  <c r="AP96" i="83"/>
  <c r="AP97" i="83" s="1"/>
  <c r="AP71" i="93"/>
  <c r="AP77" i="93" s="1"/>
  <c r="AQ107" i="83"/>
  <c r="AR86" i="83"/>
  <c r="AR93" i="83"/>
  <c r="AR94" i="83"/>
  <c r="AR78" i="83"/>
  <c r="AK66" i="91"/>
  <c r="AJ66" i="91"/>
  <c r="AO78" i="91"/>
  <c r="AO70" i="91"/>
  <c r="AL12" i="90"/>
  <c r="AN162" i="90"/>
  <c r="AN169" i="90" s="1"/>
  <c r="AN170" i="90" s="1"/>
  <c r="AO160" i="90"/>
  <c r="AO161" i="90"/>
  <c r="AO159" i="90"/>
  <c r="AP64" i="83"/>
  <c r="AP65" i="83" s="1"/>
  <c r="AP62" i="91"/>
  <c r="AP149" i="90"/>
  <c r="AP153" i="90" s="1"/>
  <c r="AM169" i="90"/>
  <c r="AM170" i="90" s="1"/>
  <c r="AM173" i="90"/>
  <c r="AM174" i="90" s="1"/>
  <c r="AM175" i="90" s="1"/>
  <c r="AK26" i="91"/>
  <c r="AT73" i="90"/>
  <c r="AL12" i="91"/>
  <c r="AL11" i="90" s="1"/>
  <c r="AM10" i="91"/>
  <c r="AM12" i="91" s="1"/>
  <c r="AM73" i="83"/>
  <c r="AM74" i="83" s="1"/>
  <c r="AM15" i="91" s="1"/>
  <c r="AQ30" i="83"/>
  <c r="AQ32" i="83" s="1"/>
  <c r="AQ21" i="91" s="1"/>
  <c r="AR29" i="83"/>
  <c r="AR24" i="83"/>
  <c r="AR27" i="83"/>
  <c r="AR25" i="83"/>
  <c r="AR28" i="83"/>
  <c r="AR26" i="83"/>
  <c r="AR62" i="83"/>
  <c r="AR72" i="83"/>
  <c r="AO68" i="83"/>
  <c r="AO155" i="90" s="1"/>
  <c r="AN69" i="83"/>
  <c r="AL64" i="91"/>
  <c r="AL71" i="91" s="1"/>
  <c r="AL72" i="91" s="1"/>
  <c r="AL74" i="91" s="1"/>
  <c r="AN85" i="91"/>
  <c r="AN86" i="91" s="1"/>
  <c r="AO24" i="91"/>
  <c r="AO85" i="91" s="1"/>
  <c r="AK28" i="90"/>
  <c r="AK30" i="90" s="1"/>
  <c r="AJ33" i="90"/>
  <c r="AJ37" i="90" s="1"/>
  <c r="AN29" i="90"/>
  <c r="AN14" i="90"/>
  <c r="AN63" i="91"/>
  <c r="AQ17" i="90"/>
  <c r="AQ69" i="91" s="1"/>
  <c r="P80" i="90"/>
  <c r="Q80" i="90" s="1"/>
  <c r="O81" i="90"/>
  <c r="P81" i="90" s="1"/>
  <c r="AS75" i="90"/>
  <c r="AT75" i="90" s="1"/>
  <c r="AS8" i="90"/>
  <c r="AR38" i="90"/>
  <c r="AU45" i="90"/>
  <c r="AT70" i="90"/>
  <c r="K82" i="90"/>
  <c r="L82" i="90" s="1"/>
  <c r="S77" i="90"/>
  <c r="AT72" i="90"/>
  <c r="AT69" i="90"/>
  <c r="P78" i="90"/>
  <c r="C84" i="90"/>
  <c r="J83" i="90"/>
  <c r="Q79" i="90"/>
  <c r="R79" i="90" s="1"/>
  <c r="S79" i="90" s="1"/>
  <c r="AT74" i="90"/>
  <c r="AT71" i="90"/>
  <c r="AT67" i="90"/>
  <c r="AU67" i="90" s="1"/>
  <c r="AV67" i="90" s="1"/>
  <c r="AW67" i="90" s="1"/>
  <c r="AX67" i="90" s="1"/>
  <c r="AY67" i="90" s="1"/>
  <c r="AZ67" i="90" s="1"/>
  <c r="BA67" i="90" s="1"/>
  <c r="BB67" i="90" s="1"/>
  <c r="BC67" i="90" s="1"/>
  <c r="BD67" i="90" s="1"/>
  <c r="BE67" i="90" s="1"/>
  <c r="BF67" i="90" s="1"/>
  <c r="BG67" i="90" s="1"/>
  <c r="BH67" i="90" s="1"/>
  <c r="BI67" i="90" s="1"/>
  <c r="BJ67" i="90" s="1"/>
  <c r="BK67" i="90" s="1"/>
  <c r="BL67" i="90" s="1"/>
  <c r="BM67" i="90" s="1"/>
  <c r="BN67" i="90" s="1"/>
  <c r="BO67" i="90" s="1"/>
  <c r="BP67" i="90" s="1"/>
  <c r="BQ67" i="90" s="1"/>
  <c r="BR67" i="90" s="1"/>
  <c r="BS67" i="90" s="1"/>
  <c r="BT67" i="90" s="1"/>
  <c r="BU67" i="90" s="1"/>
  <c r="BV67" i="90" s="1"/>
  <c r="BW67" i="90" s="1"/>
  <c r="BX67" i="90" s="1"/>
  <c r="BY67" i="90" s="1"/>
  <c r="BZ67" i="90" s="1"/>
  <c r="CA67" i="90" s="1"/>
  <c r="CB67" i="90" s="1"/>
  <c r="CC67" i="90" s="1"/>
  <c r="CD67" i="90" s="1"/>
  <c r="CE67" i="90" s="1"/>
  <c r="CF67" i="90" s="1"/>
  <c r="CG67" i="90" s="1"/>
  <c r="CH67" i="90" s="1"/>
  <c r="CI67" i="90" s="1"/>
  <c r="CJ67" i="90" s="1"/>
  <c r="CK67" i="90" s="1"/>
  <c r="CL67" i="90" s="1"/>
  <c r="CM67" i="90" s="1"/>
  <c r="CN67" i="90" s="1"/>
  <c r="CO67" i="90" s="1"/>
  <c r="CP67" i="90" s="1"/>
  <c r="CQ67" i="90" s="1"/>
  <c r="CR67" i="90" s="1"/>
  <c r="CS67" i="90" s="1"/>
  <c r="CT67" i="90" s="1"/>
  <c r="CU67" i="90" s="1"/>
  <c r="CV67" i="90" s="1"/>
  <c r="CW67" i="90" s="1"/>
  <c r="CX67" i="90" s="1"/>
  <c r="CY67" i="90" s="1"/>
  <c r="CZ67" i="90" s="1"/>
  <c r="DA67" i="90" s="1"/>
  <c r="DB67" i="90" s="1"/>
  <c r="DC67" i="90" s="1"/>
  <c r="DD67" i="90" s="1"/>
  <c r="DE67" i="90" s="1"/>
  <c r="DF67" i="90" s="1"/>
  <c r="DG67" i="90" s="1"/>
  <c r="DH67" i="90" s="1"/>
  <c r="DI67" i="90" s="1"/>
  <c r="DJ67" i="90" s="1"/>
  <c r="DK67" i="90" s="1"/>
  <c r="DL67" i="90" s="1"/>
  <c r="DM67" i="90" s="1"/>
  <c r="AT68" i="90"/>
  <c r="AT76" i="90"/>
  <c r="AR87" i="83"/>
  <c r="AV4" i="91"/>
  <c r="AU6" i="91"/>
  <c r="AU5" i="91"/>
  <c r="AU4" i="90"/>
  <c r="AT6" i="90"/>
  <c r="AT21" i="90" s="1"/>
  <c r="AT5" i="90"/>
  <c r="AT4" i="83"/>
  <c r="AS5" i="83"/>
  <c r="AS6" i="83"/>
  <c r="AS80" i="83" s="1"/>
  <c r="AR48" i="83"/>
  <c r="AO157" i="90" l="1"/>
  <c r="AO14" i="90"/>
  <c r="AR82" i="83"/>
  <c r="AQ89" i="83"/>
  <c r="AQ90" i="83" s="1"/>
  <c r="AP108" i="83"/>
  <c r="AP109" i="83" s="1"/>
  <c r="AP110" i="83" s="1"/>
  <c r="AP18" i="91" s="1"/>
  <c r="AP63" i="91" s="1"/>
  <c r="AQ83" i="83"/>
  <c r="AQ96" i="83"/>
  <c r="AQ97" i="83" s="1"/>
  <c r="AR44" i="83"/>
  <c r="AR51" i="83" s="1"/>
  <c r="AR55" i="83" s="1"/>
  <c r="AR71" i="93" s="1"/>
  <c r="AR41" i="83"/>
  <c r="AR22" i="91"/>
  <c r="AR118" i="83"/>
  <c r="AS47" i="83"/>
  <c r="AS116" i="83"/>
  <c r="AS37" i="83"/>
  <c r="AS100" i="83"/>
  <c r="AS102" i="83" s="1"/>
  <c r="AS104" i="83" s="1"/>
  <c r="AS117" i="83"/>
  <c r="AS23" i="91" s="1"/>
  <c r="AS36" i="83"/>
  <c r="AS39" i="83"/>
  <c r="AS45" i="83" s="1"/>
  <c r="AR107" i="83"/>
  <c r="AK79" i="91"/>
  <c r="AK80" i="91" s="1"/>
  <c r="AK82" i="91" s="1"/>
  <c r="AJ79" i="91"/>
  <c r="AJ80" i="91" s="1"/>
  <c r="AJ82" i="91" s="1"/>
  <c r="AS86" i="83"/>
  <c r="AS93" i="83"/>
  <c r="AS94" i="83"/>
  <c r="AS78" i="83"/>
  <c r="AL66" i="91"/>
  <c r="AP78" i="91"/>
  <c r="AP70" i="91"/>
  <c r="AN173" i="90"/>
  <c r="AN174" i="90" s="1"/>
  <c r="AN175" i="90" s="1"/>
  <c r="AO162" i="90"/>
  <c r="AO173" i="90" s="1"/>
  <c r="AO174" i="90" s="1"/>
  <c r="AO175" i="90" s="1"/>
  <c r="AQ64" i="83"/>
  <c r="AQ65" i="83" s="1"/>
  <c r="AQ62" i="91"/>
  <c r="AQ149" i="90"/>
  <c r="AQ153" i="90" s="1"/>
  <c r="AP160" i="90"/>
  <c r="AP161" i="90"/>
  <c r="AP159" i="90"/>
  <c r="AQ77" i="93"/>
  <c r="AL26" i="91"/>
  <c r="AU73" i="90"/>
  <c r="AN10" i="91"/>
  <c r="AN12" i="91" s="1"/>
  <c r="AN73" i="83"/>
  <c r="AN74" i="83" s="1"/>
  <c r="AN15" i="91" s="1"/>
  <c r="AM12" i="90"/>
  <c r="AR30" i="83"/>
  <c r="AR32" i="83" s="1"/>
  <c r="AR21" i="91" s="1"/>
  <c r="AS26" i="83"/>
  <c r="AS29" i="83"/>
  <c r="AS24" i="83"/>
  <c r="AS25" i="83"/>
  <c r="AS27" i="83"/>
  <c r="AS28" i="83"/>
  <c r="AS62" i="83"/>
  <c r="AM64" i="91"/>
  <c r="AM71" i="91" s="1"/>
  <c r="AM72" i="91" s="1"/>
  <c r="AM74" i="91" s="1"/>
  <c r="AM11" i="90"/>
  <c r="AM26" i="91"/>
  <c r="AS72" i="83"/>
  <c r="AP68" i="83"/>
  <c r="AP155" i="90" s="1"/>
  <c r="AO69" i="83"/>
  <c r="AO25" i="90"/>
  <c r="AO29" i="90" s="1"/>
  <c r="AP24" i="91"/>
  <c r="AP85" i="91" s="1"/>
  <c r="AL28" i="90"/>
  <c r="AL30" i="90" s="1"/>
  <c r="AK33" i="90"/>
  <c r="AK37" i="90" s="1"/>
  <c r="AO86" i="91"/>
  <c r="AQ24" i="91"/>
  <c r="AR17" i="90"/>
  <c r="AR69" i="91" s="1"/>
  <c r="R80" i="90"/>
  <c r="S80" i="90" s="1"/>
  <c r="AU69" i="90"/>
  <c r="Q81" i="90"/>
  <c r="R81" i="90" s="1"/>
  <c r="AU76" i="90"/>
  <c r="AT8" i="90"/>
  <c r="AS38" i="90"/>
  <c r="AU68" i="90"/>
  <c r="AV68" i="90" s="1"/>
  <c r="AW68" i="90" s="1"/>
  <c r="AX68" i="90" s="1"/>
  <c r="AY68" i="90" s="1"/>
  <c r="AZ68" i="90" s="1"/>
  <c r="BA68" i="90" s="1"/>
  <c r="BB68" i="90" s="1"/>
  <c r="BC68" i="90" s="1"/>
  <c r="BD68" i="90" s="1"/>
  <c r="BE68" i="90" s="1"/>
  <c r="BF68" i="90" s="1"/>
  <c r="BG68" i="90" s="1"/>
  <c r="BH68" i="90" s="1"/>
  <c r="BI68" i="90" s="1"/>
  <c r="BJ68" i="90" s="1"/>
  <c r="BK68" i="90" s="1"/>
  <c r="BL68" i="90" s="1"/>
  <c r="BM68" i="90" s="1"/>
  <c r="BN68" i="90" s="1"/>
  <c r="BO68" i="90" s="1"/>
  <c r="BP68" i="90" s="1"/>
  <c r="BQ68" i="90" s="1"/>
  <c r="BR68" i="90" s="1"/>
  <c r="BS68" i="90" s="1"/>
  <c r="BT68" i="90" s="1"/>
  <c r="BU68" i="90" s="1"/>
  <c r="BV68" i="90" s="1"/>
  <c r="BW68" i="90" s="1"/>
  <c r="BX68" i="90" s="1"/>
  <c r="BY68" i="90" s="1"/>
  <c r="BZ68" i="90" s="1"/>
  <c r="CA68" i="90" s="1"/>
  <c r="CB68" i="90" s="1"/>
  <c r="CC68" i="90" s="1"/>
  <c r="CD68" i="90" s="1"/>
  <c r="CE68" i="90" s="1"/>
  <c r="CF68" i="90" s="1"/>
  <c r="CG68" i="90" s="1"/>
  <c r="CH68" i="90" s="1"/>
  <c r="CI68" i="90" s="1"/>
  <c r="CJ68" i="90" s="1"/>
  <c r="CK68" i="90" s="1"/>
  <c r="CL68" i="90" s="1"/>
  <c r="CM68" i="90" s="1"/>
  <c r="CN68" i="90" s="1"/>
  <c r="CO68" i="90" s="1"/>
  <c r="CP68" i="90" s="1"/>
  <c r="CQ68" i="90" s="1"/>
  <c r="CR68" i="90" s="1"/>
  <c r="CS68" i="90" s="1"/>
  <c r="CT68" i="90" s="1"/>
  <c r="CU68" i="90" s="1"/>
  <c r="CV68" i="90" s="1"/>
  <c r="CW68" i="90" s="1"/>
  <c r="CX68" i="90" s="1"/>
  <c r="CY68" i="90" s="1"/>
  <c r="CZ68" i="90" s="1"/>
  <c r="DA68" i="90" s="1"/>
  <c r="DB68" i="90" s="1"/>
  <c r="DC68" i="90" s="1"/>
  <c r="DD68" i="90" s="1"/>
  <c r="DE68" i="90" s="1"/>
  <c r="DF68" i="90" s="1"/>
  <c r="DG68" i="90" s="1"/>
  <c r="DH68" i="90" s="1"/>
  <c r="DI68" i="90" s="1"/>
  <c r="DJ68" i="90" s="1"/>
  <c r="DK68" i="90" s="1"/>
  <c r="DL68" i="90" s="1"/>
  <c r="DM68" i="90" s="1"/>
  <c r="AU74" i="90"/>
  <c r="AU72" i="90"/>
  <c r="AU75" i="90"/>
  <c r="T79" i="90"/>
  <c r="U79" i="90" s="1"/>
  <c r="V79" i="90" s="1"/>
  <c r="AU70" i="90"/>
  <c r="AV45" i="90"/>
  <c r="K83" i="90"/>
  <c r="L83" i="90" s="1"/>
  <c r="Q78" i="90"/>
  <c r="M82" i="90"/>
  <c r="N82" i="90" s="1"/>
  <c r="AU71" i="90"/>
  <c r="C85" i="90"/>
  <c r="J84" i="90"/>
  <c r="T77" i="90"/>
  <c r="U77" i="90" s="1"/>
  <c r="V77" i="90" s="1"/>
  <c r="W77" i="90" s="1"/>
  <c r="X77" i="90" s="1"/>
  <c r="Y77" i="90" s="1"/>
  <c r="Z77" i="90" s="1"/>
  <c r="AA77" i="90" s="1"/>
  <c r="AB77" i="90" s="1"/>
  <c r="AC77" i="90" s="1"/>
  <c r="AD77" i="90" s="1"/>
  <c r="AE77" i="90" s="1"/>
  <c r="AF77" i="90" s="1"/>
  <c r="AG77" i="90" s="1"/>
  <c r="AH77" i="90" s="1"/>
  <c r="AI77" i="90" s="1"/>
  <c r="AJ77" i="90" s="1"/>
  <c r="AK77" i="90" s="1"/>
  <c r="AL77" i="90" s="1"/>
  <c r="AM77" i="90" s="1"/>
  <c r="AN77" i="90" s="1"/>
  <c r="AO77" i="90" s="1"/>
  <c r="AP77" i="90" s="1"/>
  <c r="AQ77" i="90" s="1"/>
  <c r="AR77" i="90" s="1"/>
  <c r="AS77" i="90" s="1"/>
  <c r="AT77" i="90" s="1"/>
  <c r="AU77" i="90" s="1"/>
  <c r="AS87" i="83"/>
  <c r="AW4" i="91"/>
  <c r="AV6" i="91"/>
  <c r="AV5" i="91"/>
  <c r="AV4" i="90"/>
  <c r="AU6" i="90"/>
  <c r="AU21" i="90" s="1"/>
  <c r="AU5" i="90"/>
  <c r="AS48" i="83"/>
  <c r="AU4" i="83"/>
  <c r="AT6" i="83"/>
  <c r="AT80" i="83" s="1"/>
  <c r="AT5" i="83"/>
  <c r="AP14" i="90" l="1"/>
  <c r="AR89" i="83"/>
  <c r="AR90" i="83" s="1"/>
  <c r="AQ108" i="83"/>
  <c r="AQ109" i="83" s="1"/>
  <c r="AQ110" i="83" s="1"/>
  <c r="AQ18" i="91" s="1"/>
  <c r="AP157" i="90"/>
  <c r="AS82" i="83"/>
  <c r="AR83" i="83"/>
  <c r="AS44" i="83"/>
  <c r="AS51" i="83" s="1"/>
  <c r="AS55" i="83" s="1"/>
  <c r="AS41" i="83"/>
  <c r="AS22" i="91"/>
  <c r="AS118" i="83"/>
  <c r="AT47" i="83"/>
  <c r="AT37" i="83"/>
  <c r="AT100" i="83"/>
  <c r="AT102" i="83" s="1"/>
  <c r="AT104" i="83" s="1"/>
  <c r="AT39" i="83"/>
  <c r="AT45" i="83" s="1"/>
  <c r="AT117" i="83"/>
  <c r="AT23" i="91" s="1"/>
  <c r="AT36" i="83"/>
  <c r="AT116" i="83"/>
  <c r="AR96" i="83"/>
  <c r="AR97" i="83" s="1"/>
  <c r="AS107" i="83"/>
  <c r="AL79" i="91"/>
  <c r="AL80" i="91" s="1"/>
  <c r="AL82" i="91" s="1"/>
  <c r="AT86" i="83"/>
  <c r="AT93" i="83"/>
  <c r="AT94" i="83"/>
  <c r="AT78" i="83"/>
  <c r="AM66" i="91"/>
  <c r="AQ78" i="91"/>
  <c r="AQ70" i="91"/>
  <c r="AO169" i="90"/>
  <c r="AO170" i="90" s="1"/>
  <c r="AP162" i="90"/>
  <c r="AP173" i="90" s="1"/>
  <c r="AP174" i="90" s="1"/>
  <c r="AP175" i="90" s="1"/>
  <c r="AR64" i="83"/>
  <c r="AR65" i="83" s="1"/>
  <c r="AR62" i="91"/>
  <c r="AR149" i="90"/>
  <c r="AR153" i="90" s="1"/>
  <c r="AR77" i="93"/>
  <c r="AQ160" i="90"/>
  <c r="AQ159" i="90"/>
  <c r="AQ161" i="90"/>
  <c r="AV73" i="90"/>
  <c r="S81" i="90"/>
  <c r="T81" i="90" s="1"/>
  <c r="U81" i="90" s="1"/>
  <c r="V81" i="90" s="1"/>
  <c r="W81" i="90" s="1"/>
  <c r="X81" i="90" s="1"/>
  <c r="Y81" i="90" s="1"/>
  <c r="Z81" i="90" s="1"/>
  <c r="AA81" i="90" s="1"/>
  <c r="AB81" i="90" s="1"/>
  <c r="AC81" i="90" s="1"/>
  <c r="AD81" i="90" s="1"/>
  <c r="AE81" i="90" s="1"/>
  <c r="AF81" i="90" s="1"/>
  <c r="AG81" i="90" s="1"/>
  <c r="AH81" i="90" s="1"/>
  <c r="AI81" i="90" s="1"/>
  <c r="AJ81" i="90" s="1"/>
  <c r="AK81" i="90" s="1"/>
  <c r="AL81" i="90" s="1"/>
  <c r="AM81" i="90" s="1"/>
  <c r="AN81" i="90" s="1"/>
  <c r="AO81" i="90" s="1"/>
  <c r="AP81" i="90" s="1"/>
  <c r="AQ81" i="90" s="1"/>
  <c r="AR81" i="90" s="1"/>
  <c r="AS81" i="90" s="1"/>
  <c r="AT81" i="90" s="1"/>
  <c r="AU81" i="90" s="1"/>
  <c r="AV81" i="90" s="1"/>
  <c r="AO10" i="91"/>
  <c r="AO12" i="91" s="1"/>
  <c r="AO73" i="83"/>
  <c r="AO74" i="83" s="1"/>
  <c r="AO15" i="91" s="1"/>
  <c r="AN12" i="90"/>
  <c r="AS30" i="83"/>
  <c r="AS32" i="83" s="1"/>
  <c r="AS21" i="91" s="1"/>
  <c r="AT26" i="83"/>
  <c r="AT29" i="83"/>
  <c r="AT24" i="83"/>
  <c r="AT25" i="83"/>
  <c r="AT27" i="83"/>
  <c r="AT28" i="83"/>
  <c r="AT62" i="83"/>
  <c r="AP69" i="83"/>
  <c r="AN11" i="90"/>
  <c r="AN26" i="91"/>
  <c r="AT72" i="83"/>
  <c r="AQ68" i="83"/>
  <c r="AQ155" i="90" s="1"/>
  <c r="AP25" i="90"/>
  <c r="AP29" i="90" s="1"/>
  <c r="AP86" i="91"/>
  <c r="AM28" i="90"/>
  <c r="AM30" i="90" s="1"/>
  <c r="AL33" i="90"/>
  <c r="AL37" i="90" s="1"/>
  <c r="AR24" i="91"/>
  <c r="AQ25" i="90"/>
  <c r="AQ85" i="91"/>
  <c r="AS17" i="90"/>
  <c r="AS69" i="91" s="1"/>
  <c r="M83" i="90"/>
  <c r="N83" i="90" s="1"/>
  <c r="AV77" i="90"/>
  <c r="AU8" i="90"/>
  <c r="AT38" i="90"/>
  <c r="AV69" i="90"/>
  <c r="AW69" i="90" s="1"/>
  <c r="AX69" i="90" s="1"/>
  <c r="AY69" i="90" s="1"/>
  <c r="AZ69" i="90" s="1"/>
  <c r="BA69" i="90" s="1"/>
  <c r="BB69" i="90" s="1"/>
  <c r="BC69" i="90" s="1"/>
  <c r="BD69" i="90" s="1"/>
  <c r="BE69" i="90" s="1"/>
  <c r="BF69" i="90" s="1"/>
  <c r="BG69" i="90" s="1"/>
  <c r="BH69" i="90" s="1"/>
  <c r="BI69" i="90" s="1"/>
  <c r="BJ69" i="90" s="1"/>
  <c r="BK69" i="90" s="1"/>
  <c r="BL69" i="90" s="1"/>
  <c r="BM69" i="90" s="1"/>
  <c r="BN69" i="90" s="1"/>
  <c r="BO69" i="90" s="1"/>
  <c r="BP69" i="90" s="1"/>
  <c r="BQ69" i="90" s="1"/>
  <c r="BR69" i="90" s="1"/>
  <c r="BS69" i="90" s="1"/>
  <c r="BT69" i="90" s="1"/>
  <c r="BU69" i="90" s="1"/>
  <c r="BV69" i="90" s="1"/>
  <c r="BW69" i="90" s="1"/>
  <c r="BX69" i="90" s="1"/>
  <c r="BY69" i="90" s="1"/>
  <c r="BZ69" i="90" s="1"/>
  <c r="CA69" i="90" s="1"/>
  <c r="CB69" i="90" s="1"/>
  <c r="CC69" i="90" s="1"/>
  <c r="CD69" i="90" s="1"/>
  <c r="CE69" i="90" s="1"/>
  <c r="CF69" i="90" s="1"/>
  <c r="CG69" i="90" s="1"/>
  <c r="CH69" i="90" s="1"/>
  <c r="CI69" i="90" s="1"/>
  <c r="CJ69" i="90" s="1"/>
  <c r="CK69" i="90" s="1"/>
  <c r="CL69" i="90" s="1"/>
  <c r="CM69" i="90" s="1"/>
  <c r="CN69" i="90" s="1"/>
  <c r="CO69" i="90" s="1"/>
  <c r="CP69" i="90" s="1"/>
  <c r="CQ69" i="90" s="1"/>
  <c r="CR69" i="90" s="1"/>
  <c r="CS69" i="90" s="1"/>
  <c r="CT69" i="90" s="1"/>
  <c r="CU69" i="90" s="1"/>
  <c r="CV69" i="90" s="1"/>
  <c r="CW69" i="90" s="1"/>
  <c r="CX69" i="90" s="1"/>
  <c r="CY69" i="90" s="1"/>
  <c r="CZ69" i="90" s="1"/>
  <c r="DA69" i="90" s="1"/>
  <c r="DB69" i="90" s="1"/>
  <c r="DC69" i="90" s="1"/>
  <c r="DD69" i="90" s="1"/>
  <c r="DE69" i="90" s="1"/>
  <c r="DF69" i="90" s="1"/>
  <c r="DG69" i="90" s="1"/>
  <c r="DH69" i="90" s="1"/>
  <c r="DI69" i="90" s="1"/>
  <c r="DJ69" i="90" s="1"/>
  <c r="DK69" i="90" s="1"/>
  <c r="DL69" i="90" s="1"/>
  <c r="DM69" i="90" s="1"/>
  <c r="AW45" i="90"/>
  <c r="K84" i="90"/>
  <c r="L84" i="90" s="1"/>
  <c r="M84" i="90" s="1"/>
  <c r="AV71" i="90"/>
  <c r="R78" i="90"/>
  <c r="AV70" i="90"/>
  <c r="AV75" i="90"/>
  <c r="AV76" i="90"/>
  <c r="O82" i="90"/>
  <c r="AV72" i="90"/>
  <c r="W79" i="90"/>
  <c r="T80" i="90"/>
  <c r="C86" i="90"/>
  <c r="J85" i="90"/>
  <c r="AV74" i="90"/>
  <c r="AW74" i="90" s="1"/>
  <c r="AT87" i="83"/>
  <c r="AW6" i="91"/>
  <c r="AW5" i="91"/>
  <c r="AX4" i="91"/>
  <c r="AV6" i="90"/>
  <c r="AV21" i="90" s="1"/>
  <c r="AV5" i="90"/>
  <c r="AW4" i="90"/>
  <c r="AW73" i="90" s="1"/>
  <c r="AT48" i="83"/>
  <c r="AV4" i="83"/>
  <c r="AU6" i="83"/>
  <c r="AU80" i="83" s="1"/>
  <c r="AU5" i="83"/>
  <c r="AQ157" i="90" l="1"/>
  <c r="AS89" i="83"/>
  <c r="AS90" i="83" s="1"/>
  <c r="AT82" i="83"/>
  <c r="AS83" i="83"/>
  <c r="AR108" i="83"/>
  <c r="AR109" i="83" s="1"/>
  <c r="AR110" i="83" s="1"/>
  <c r="AR18" i="91" s="1"/>
  <c r="AR14" i="90" s="1"/>
  <c r="AS96" i="83"/>
  <c r="AS97" i="83" s="1"/>
  <c r="AT22" i="91"/>
  <c r="AT118" i="83"/>
  <c r="AU47" i="83"/>
  <c r="AU37" i="83"/>
  <c r="AU100" i="83"/>
  <c r="AU102" i="83" s="1"/>
  <c r="AU104" i="83" s="1"/>
  <c r="AU39" i="83"/>
  <c r="AU45" i="83" s="1"/>
  <c r="AU117" i="83"/>
  <c r="AU23" i="91" s="1"/>
  <c r="AU116" i="83"/>
  <c r="AU36" i="83"/>
  <c r="AT107" i="83"/>
  <c r="AT44" i="83"/>
  <c r="AT51" i="83" s="1"/>
  <c r="AT55" i="83" s="1"/>
  <c r="AT41" i="83"/>
  <c r="AS71" i="93"/>
  <c r="AS77" i="93" s="1"/>
  <c r="AM79" i="91"/>
  <c r="AM80" i="91" s="1"/>
  <c r="AM82" i="91" s="1"/>
  <c r="AU86" i="83"/>
  <c r="AU93" i="83"/>
  <c r="AU94" i="83"/>
  <c r="AU78" i="83"/>
  <c r="AP169" i="90"/>
  <c r="AP170" i="90" s="1"/>
  <c r="AR70" i="91"/>
  <c r="AR78" i="91"/>
  <c r="AS64" i="83"/>
  <c r="AS65" i="83" s="1"/>
  <c r="AS62" i="91"/>
  <c r="AS149" i="90"/>
  <c r="AS153" i="90" s="1"/>
  <c r="AQ162" i="90"/>
  <c r="AR160" i="90"/>
  <c r="AR161" i="90"/>
  <c r="AR159" i="90"/>
  <c r="AN64" i="91"/>
  <c r="AN71" i="91" s="1"/>
  <c r="AN72" i="91" s="1"/>
  <c r="AN74" i="91" s="1"/>
  <c r="AO26" i="91"/>
  <c r="AP10" i="91"/>
  <c r="AP12" i="91" s="1"/>
  <c r="AP73" i="83"/>
  <c r="AP74" i="83" s="1"/>
  <c r="AP15" i="91" s="1"/>
  <c r="AO12" i="90"/>
  <c r="AT30" i="83"/>
  <c r="AT32" i="83" s="1"/>
  <c r="AT21" i="91" s="1"/>
  <c r="AU28" i="83"/>
  <c r="AU26" i="83"/>
  <c r="AU27" i="83"/>
  <c r="AU24" i="83"/>
  <c r="AU29" i="83"/>
  <c r="AU25" i="83"/>
  <c r="AU62" i="83"/>
  <c r="AR68" i="83"/>
  <c r="AR155" i="90" s="1"/>
  <c r="AU72" i="83"/>
  <c r="AQ69" i="83"/>
  <c r="AO11" i="90"/>
  <c r="AO64" i="91"/>
  <c r="AO71" i="91" s="1"/>
  <c r="AO72" i="91" s="1"/>
  <c r="AO74" i="91" s="1"/>
  <c r="AQ86" i="91"/>
  <c r="O83" i="90"/>
  <c r="P83" i="90" s="1"/>
  <c r="Q83" i="90" s="1"/>
  <c r="R83" i="90" s="1"/>
  <c r="AR25" i="90"/>
  <c r="AR85" i="91"/>
  <c r="AQ14" i="90"/>
  <c r="AQ63" i="91"/>
  <c r="AN28" i="90"/>
  <c r="AN30" i="90" s="1"/>
  <c r="AM33" i="90"/>
  <c r="AM37" i="90" s="1"/>
  <c r="AQ29" i="90"/>
  <c r="AS24" i="91"/>
  <c r="AT17" i="90"/>
  <c r="AT69" i="91" s="1"/>
  <c r="AW76" i="90"/>
  <c r="AW72" i="90"/>
  <c r="AW81" i="90"/>
  <c r="AW75" i="90"/>
  <c r="AV8" i="90"/>
  <c r="AU38" i="90"/>
  <c r="K85" i="90"/>
  <c r="X79" i="90"/>
  <c r="Y79" i="90" s="1"/>
  <c r="Z79" i="90" s="1"/>
  <c r="N84" i="90"/>
  <c r="S83" i="90"/>
  <c r="AX45" i="90"/>
  <c r="C87" i="90"/>
  <c r="J86" i="90"/>
  <c r="AW70" i="90"/>
  <c r="AX70" i="90" s="1"/>
  <c r="AY70" i="90" s="1"/>
  <c r="AZ70" i="90" s="1"/>
  <c r="BA70" i="90" s="1"/>
  <c r="BB70" i="90" s="1"/>
  <c r="BC70" i="90" s="1"/>
  <c r="BD70" i="90" s="1"/>
  <c r="BE70" i="90" s="1"/>
  <c r="BF70" i="90" s="1"/>
  <c r="BG70" i="90" s="1"/>
  <c r="BH70" i="90" s="1"/>
  <c r="BI70" i="90" s="1"/>
  <c r="BJ70" i="90" s="1"/>
  <c r="BK70" i="90" s="1"/>
  <c r="BL70" i="90" s="1"/>
  <c r="BM70" i="90" s="1"/>
  <c r="BN70" i="90" s="1"/>
  <c r="BO70" i="90" s="1"/>
  <c r="BP70" i="90" s="1"/>
  <c r="BQ70" i="90" s="1"/>
  <c r="BR70" i="90" s="1"/>
  <c r="BS70" i="90" s="1"/>
  <c r="BT70" i="90" s="1"/>
  <c r="BU70" i="90" s="1"/>
  <c r="BV70" i="90" s="1"/>
  <c r="BW70" i="90" s="1"/>
  <c r="BX70" i="90" s="1"/>
  <c r="BY70" i="90" s="1"/>
  <c r="BZ70" i="90" s="1"/>
  <c r="CA70" i="90" s="1"/>
  <c r="CB70" i="90" s="1"/>
  <c r="CC70" i="90" s="1"/>
  <c r="CD70" i="90" s="1"/>
  <c r="CE70" i="90" s="1"/>
  <c r="CF70" i="90" s="1"/>
  <c r="CG70" i="90" s="1"/>
  <c r="CH70" i="90" s="1"/>
  <c r="CI70" i="90" s="1"/>
  <c r="CJ70" i="90" s="1"/>
  <c r="CK70" i="90" s="1"/>
  <c r="CL70" i="90" s="1"/>
  <c r="CM70" i="90" s="1"/>
  <c r="CN70" i="90" s="1"/>
  <c r="CO70" i="90" s="1"/>
  <c r="CP70" i="90" s="1"/>
  <c r="CQ70" i="90" s="1"/>
  <c r="CR70" i="90" s="1"/>
  <c r="CS70" i="90" s="1"/>
  <c r="CT70" i="90" s="1"/>
  <c r="CU70" i="90" s="1"/>
  <c r="CV70" i="90" s="1"/>
  <c r="CW70" i="90" s="1"/>
  <c r="CX70" i="90" s="1"/>
  <c r="CY70" i="90" s="1"/>
  <c r="CZ70" i="90" s="1"/>
  <c r="DA70" i="90" s="1"/>
  <c r="DB70" i="90" s="1"/>
  <c r="DC70" i="90" s="1"/>
  <c r="DD70" i="90" s="1"/>
  <c r="DE70" i="90" s="1"/>
  <c r="DF70" i="90" s="1"/>
  <c r="DG70" i="90" s="1"/>
  <c r="DH70" i="90" s="1"/>
  <c r="DI70" i="90" s="1"/>
  <c r="DJ70" i="90" s="1"/>
  <c r="DK70" i="90" s="1"/>
  <c r="DL70" i="90" s="1"/>
  <c r="DM70" i="90" s="1"/>
  <c r="U80" i="90"/>
  <c r="AW77" i="90"/>
  <c r="S78" i="90"/>
  <c r="T78" i="90" s="1"/>
  <c r="U78" i="90" s="1"/>
  <c r="V78" i="90" s="1"/>
  <c r="W78" i="90" s="1"/>
  <c r="X78" i="90" s="1"/>
  <c r="Y78" i="90" s="1"/>
  <c r="P82" i="90"/>
  <c r="AW71" i="90"/>
  <c r="AU87" i="83"/>
  <c r="AY4" i="91"/>
  <c r="AX6" i="91"/>
  <c r="AX5" i="91"/>
  <c r="AX4" i="90"/>
  <c r="AX73" i="90" s="1"/>
  <c r="AW6" i="90"/>
  <c r="AW21" i="90" s="1"/>
  <c r="AW5" i="90"/>
  <c r="AU48" i="83"/>
  <c r="AW4" i="83"/>
  <c r="AV6" i="83"/>
  <c r="AV80" i="83" s="1"/>
  <c r="AV5" i="83"/>
  <c r="AU82" i="83" l="1"/>
  <c r="AS108" i="83"/>
  <c r="AS109" i="83" s="1"/>
  <c r="AS110" i="83" s="1"/>
  <c r="AS18" i="91" s="1"/>
  <c r="AS63" i="91" s="1"/>
  <c r="AU22" i="91"/>
  <c r="AU118" i="83"/>
  <c r="AV47" i="83"/>
  <c r="AV100" i="83"/>
  <c r="AV102" i="83" s="1"/>
  <c r="AV104" i="83" s="1"/>
  <c r="AV117" i="83"/>
  <c r="AV23" i="91" s="1"/>
  <c r="AV39" i="83"/>
  <c r="AV45" i="83" s="1"/>
  <c r="AV116" i="83"/>
  <c r="AV36" i="83"/>
  <c r="AV37" i="83"/>
  <c r="AU44" i="83"/>
  <c r="AU51" i="83" s="1"/>
  <c r="AU55" i="83" s="1"/>
  <c r="AU41" i="83"/>
  <c r="AT96" i="83"/>
  <c r="AT97" i="83" s="1"/>
  <c r="AT89" i="83"/>
  <c r="AT90" i="83" s="1"/>
  <c r="AT83" i="83"/>
  <c r="AR157" i="90"/>
  <c r="AR63" i="91"/>
  <c r="AT71" i="93"/>
  <c r="AT77" i="93" s="1"/>
  <c r="AU107" i="83"/>
  <c r="AV86" i="83"/>
  <c r="AV93" i="83"/>
  <c r="AV94" i="83"/>
  <c r="AV78" i="83"/>
  <c r="AN66" i="91"/>
  <c r="AO66" i="91"/>
  <c r="AS78" i="91"/>
  <c r="AS70" i="91"/>
  <c r="AR162" i="90"/>
  <c r="AR173" i="90" s="1"/>
  <c r="AR174" i="90" s="1"/>
  <c r="AR175" i="90" s="1"/>
  <c r="AT64" i="83"/>
  <c r="AT65" i="83" s="1"/>
  <c r="AT62" i="91"/>
  <c r="AT149" i="90"/>
  <c r="AT153" i="90" s="1"/>
  <c r="AQ169" i="90"/>
  <c r="AQ170" i="90" s="1"/>
  <c r="AQ173" i="90"/>
  <c r="AQ174" i="90" s="1"/>
  <c r="AQ175" i="90" s="1"/>
  <c r="AS160" i="90"/>
  <c r="AS161" i="90"/>
  <c r="AS159" i="90"/>
  <c r="AP26" i="91"/>
  <c r="AP11" i="90"/>
  <c r="AQ10" i="91"/>
  <c r="AQ64" i="91" s="1"/>
  <c r="AQ71" i="91" s="1"/>
  <c r="AQ72" i="91" s="1"/>
  <c r="AQ74" i="91" s="1"/>
  <c r="AQ73" i="83"/>
  <c r="AQ74" i="83" s="1"/>
  <c r="AQ15" i="91" s="1"/>
  <c r="AP12" i="90"/>
  <c r="AP64" i="91"/>
  <c r="AP71" i="91" s="1"/>
  <c r="AP72" i="91" s="1"/>
  <c r="AP74" i="91" s="1"/>
  <c r="AV25" i="83"/>
  <c r="AV28" i="83"/>
  <c r="AV24" i="83"/>
  <c r="AV27" i="83"/>
  <c r="AV29" i="83"/>
  <c r="AV26" i="83"/>
  <c r="AU30" i="83"/>
  <c r="AU32" i="83" s="1"/>
  <c r="AU21" i="91" s="1"/>
  <c r="AV62" i="83"/>
  <c r="AV72" i="83"/>
  <c r="AS68" i="83"/>
  <c r="AS155" i="90" s="1"/>
  <c r="AR69" i="83"/>
  <c r="AR86" i="91"/>
  <c r="AS25" i="90"/>
  <c r="AS85" i="91"/>
  <c r="AO28" i="90"/>
  <c r="AO30" i="90" s="1"/>
  <c r="AN33" i="90"/>
  <c r="AN37" i="90" s="1"/>
  <c r="AR29" i="90"/>
  <c r="AU17" i="90"/>
  <c r="AU69" i="91" s="1"/>
  <c r="Z78" i="90"/>
  <c r="AA78" i="90" s="1"/>
  <c r="AB78" i="90" s="1"/>
  <c r="AC78" i="90" s="1"/>
  <c r="AD78" i="90" s="1"/>
  <c r="AE78" i="90" s="1"/>
  <c r="AF78" i="90" s="1"/>
  <c r="AG78" i="90" s="1"/>
  <c r="AH78" i="90" s="1"/>
  <c r="AI78" i="90" s="1"/>
  <c r="AJ78" i="90" s="1"/>
  <c r="AK78" i="90" s="1"/>
  <c r="AL78" i="90" s="1"/>
  <c r="AM78" i="90" s="1"/>
  <c r="AN78" i="90" s="1"/>
  <c r="AO78" i="90" s="1"/>
  <c r="AP78" i="90" s="1"/>
  <c r="AQ78" i="90" s="1"/>
  <c r="AR78" i="90" s="1"/>
  <c r="AS78" i="90" s="1"/>
  <c r="AT78" i="90" s="1"/>
  <c r="AU78" i="90" s="1"/>
  <c r="AV78" i="90" s="1"/>
  <c r="AW78" i="90" s="1"/>
  <c r="AX78" i="90" s="1"/>
  <c r="AA79" i="90"/>
  <c r="AB79" i="90" s="1"/>
  <c r="AC79" i="90" s="1"/>
  <c r="AD79" i="90" s="1"/>
  <c r="AE79" i="90" s="1"/>
  <c r="AF79" i="90" s="1"/>
  <c r="AG79" i="90" s="1"/>
  <c r="AH79" i="90" s="1"/>
  <c r="AI79" i="90" s="1"/>
  <c r="AJ79" i="90" s="1"/>
  <c r="AK79" i="90" s="1"/>
  <c r="AL79" i="90" s="1"/>
  <c r="AM79" i="90" s="1"/>
  <c r="AN79" i="90" s="1"/>
  <c r="AO79" i="90" s="1"/>
  <c r="AP79" i="90" s="1"/>
  <c r="AQ79" i="90" s="1"/>
  <c r="AR79" i="90" s="1"/>
  <c r="AS79" i="90" s="1"/>
  <c r="AT79" i="90" s="1"/>
  <c r="AU79" i="90" s="1"/>
  <c r="AV79" i="90" s="1"/>
  <c r="AW79" i="90" s="1"/>
  <c r="AW8" i="90"/>
  <c r="AV38" i="90"/>
  <c r="V80" i="90"/>
  <c r="W80" i="90" s="1"/>
  <c r="X80" i="90" s="1"/>
  <c r="Y80" i="90" s="1"/>
  <c r="Z80" i="90" s="1"/>
  <c r="AA80" i="90" s="1"/>
  <c r="AB80" i="90" s="1"/>
  <c r="AC80" i="90" s="1"/>
  <c r="AD80" i="90" s="1"/>
  <c r="AE80" i="90" s="1"/>
  <c r="AF80" i="90" s="1"/>
  <c r="AG80" i="90" s="1"/>
  <c r="AH80" i="90" s="1"/>
  <c r="AI80" i="90" s="1"/>
  <c r="AJ80" i="90" s="1"/>
  <c r="AK80" i="90" s="1"/>
  <c r="AL80" i="90" s="1"/>
  <c r="AM80" i="90" s="1"/>
  <c r="AN80" i="90" s="1"/>
  <c r="AO80" i="90" s="1"/>
  <c r="AP80" i="90" s="1"/>
  <c r="AQ80" i="90" s="1"/>
  <c r="AR80" i="90" s="1"/>
  <c r="AS80" i="90" s="1"/>
  <c r="AT80" i="90" s="1"/>
  <c r="AU80" i="90" s="1"/>
  <c r="AV80" i="90" s="1"/>
  <c r="AW80" i="90" s="1"/>
  <c r="AX80" i="90" s="1"/>
  <c r="T83" i="90"/>
  <c r="U83" i="90" s="1"/>
  <c r="L85" i="90"/>
  <c r="AX81" i="90"/>
  <c r="AX71" i="90"/>
  <c r="AY71" i="90" s="1"/>
  <c r="AZ71" i="90" s="1"/>
  <c r="BA71" i="90" s="1"/>
  <c r="BB71" i="90" s="1"/>
  <c r="BC71" i="90" s="1"/>
  <c r="BD71" i="90" s="1"/>
  <c r="BE71" i="90" s="1"/>
  <c r="BF71" i="90" s="1"/>
  <c r="BG71" i="90" s="1"/>
  <c r="BH71" i="90" s="1"/>
  <c r="BI71" i="90" s="1"/>
  <c r="BJ71" i="90" s="1"/>
  <c r="BK71" i="90" s="1"/>
  <c r="BL71" i="90" s="1"/>
  <c r="BM71" i="90" s="1"/>
  <c r="BN71" i="90" s="1"/>
  <c r="BO71" i="90" s="1"/>
  <c r="BP71" i="90" s="1"/>
  <c r="BQ71" i="90" s="1"/>
  <c r="BR71" i="90" s="1"/>
  <c r="BS71" i="90" s="1"/>
  <c r="BT71" i="90" s="1"/>
  <c r="BU71" i="90" s="1"/>
  <c r="BV71" i="90" s="1"/>
  <c r="BW71" i="90" s="1"/>
  <c r="BX71" i="90" s="1"/>
  <c r="BY71" i="90" s="1"/>
  <c r="BZ71" i="90" s="1"/>
  <c r="CA71" i="90" s="1"/>
  <c r="CB71" i="90" s="1"/>
  <c r="CC71" i="90" s="1"/>
  <c r="CD71" i="90" s="1"/>
  <c r="CE71" i="90" s="1"/>
  <c r="CF71" i="90" s="1"/>
  <c r="CG71" i="90" s="1"/>
  <c r="CH71" i="90" s="1"/>
  <c r="CI71" i="90" s="1"/>
  <c r="CJ71" i="90" s="1"/>
  <c r="CK71" i="90" s="1"/>
  <c r="CL71" i="90" s="1"/>
  <c r="CM71" i="90" s="1"/>
  <c r="CN71" i="90" s="1"/>
  <c r="CO71" i="90" s="1"/>
  <c r="CP71" i="90" s="1"/>
  <c r="CQ71" i="90" s="1"/>
  <c r="CR71" i="90" s="1"/>
  <c r="CS71" i="90" s="1"/>
  <c r="CT71" i="90" s="1"/>
  <c r="CU71" i="90" s="1"/>
  <c r="CV71" i="90" s="1"/>
  <c r="CW71" i="90" s="1"/>
  <c r="CX71" i="90" s="1"/>
  <c r="CY71" i="90" s="1"/>
  <c r="CZ71" i="90" s="1"/>
  <c r="DA71" i="90" s="1"/>
  <c r="DB71" i="90" s="1"/>
  <c r="DC71" i="90" s="1"/>
  <c r="DD71" i="90" s="1"/>
  <c r="DE71" i="90" s="1"/>
  <c r="DF71" i="90" s="1"/>
  <c r="DG71" i="90" s="1"/>
  <c r="DH71" i="90" s="1"/>
  <c r="DI71" i="90" s="1"/>
  <c r="DJ71" i="90" s="1"/>
  <c r="DK71" i="90" s="1"/>
  <c r="DL71" i="90" s="1"/>
  <c r="DM71" i="90" s="1"/>
  <c r="AX72" i="90"/>
  <c r="AY45" i="90"/>
  <c r="AX76" i="90"/>
  <c r="Q82" i="90"/>
  <c r="R82" i="90" s="1"/>
  <c r="AX77" i="90"/>
  <c r="K86" i="90"/>
  <c r="AX75" i="90"/>
  <c r="O84" i="90"/>
  <c r="C88" i="90"/>
  <c r="J87" i="90"/>
  <c r="AX74" i="90"/>
  <c r="AY74" i="90" s="1"/>
  <c r="AV87" i="83"/>
  <c r="AZ4" i="91"/>
  <c r="AY6" i="91"/>
  <c r="AY5" i="91"/>
  <c r="AY4" i="90"/>
  <c r="AY73" i="90" s="1"/>
  <c r="AX6" i="90"/>
  <c r="AX21" i="90" s="1"/>
  <c r="AX5" i="90"/>
  <c r="AV48" i="83"/>
  <c r="AX4" i="83"/>
  <c r="AW5" i="83"/>
  <c r="AW6" i="83"/>
  <c r="AW80" i="83" s="1"/>
  <c r="AS157" i="90" l="1"/>
  <c r="AS14" i="90"/>
  <c r="AV82" i="83"/>
  <c r="AU89" i="83"/>
  <c r="AU90" i="83" s="1"/>
  <c r="AT108" i="83"/>
  <c r="AT109" i="83" s="1"/>
  <c r="AT110" i="83" s="1"/>
  <c r="AT18" i="91" s="1"/>
  <c r="AT63" i="91" s="1"/>
  <c r="AV44" i="83"/>
  <c r="AV51" i="83" s="1"/>
  <c r="AV55" i="83" s="1"/>
  <c r="AV71" i="93" s="1"/>
  <c r="AV41" i="83"/>
  <c r="AV22" i="91"/>
  <c r="AV118" i="83"/>
  <c r="AW47" i="83"/>
  <c r="AW100" i="83"/>
  <c r="AW102" i="83" s="1"/>
  <c r="AW104" i="83" s="1"/>
  <c r="AW39" i="83"/>
  <c r="AW45" i="83" s="1"/>
  <c r="AW117" i="83"/>
  <c r="AW23" i="91" s="1"/>
  <c r="AW116" i="83"/>
  <c r="AW36" i="83"/>
  <c r="AW37" i="83"/>
  <c r="AU96" i="83"/>
  <c r="AU97" i="83" s="1"/>
  <c r="AU83" i="83"/>
  <c r="AU71" i="93"/>
  <c r="AU77" i="93" s="1"/>
  <c r="AO79" i="91"/>
  <c r="AO80" i="91" s="1"/>
  <c r="AO82" i="91" s="1"/>
  <c r="AN79" i="91"/>
  <c r="AN80" i="91" s="1"/>
  <c r="AN82" i="91" s="1"/>
  <c r="AV107" i="83"/>
  <c r="AW86" i="83"/>
  <c r="AW93" i="83"/>
  <c r="AW94" i="83"/>
  <c r="AW78" i="83"/>
  <c r="AP66" i="91"/>
  <c r="AQ66" i="91"/>
  <c r="AT78" i="91"/>
  <c r="AT70" i="91"/>
  <c r="AQ12" i="90"/>
  <c r="AR169" i="90"/>
  <c r="AR170" i="90" s="1"/>
  <c r="AS162" i="90"/>
  <c r="AS173" i="90" s="1"/>
  <c r="AS174" i="90" s="1"/>
  <c r="AS175" i="90" s="1"/>
  <c r="AT160" i="90"/>
  <c r="AT159" i="90"/>
  <c r="AT161" i="90"/>
  <c r="AU64" i="83"/>
  <c r="AU65" i="83" s="1"/>
  <c r="AU62" i="91"/>
  <c r="AU149" i="90"/>
  <c r="AU153" i="90" s="1"/>
  <c r="AQ12" i="91"/>
  <c r="AQ11" i="90" s="1"/>
  <c r="AR10" i="91"/>
  <c r="AR12" i="91" s="1"/>
  <c r="AR73" i="83"/>
  <c r="AR74" i="83" s="1"/>
  <c r="AR15" i="91" s="1"/>
  <c r="AW25" i="83"/>
  <c r="AW28" i="83"/>
  <c r="AW24" i="83"/>
  <c r="AW26" i="83"/>
  <c r="AW27" i="83"/>
  <c r="AW29" i="83"/>
  <c r="AV30" i="83"/>
  <c r="AV32" i="83" s="1"/>
  <c r="AV21" i="91" s="1"/>
  <c r="AW62" i="83"/>
  <c r="AW72" i="83"/>
  <c r="AT68" i="83"/>
  <c r="AT155" i="90" s="1"/>
  <c r="AS69" i="83"/>
  <c r="AS86" i="91"/>
  <c r="AX79" i="90"/>
  <c r="AY80" i="90"/>
  <c r="AP28" i="90"/>
  <c r="AP30" i="90" s="1"/>
  <c r="AO33" i="90"/>
  <c r="AO37" i="90" s="1"/>
  <c r="AT24" i="91"/>
  <c r="AS29" i="90"/>
  <c r="AV17" i="90"/>
  <c r="AV69" i="91" s="1"/>
  <c r="AY79" i="90"/>
  <c r="S82" i="90"/>
  <c r="T82" i="90" s="1"/>
  <c r="AY76" i="90"/>
  <c r="AY77" i="90"/>
  <c r="L86" i="90"/>
  <c r="AX8" i="90"/>
  <c r="AW38" i="90"/>
  <c r="K87" i="90"/>
  <c r="L87" i="90" s="1"/>
  <c r="P84" i="90"/>
  <c r="Q84" i="90" s="1"/>
  <c r="AZ45" i="90"/>
  <c r="AY81" i="90"/>
  <c r="C89" i="90"/>
  <c r="J88" i="90"/>
  <c r="AY75" i="90"/>
  <c r="AY72" i="90"/>
  <c r="AZ72" i="90" s="1"/>
  <c r="BA72" i="90" s="1"/>
  <c r="BB72" i="90" s="1"/>
  <c r="BC72" i="90" s="1"/>
  <c r="BD72" i="90" s="1"/>
  <c r="BE72" i="90" s="1"/>
  <c r="BF72" i="90" s="1"/>
  <c r="BG72" i="90" s="1"/>
  <c r="BH72" i="90" s="1"/>
  <c r="BI72" i="90" s="1"/>
  <c r="BJ72" i="90" s="1"/>
  <c r="BK72" i="90" s="1"/>
  <c r="BL72" i="90" s="1"/>
  <c r="BM72" i="90" s="1"/>
  <c r="BN72" i="90" s="1"/>
  <c r="BO72" i="90" s="1"/>
  <c r="BP72" i="90" s="1"/>
  <c r="BQ72" i="90" s="1"/>
  <c r="BR72" i="90" s="1"/>
  <c r="BS72" i="90" s="1"/>
  <c r="BT72" i="90" s="1"/>
  <c r="BU72" i="90" s="1"/>
  <c r="BV72" i="90" s="1"/>
  <c r="BW72" i="90" s="1"/>
  <c r="BX72" i="90" s="1"/>
  <c r="BY72" i="90" s="1"/>
  <c r="BZ72" i="90" s="1"/>
  <c r="CA72" i="90" s="1"/>
  <c r="CB72" i="90" s="1"/>
  <c r="CC72" i="90" s="1"/>
  <c r="CD72" i="90" s="1"/>
  <c r="CE72" i="90" s="1"/>
  <c r="CF72" i="90" s="1"/>
  <c r="CG72" i="90" s="1"/>
  <c r="CH72" i="90" s="1"/>
  <c r="CI72" i="90" s="1"/>
  <c r="CJ72" i="90" s="1"/>
  <c r="CK72" i="90" s="1"/>
  <c r="CL72" i="90" s="1"/>
  <c r="CM72" i="90" s="1"/>
  <c r="CN72" i="90" s="1"/>
  <c r="CO72" i="90" s="1"/>
  <c r="CP72" i="90" s="1"/>
  <c r="CQ72" i="90" s="1"/>
  <c r="CR72" i="90" s="1"/>
  <c r="CS72" i="90" s="1"/>
  <c r="CT72" i="90" s="1"/>
  <c r="CU72" i="90" s="1"/>
  <c r="CV72" i="90" s="1"/>
  <c r="CW72" i="90" s="1"/>
  <c r="CX72" i="90" s="1"/>
  <c r="CY72" i="90" s="1"/>
  <c r="CZ72" i="90" s="1"/>
  <c r="DA72" i="90" s="1"/>
  <c r="DB72" i="90" s="1"/>
  <c r="DC72" i="90" s="1"/>
  <c r="DD72" i="90" s="1"/>
  <c r="DE72" i="90" s="1"/>
  <c r="DF72" i="90" s="1"/>
  <c r="DG72" i="90" s="1"/>
  <c r="DH72" i="90" s="1"/>
  <c r="DI72" i="90" s="1"/>
  <c r="DJ72" i="90" s="1"/>
  <c r="DK72" i="90" s="1"/>
  <c r="DL72" i="90" s="1"/>
  <c r="DM72" i="90" s="1"/>
  <c r="M85" i="90"/>
  <c r="N85" i="90" s="1"/>
  <c r="V83" i="90"/>
  <c r="AY78" i="90"/>
  <c r="AW87" i="83"/>
  <c r="BA4" i="91"/>
  <c r="AZ6" i="91"/>
  <c r="AZ5" i="91"/>
  <c r="AZ4" i="90"/>
  <c r="AZ73" i="90" s="1"/>
  <c r="BA73" i="90" s="1"/>
  <c r="BB73" i="90" s="1"/>
  <c r="BC73" i="90" s="1"/>
  <c r="BD73" i="90" s="1"/>
  <c r="BE73" i="90" s="1"/>
  <c r="BF73" i="90" s="1"/>
  <c r="BG73" i="90" s="1"/>
  <c r="BH73" i="90" s="1"/>
  <c r="BI73" i="90" s="1"/>
  <c r="BJ73" i="90" s="1"/>
  <c r="BK73" i="90" s="1"/>
  <c r="BL73" i="90" s="1"/>
  <c r="BM73" i="90" s="1"/>
  <c r="BN73" i="90" s="1"/>
  <c r="BO73" i="90" s="1"/>
  <c r="BP73" i="90" s="1"/>
  <c r="BQ73" i="90" s="1"/>
  <c r="BR73" i="90" s="1"/>
  <c r="BS73" i="90" s="1"/>
  <c r="BT73" i="90" s="1"/>
  <c r="BU73" i="90" s="1"/>
  <c r="BV73" i="90" s="1"/>
  <c r="BW73" i="90" s="1"/>
  <c r="BX73" i="90" s="1"/>
  <c r="BY73" i="90" s="1"/>
  <c r="BZ73" i="90" s="1"/>
  <c r="CA73" i="90" s="1"/>
  <c r="CB73" i="90" s="1"/>
  <c r="CC73" i="90" s="1"/>
  <c r="CD73" i="90" s="1"/>
  <c r="CE73" i="90" s="1"/>
  <c r="CF73" i="90" s="1"/>
  <c r="CG73" i="90" s="1"/>
  <c r="CH73" i="90" s="1"/>
  <c r="CI73" i="90" s="1"/>
  <c r="CJ73" i="90" s="1"/>
  <c r="CK73" i="90" s="1"/>
  <c r="CL73" i="90" s="1"/>
  <c r="CM73" i="90" s="1"/>
  <c r="CN73" i="90" s="1"/>
  <c r="CO73" i="90" s="1"/>
  <c r="CP73" i="90" s="1"/>
  <c r="CQ73" i="90" s="1"/>
  <c r="CR73" i="90" s="1"/>
  <c r="CS73" i="90" s="1"/>
  <c r="CT73" i="90" s="1"/>
  <c r="CU73" i="90" s="1"/>
  <c r="CV73" i="90" s="1"/>
  <c r="CW73" i="90" s="1"/>
  <c r="CX73" i="90" s="1"/>
  <c r="CY73" i="90" s="1"/>
  <c r="CZ73" i="90" s="1"/>
  <c r="DA73" i="90" s="1"/>
  <c r="DB73" i="90" s="1"/>
  <c r="DC73" i="90" s="1"/>
  <c r="DD73" i="90" s="1"/>
  <c r="DE73" i="90" s="1"/>
  <c r="DF73" i="90" s="1"/>
  <c r="DG73" i="90" s="1"/>
  <c r="DH73" i="90" s="1"/>
  <c r="DI73" i="90" s="1"/>
  <c r="DJ73" i="90" s="1"/>
  <c r="DK73" i="90" s="1"/>
  <c r="DL73" i="90" s="1"/>
  <c r="DM73" i="90" s="1"/>
  <c r="AY6" i="90"/>
  <c r="AY21" i="90" s="1"/>
  <c r="AY5" i="90"/>
  <c r="AW48" i="83"/>
  <c r="AY4" i="83"/>
  <c r="AX6" i="83"/>
  <c r="AX80" i="83" s="1"/>
  <c r="AX5" i="83"/>
  <c r="AV89" i="83" l="1"/>
  <c r="AV90" i="83" s="1"/>
  <c r="AT157" i="90"/>
  <c r="AT14" i="90"/>
  <c r="AU108" i="83"/>
  <c r="AU109" i="83" s="1"/>
  <c r="AU110" i="83" s="1"/>
  <c r="AU18" i="91" s="1"/>
  <c r="AW82" i="83"/>
  <c r="AV96" i="83"/>
  <c r="AV97" i="83" s="1"/>
  <c r="AV83" i="83"/>
  <c r="AW118" i="83"/>
  <c r="AW22" i="91"/>
  <c r="AX47" i="83"/>
  <c r="AX39" i="83"/>
  <c r="AX45" i="83" s="1"/>
  <c r="AX117" i="83"/>
  <c r="AX23" i="91" s="1"/>
  <c r="AX116" i="83"/>
  <c r="AX36" i="83"/>
  <c r="AX37" i="83"/>
  <c r="AX100" i="83"/>
  <c r="AX102" i="83" s="1"/>
  <c r="AX104" i="83" s="1"/>
  <c r="AW44" i="83"/>
  <c r="AW51" i="83" s="1"/>
  <c r="AW55" i="83" s="1"/>
  <c r="AW41" i="83"/>
  <c r="AW107" i="83"/>
  <c r="AP79" i="91"/>
  <c r="AP80" i="91" s="1"/>
  <c r="AP82" i="91" s="1"/>
  <c r="AX86" i="83"/>
  <c r="AX93" i="83"/>
  <c r="AX94" i="83"/>
  <c r="AX78" i="83"/>
  <c r="AU78" i="91"/>
  <c r="AU70" i="91"/>
  <c r="AS169" i="90"/>
  <c r="AS170" i="90" s="1"/>
  <c r="AU160" i="90"/>
  <c r="AU159" i="90"/>
  <c r="AU161" i="90"/>
  <c r="AV64" i="83"/>
  <c r="AV65" i="83" s="1"/>
  <c r="AV149" i="90"/>
  <c r="AV153" i="90" s="1"/>
  <c r="AV62" i="91"/>
  <c r="AT162" i="90"/>
  <c r="AV77" i="93"/>
  <c r="AR26" i="91"/>
  <c r="AQ79" i="91"/>
  <c r="AQ80" i="91" s="1"/>
  <c r="AQ82" i="91" s="1"/>
  <c r="AQ26" i="91"/>
  <c r="AS10" i="91"/>
  <c r="AS12" i="91" s="1"/>
  <c r="AS73" i="83"/>
  <c r="AS74" i="83" s="1"/>
  <c r="AS15" i="91" s="1"/>
  <c r="AR12" i="90"/>
  <c r="AW30" i="83"/>
  <c r="AW32" i="83" s="1"/>
  <c r="AW21" i="91" s="1"/>
  <c r="AX27" i="83"/>
  <c r="AX25" i="83"/>
  <c r="AX26" i="83"/>
  <c r="AX28" i="83"/>
  <c r="AX24" i="83"/>
  <c r="AX29" i="83"/>
  <c r="AX62" i="83"/>
  <c r="AU68" i="83"/>
  <c r="AU155" i="90" s="1"/>
  <c r="AX72" i="83"/>
  <c r="AT69" i="83"/>
  <c r="AR11" i="90"/>
  <c r="AR64" i="91"/>
  <c r="AR71" i="91" s="1"/>
  <c r="AR72" i="91" s="1"/>
  <c r="AR74" i="91" s="1"/>
  <c r="AU24" i="91"/>
  <c r="AU25" i="90" s="1"/>
  <c r="AV24" i="91"/>
  <c r="AQ28" i="90"/>
  <c r="AQ30" i="90" s="1"/>
  <c r="AP33" i="90"/>
  <c r="AP37" i="90" s="1"/>
  <c r="AT25" i="90"/>
  <c r="AT85" i="91"/>
  <c r="AT86" i="91" s="1"/>
  <c r="AW17" i="90"/>
  <c r="AW69" i="91" s="1"/>
  <c r="U82" i="90"/>
  <c r="V82" i="90" s="1"/>
  <c r="M86" i="90"/>
  <c r="AY8" i="90"/>
  <c r="AX38" i="90"/>
  <c r="M87" i="90"/>
  <c r="N87" i="90" s="1"/>
  <c r="O87" i="90" s="1"/>
  <c r="AZ75" i="90"/>
  <c r="C90" i="90"/>
  <c r="J89" i="90"/>
  <c r="AZ78" i="90"/>
  <c r="AZ79" i="90"/>
  <c r="AZ77" i="90"/>
  <c r="BA45" i="90"/>
  <c r="R84" i="90"/>
  <c r="S84" i="90" s="1"/>
  <c r="T84" i="90" s="1"/>
  <c r="W83" i="90"/>
  <c r="O85" i="90"/>
  <c r="P85" i="90" s="1"/>
  <c r="AZ80" i="90"/>
  <c r="K88" i="90"/>
  <c r="L88" i="90" s="1"/>
  <c r="AZ81" i="90"/>
  <c r="AZ76" i="90"/>
  <c r="AZ74" i="90"/>
  <c r="AX87" i="83"/>
  <c r="BA6" i="91"/>
  <c r="BA5" i="91"/>
  <c r="BB4" i="91"/>
  <c r="AZ6" i="90"/>
  <c r="AZ21" i="90" s="1"/>
  <c r="AZ5" i="90"/>
  <c r="BA4" i="90"/>
  <c r="AX48" i="83"/>
  <c r="AZ4" i="83"/>
  <c r="AY6" i="83"/>
  <c r="AY80" i="83" s="1"/>
  <c r="AY5" i="83"/>
  <c r="AV108" i="83" l="1"/>
  <c r="AV109" i="83" s="1"/>
  <c r="AV110" i="83" s="1"/>
  <c r="AV18" i="91" s="1"/>
  <c r="AU157" i="90"/>
  <c r="AX82" i="83"/>
  <c r="AW89" i="83"/>
  <c r="AW90" i="83" s="1"/>
  <c r="AW83" i="83"/>
  <c r="AY47" i="83"/>
  <c r="AY116" i="83"/>
  <c r="AY117" i="83"/>
  <c r="AY23" i="91" s="1"/>
  <c r="AY100" i="83"/>
  <c r="AY102" i="83" s="1"/>
  <c r="AY104" i="83" s="1"/>
  <c r="AY37" i="83"/>
  <c r="AY39" i="83"/>
  <c r="AY45" i="83" s="1"/>
  <c r="AY36" i="83"/>
  <c r="AX44" i="83"/>
  <c r="AX51" i="83" s="1"/>
  <c r="AX55" i="83" s="1"/>
  <c r="AX41" i="83"/>
  <c r="AX22" i="91"/>
  <c r="AX118" i="83"/>
  <c r="AW96" i="83"/>
  <c r="AW97" i="83" s="1"/>
  <c r="AW71" i="93"/>
  <c r="AW77" i="93" s="1"/>
  <c r="AX107" i="83"/>
  <c r="AY86" i="83"/>
  <c r="AY93" i="83"/>
  <c r="AY94" i="83"/>
  <c r="AY78" i="83"/>
  <c r="AR66" i="91"/>
  <c r="AV78" i="91"/>
  <c r="AV70" i="91"/>
  <c r="AV160" i="90"/>
  <c r="AV159" i="90"/>
  <c r="AV161" i="90"/>
  <c r="AT173" i="90"/>
  <c r="AT174" i="90" s="1"/>
  <c r="AT175" i="90" s="1"/>
  <c r="AT169" i="90"/>
  <c r="AT170" i="90" s="1"/>
  <c r="AU162" i="90"/>
  <c r="AW64" i="83"/>
  <c r="AW65" i="83" s="1"/>
  <c r="AW62" i="91"/>
  <c r="AW149" i="90"/>
  <c r="AW153" i="90" s="1"/>
  <c r="AT10" i="91"/>
  <c r="AT12" i="91" s="1"/>
  <c r="AT11" i="90" s="1"/>
  <c r="AT73" i="83"/>
  <c r="AT74" i="83" s="1"/>
  <c r="AT15" i="91" s="1"/>
  <c r="AS12" i="90"/>
  <c r="AY24" i="83"/>
  <c r="AY27" i="83"/>
  <c r="AY25" i="83"/>
  <c r="AY26" i="83"/>
  <c r="AY28" i="83"/>
  <c r="AY29" i="83"/>
  <c r="AX30" i="83"/>
  <c r="AX32" i="83" s="1"/>
  <c r="AX21" i="91" s="1"/>
  <c r="AY62" i="83"/>
  <c r="AS11" i="90"/>
  <c r="AS26" i="91"/>
  <c r="AY72" i="83"/>
  <c r="AV68" i="83"/>
  <c r="AV155" i="90" s="1"/>
  <c r="AS64" i="91"/>
  <c r="AS71" i="91" s="1"/>
  <c r="AS72" i="91" s="1"/>
  <c r="AS74" i="91" s="1"/>
  <c r="AU69" i="83"/>
  <c r="AU85" i="91"/>
  <c r="AU86" i="91" s="1"/>
  <c r="AV25" i="90"/>
  <c r="AV85" i="91"/>
  <c r="AR28" i="90"/>
  <c r="AR30" i="90" s="1"/>
  <c r="AQ33" i="90"/>
  <c r="AQ37" i="90" s="1"/>
  <c r="AT29" i="90"/>
  <c r="AU29" i="90"/>
  <c r="AU14" i="90"/>
  <c r="AU63" i="91"/>
  <c r="AW24" i="91"/>
  <c r="AX17" i="90"/>
  <c r="AX69" i="91" s="1"/>
  <c r="M88" i="90"/>
  <c r="N88" i="90" s="1"/>
  <c r="Q85" i="90"/>
  <c r="R85" i="90" s="1"/>
  <c r="S85" i="90" s="1"/>
  <c r="T85" i="90" s="1"/>
  <c r="U85" i="90" s="1"/>
  <c r="V85" i="90" s="1"/>
  <c r="W85" i="90" s="1"/>
  <c r="X85" i="90" s="1"/>
  <c r="Y85" i="90" s="1"/>
  <c r="Z85" i="90" s="1"/>
  <c r="AA85" i="90" s="1"/>
  <c r="AB85" i="90" s="1"/>
  <c r="AC85" i="90" s="1"/>
  <c r="AD85" i="90" s="1"/>
  <c r="AE85" i="90" s="1"/>
  <c r="AF85" i="90" s="1"/>
  <c r="AG85" i="90" s="1"/>
  <c r="AH85" i="90" s="1"/>
  <c r="AI85" i="90" s="1"/>
  <c r="AJ85" i="90" s="1"/>
  <c r="AK85" i="90" s="1"/>
  <c r="AL85" i="90" s="1"/>
  <c r="AM85" i="90" s="1"/>
  <c r="AN85" i="90" s="1"/>
  <c r="AO85" i="90" s="1"/>
  <c r="AP85" i="90" s="1"/>
  <c r="AQ85" i="90" s="1"/>
  <c r="AR85" i="90" s="1"/>
  <c r="AS85" i="90" s="1"/>
  <c r="AT85" i="90" s="1"/>
  <c r="AU85" i="90" s="1"/>
  <c r="AV85" i="90" s="1"/>
  <c r="AW85" i="90" s="1"/>
  <c r="AX85" i="90" s="1"/>
  <c r="AY85" i="90" s="1"/>
  <c r="AZ85" i="90" s="1"/>
  <c r="BA85" i="90" s="1"/>
  <c r="W82" i="90"/>
  <c r="N86" i="90"/>
  <c r="AZ8" i="90"/>
  <c r="AY38" i="90"/>
  <c r="P87" i="90"/>
  <c r="Q87" i="90" s="1"/>
  <c r="BA77" i="90"/>
  <c r="BA74" i="90"/>
  <c r="BB74" i="90" s="1"/>
  <c r="BC74" i="90" s="1"/>
  <c r="BD74" i="90" s="1"/>
  <c r="BE74" i="90" s="1"/>
  <c r="BF74" i="90" s="1"/>
  <c r="BG74" i="90" s="1"/>
  <c r="BH74" i="90" s="1"/>
  <c r="BI74" i="90" s="1"/>
  <c r="BJ74" i="90" s="1"/>
  <c r="BK74" i="90" s="1"/>
  <c r="BL74" i="90" s="1"/>
  <c r="BM74" i="90" s="1"/>
  <c r="BN74" i="90" s="1"/>
  <c r="BO74" i="90" s="1"/>
  <c r="BP74" i="90" s="1"/>
  <c r="BQ74" i="90" s="1"/>
  <c r="BR74" i="90" s="1"/>
  <c r="BS74" i="90" s="1"/>
  <c r="BT74" i="90" s="1"/>
  <c r="BU74" i="90" s="1"/>
  <c r="BV74" i="90" s="1"/>
  <c r="BW74" i="90" s="1"/>
  <c r="BX74" i="90" s="1"/>
  <c r="BY74" i="90" s="1"/>
  <c r="BZ74" i="90" s="1"/>
  <c r="CA74" i="90" s="1"/>
  <c r="CB74" i="90" s="1"/>
  <c r="CC74" i="90" s="1"/>
  <c r="CD74" i="90" s="1"/>
  <c r="CE74" i="90" s="1"/>
  <c r="CF74" i="90" s="1"/>
  <c r="CG74" i="90" s="1"/>
  <c r="CH74" i="90" s="1"/>
  <c r="CI74" i="90" s="1"/>
  <c r="CJ74" i="90" s="1"/>
  <c r="CK74" i="90" s="1"/>
  <c r="CL74" i="90" s="1"/>
  <c r="CM74" i="90" s="1"/>
  <c r="CN74" i="90" s="1"/>
  <c r="CO74" i="90" s="1"/>
  <c r="CP74" i="90" s="1"/>
  <c r="CQ74" i="90" s="1"/>
  <c r="CR74" i="90" s="1"/>
  <c r="CS74" i="90" s="1"/>
  <c r="CT74" i="90" s="1"/>
  <c r="CU74" i="90" s="1"/>
  <c r="CV74" i="90" s="1"/>
  <c r="CW74" i="90" s="1"/>
  <c r="CX74" i="90" s="1"/>
  <c r="CY74" i="90" s="1"/>
  <c r="CZ74" i="90" s="1"/>
  <c r="DA74" i="90" s="1"/>
  <c r="DB74" i="90" s="1"/>
  <c r="DC74" i="90" s="1"/>
  <c r="DD74" i="90" s="1"/>
  <c r="DE74" i="90" s="1"/>
  <c r="DF74" i="90" s="1"/>
  <c r="DG74" i="90" s="1"/>
  <c r="DH74" i="90" s="1"/>
  <c r="DI74" i="90" s="1"/>
  <c r="DJ74" i="90" s="1"/>
  <c r="DK74" i="90" s="1"/>
  <c r="DL74" i="90" s="1"/>
  <c r="DM74" i="90" s="1"/>
  <c r="BA79" i="90"/>
  <c r="C91" i="90"/>
  <c r="J90" i="90"/>
  <c r="BA75" i="90"/>
  <c r="BA78" i="90"/>
  <c r="BA76" i="90"/>
  <c r="BA80" i="90"/>
  <c r="U84" i="90"/>
  <c r="BB45" i="90"/>
  <c r="K89" i="90"/>
  <c r="L89" i="90" s="1"/>
  <c r="BA81" i="90"/>
  <c r="X83" i="90"/>
  <c r="Y83" i="90" s="1"/>
  <c r="Z83" i="90" s="1"/>
  <c r="AA83" i="90" s="1"/>
  <c r="AB83" i="90" s="1"/>
  <c r="AC83" i="90" s="1"/>
  <c r="AD83" i="90" s="1"/>
  <c r="AE83" i="90" s="1"/>
  <c r="AF83" i="90" s="1"/>
  <c r="AG83" i="90" s="1"/>
  <c r="AH83" i="90" s="1"/>
  <c r="AI83" i="90" s="1"/>
  <c r="AJ83" i="90" s="1"/>
  <c r="AK83" i="90" s="1"/>
  <c r="AL83" i="90" s="1"/>
  <c r="AM83" i="90" s="1"/>
  <c r="AN83" i="90" s="1"/>
  <c r="AO83" i="90" s="1"/>
  <c r="AP83" i="90" s="1"/>
  <c r="AQ83" i="90" s="1"/>
  <c r="AR83" i="90" s="1"/>
  <c r="AS83" i="90" s="1"/>
  <c r="AT83" i="90" s="1"/>
  <c r="AU83" i="90" s="1"/>
  <c r="AV83" i="90" s="1"/>
  <c r="AW83" i="90" s="1"/>
  <c r="AX83" i="90" s="1"/>
  <c r="AY83" i="90" s="1"/>
  <c r="AZ83" i="90" s="1"/>
  <c r="BA83" i="90" s="1"/>
  <c r="AY87" i="83"/>
  <c r="BC4" i="91"/>
  <c r="BB6" i="91"/>
  <c r="BB5" i="91"/>
  <c r="BB4" i="90"/>
  <c r="BA6" i="90"/>
  <c r="BA21" i="90" s="1"/>
  <c r="BA5" i="90"/>
  <c r="AY48" i="83"/>
  <c r="BA4" i="83"/>
  <c r="AZ6" i="83"/>
  <c r="AZ80" i="83" s="1"/>
  <c r="AZ5" i="83"/>
  <c r="AV157" i="90" l="1"/>
  <c r="AY82" i="83"/>
  <c r="AW108" i="83"/>
  <c r="AW109" i="83" s="1"/>
  <c r="AW110" i="83" s="1"/>
  <c r="AW18" i="91" s="1"/>
  <c r="AW63" i="91" s="1"/>
  <c r="AZ47" i="83"/>
  <c r="AZ117" i="83"/>
  <c r="AZ23" i="91" s="1"/>
  <c r="AZ116" i="83"/>
  <c r="AZ36" i="83"/>
  <c r="AZ37" i="83"/>
  <c r="AZ100" i="83"/>
  <c r="AZ102" i="83" s="1"/>
  <c r="AZ104" i="83" s="1"/>
  <c r="AZ39" i="83"/>
  <c r="AZ45" i="83" s="1"/>
  <c r="AY44" i="83"/>
  <c r="AY51" i="83" s="1"/>
  <c r="AY55" i="83" s="1"/>
  <c r="AY71" i="93" s="1"/>
  <c r="AY41" i="83"/>
  <c r="AX89" i="83"/>
  <c r="AX90" i="83" s="1"/>
  <c r="AY118" i="83"/>
  <c r="AY22" i="91"/>
  <c r="AX83" i="83"/>
  <c r="AX96" i="83"/>
  <c r="AX97" i="83" s="1"/>
  <c r="AX71" i="93"/>
  <c r="AX77" i="93" s="1"/>
  <c r="AR79" i="91"/>
  <c r="AR80" i="91" s="1"/>
  <c r="AR82" i="91" s="1"/>
  <c r="AY107" i="83"/>
  <c r="AZ86" i="83"/>
  <c r="AZ93" i="83"/>
  <c r="AZ94" i="83"/>
  <c r="AZ78" i="83"/>
  <c r="AS66" i="91"/>
  <c r="AW78" i="91"/>
  <c r="AW70" i="91"/>
  <c r="AW160" i="90"/>
  <c r="AW161" i="90"/>
  <c r="AW159" i="90"/>
  <c r="AV162" i="90"/>
  <c r="AU173" i="90"/>
  <c r="AU174" i="90" s="1"/>
  <c r="AU175" i="90" s="1"/>
  <c r="AU169" i="90"/>
  <c r="AU170" i="90" s="1"/>
  <c r="AX64" i="83"/>
  <c r="AX65" i="83" s="1"/>
  <c r="AX62" i="91"/>
  <c r="AX149" i="90"/>
  <c r="AX153" i="90" s="1"/>
  <c r="AT64" i="91"/>
  <c r="AT71" i="91" s="1"/>
  <c r="AT72" i="91" s="1"/>
  <c r="AT74" i="91" s="1"/>
  <c r="AU10" i="91"/>
  <c r="AU12" i="91" s="1"/>
  <c r="AU73" i="83"/>
  <c r="AU74" i="83" s="1"/>
  <c r="AU15" i="91" s="1"/>
  <c r="AT12" i="90"/>
  <c r="AT26" i="91"/>
  <c r="AY30" i="83"/>
  <c r="AY32" i="83" s="1"/>
  <c r="AY21" i="91" s="1"/>
  <c r="AZ29" i="83"/>
  <c r="AZ24" i="83"/>
  <c r="AZ27" i="83"/>
  <c r="AZ26" i="83"/>
  <c r="AZ28" i="83"/>
  <c r="AZ25" i="83"/>
  <c r="AZ62" i="83"/>
  <c r="AW68" i="83"/>
  <c r="AW155" i="90" s="1"/>
  <c r="AZ72" i="83"/>
  <c r="AV69" i="83"/>
  <c r="AV86" i="91"/>
  <c r="AS28" i="90"/>
  <c r="AS30" i="90" s="1"/>
  <c r="AR33" i="90"/>
  <c r="AR37" i="90" s="1"/>
  <c r="AV14" i="90"/>
  <c r="AV63" i="91"/>
  <c r="AX24" i="91"/>
  <c r="AW25" i="90"/>
  <c r="AW85" i="91"/>
  <c r="AV29" i="90"/>
  <c r="AY17" i="90"/>
  <c r="AY69" i="91" s="1"/>
  <c r="M89" i="90"/>
  <c r="N89" i="90" s="1"/>
  <c r="O88" i="90"/>
  <c r="P88" i="90" s="1"/>
  <c r="BB85" i="90"/>
  <c r="R87" i="90"/>
  <c r="S87" i="90" s="1"/>
  <c r="BB81" i="90"/>
  <c r="BB75" i="90"/>
  <c r="BC75" i="90" s="1"/>
  <c r="BD75" i="90" s="1"/>
  <c r="BE75" i="90" s="1"/>
  <c r="BF75" i="90" s="1"/>
  <c r="BG75" i="90" s="1"/>
  <c r="BH75" i="90" s="1"/>
  <c r="BI75" i="90" s="1"/>
  <c r="BJ75" i="90" s="1"/>
  <c r="BK75" i="90" s="1"/>
  <c r="BL75" i="90" s="1"/>
  <c r="BM75" i="90" s="1"/>
  <c r="BN75" i="90" s="1"/>
  <c r="BO75" i="90" s="1"/>
  <c r="BP75" i="90" s="1"/>
  <c r="BQ75" i="90" s="1"/>
  <c r="BR75" i="90" s="1"/>
  <c r="BS75" i="90" s="1"/>
  <c r="BT75" i="90" s="1"/>
  <c r="BU75" i="90" s="1"/>
  <c r="BV75" i="90" s="1"/>
  <c r="BW75" i="90" s="1"/>
  <c r="BX75" i="90" s="1"/>
  <c r="BY75" i="90" s="1"/>
  <c r="BZ75" i="90" s="1"/>
  <c r="CA75" i="90" s="1"/>
  <c r="CB75" i="90" s="1"/>
  <c r="CC75" i="90" s="1"/>
  <c r="CD75" i="90" s="1"/>
  <c r="CE75" i="90" s="1"/>
  <c r="CF75" i="90" s="1"/>
  <c r="CG75" i="90" s="1"/>
  <c r="CH75" i="90" s="1"/>
  <c r="CI75" i="90" s="1"/>
  <c r="CJ75" i="90" s="1"/>
  <c r="CK75" i="90" s="1"/>
  <c r="CL75" i="90" s="1"/>
  <c r="CM75" i="90" s="1"/>
  <c r="CN75" i="90" s="1"/>
  <c r="CO75" i="90" s="1"/>
  <c r="CP75" i="90" s="1"/>
  <c r="CQ75" i="90" s="1"/>
  <c r="CR75" i="90" s="1"/>
  <c r="CS75" i="90" s="1"/>
  <c r="CT75" i="90" s="1"/>
  <c r="CU75" i="90" s="1"/>
  <c r="CV75" i="90" s="1"/>
  <c r="CW75" i="90" s="1"/>
  <c r="CX75" i="90" s="1"/>
  <c r="CY75" i="90" s="1"/>
  <c r="CZ75" i="90" s="1"/>
  <c r="DA75" i="90" s="1"/>
  <c r="DB75" i="90" s="1"/>
  <c r="DC75" i="90" s="1"/>
  <c r="DD75" i="90" s="1"/>
  <c r="DE75" i="90" s="1"/>
  <c r="DF75" i="90" s="1"/>
  <c r="DG75" i="90" s="1"/>
  <c r="DH75" i="90" s="1"/>
  <c r="DI75" i="90" s="1"/>
  <c r="DJ75" i="90" s="1"/>
  <c r="DK75" i="90" s="1"/>
  <c r="DL75" i="90" s="1"/>
  <c r="DM75" i="90" s="1"/>
  <c r="O86" i="90"/>
  <c r="BB83" i="90"/>
  <c r="X82" i="90"/>
  <c r="BA8" i="90"/>
  <c r="AZ38" i="90"/>
  <c r="BB78" i="90"/>
  <c r="K90" i="90"/>
  <c r="L90" i="90" s="1"/>
  <c r="V84" i="90"/>
  <c r="W84" i="90" s="1"/>
  <c r="X84" i="90" s="1"/>
  <c r="Y84" i="90" s="1"/>
  <c r="Z84" i="90" s="1"/>
  <c r="AA84" i="90" s="1"/>
  <c r="AB84" i="90" s="1"/>
  <c r="AC84" i="90" s="1"/>
  <c r="AD84" i="90" s="1"/>
  <c r="AE84" i="90" s="1"/>
  <c r="AF84" i="90" s="1"/>
  <c r="AG84" i="90" s="1"/>
  <c r="AH84" i="90" s="1"/>
  <c r="AI84" i="90" s="1"/>
  <c r="AJ84" i="90" s="1"/>
  <c r="AK84" i="90" s="1"/>
  <c r="AL84" i="90" s="1"/>
  <c r="AM84" i="90" s="1"/>
  <c r="AN84" i="90" s="1"/>
  <c r="AO84" i="90" s="1"/>
  <c r="AP84" i="90" s="1"/>
  <c r="AQ84" i="90" s="1"/>
  <c r="AR84" i="90" s="1"/>
  <c r="AS84" i="90" s="1"/>
  <c r="AT84" i="90" s="1"/>
  <c r="AU84" i="90" s="1"/>
  <c r="AV84" i="90" s="1"/>
  <c r="AW84" i="90" s="1"/>
  <c r="AX84" i="90" s="1"/>
  <c r="AY84" i="90" s="1"/>
  <c r="AZ84" i="90" s="1"/>
  <c r="BA84" i="90" s="1"/>
  <c r="BB84" i="90" s="1"/>
  <c r="BC84" i="90" s="1"/>
  <c r="C92" i="90"/>
  <c r="J91" i="90"/>
  <c r="BC45" i="90"/>
  <c r="BB80" i="90"/>
  <c r="BB76" i="90"/>
  <c r="BB79" i="90"/>
  <c r="BB77" i="90"/>
  <c r="AZ87" i="83"/>
  <c r="BD4" i="91"/>
  <c r="BC6" i="91"/>
  <c r="BC5" i="91"/>
  <c r="BC4" i="90"/>
  <c r="BB6" i="90"/>
  <c r="BB21" i="90" s="1"/>
  <c r="BB5" i="90"/>
  <c r="AZ48" i="83"/>
  <c r="BB4" i="83"/>
  <c r="BA5" i="83"/>
  <c r="BA6" i="83"/>
  <c r="BA80" i="83" s="1"/>
  <c r="AW14" i="90" l="1"/>
  <c r="AW157" i="90"/>
  <c r="AY89" i="83"/>
  <c r="AY90" i="83" s="1"/>
  <c r="AZ82" i="83"/>
  <c r="AY83" i="83"/>
  <c r="AX108" i="83"/>
  <c r="AX109" i="83" s="1"/>
  <c r="AX110" i="83" s="1"/>
  <c r="AX18" i="91" s="1"/>
  <c r="AX14" i="90" s="1"/>
  <c r="AY96" i="83"/>
  <c r="AY97" i="83" s="1"/>
  <c r="BA47" i="83"/>
  <c r="BA117" i="83"/>
  <c r="BA23" i="91" s="1"/>
  <c r="BA116" i="83"/>
  <c r="BA36" i="83"/>
  <c r="BA37" i="83"/>
  <c r="BA100" i="83"/>
  <c r="BA102" i="83" s="1"/>
  <c r="BA104" i="83" s="1"/>
  <c r="BA39" i="83"/>
  <c r="BA45" i="83" s="1"/>
  <c r="AZ44" i="83"/>
  <c r="AZ51" i="83" s="1"/>
  <c r="AZ55" i="83" s="1"/>
  <c r="AZ71" i="93" s="1"/>
  <c r="AZ41" i="83"/>
  <c r="AZ22" i="91"/>
  <c r="AZ118" i="83"/>
  <c r="AY77" i="93"/>
  <c r="AZ107" i="83"/>
  <c r="AS79" i="91"/>
  <c r="AS80" i="91" s="1"/>
  <c r="AS82" i="91" s="1"/>
  <c r="BA86" i="83"/>
  <c r="BA93" i="83"/>
  <c r="BA94" i="83"/>
  <c r="BA78" i="83"/>
  <c r="AT66" i="91"/>
  <c r="AX78" i="91"/>
  <c r="AX70" i="91"/>
  <c r="AW162" i="90"/>
  <c r="AW173" i="90" s="1"/>
  <c r="AW174" i="90" s="1"/>
  <c r="AW175" i="90" s="1"/>
  <c r="AV173" i="90"/>
  <c r="AV174" i="90" s="1"/>
  <c r="AV175" i="90" s="1"/>
  <c r="AV169" i="90"/>
  <c r="AV170" i="90" s="1"/>
  <c r="AX160" i="90"/>
  <c r="AX161" i="90"/>
  <c r="AX159" i="90"/>
  <c r="AY64" i="83"/>
  <c r="AY65" i="83" s="1"/>
  <c r="AY149" i="90"/>
  <c r="AY153" i="90" s="1"/>
  <c r="AY62" i="91"/>
  <c r="AU12" i="90"/>
  <c r="AV10" i="91"/>
  <c r="AV73" i="83"/>
  <c r="AV74" i="83" s="1"/>
  <c r="AV15" i="91" s="1"/>
  <c r="BA26" i="83"/>
  <c r="BA29" i="83"/>
  <c r="BA24" i="83"/>
  <c r="BA25" i="83"/>
  <c r="BA27" i="83"/>
  <c r="BA28" i="83"/>
  <c r="AZ30" i="83"/>
  <c r="AZ32" i="83" s="1"/>
  <c r="AZ21" i="91" s="1"/>
  <c r="BA62" i="83"/>
  <c r="AU11" i="90"/>
  <c r="AU26" i="91"/>
  <c r="AX68" i="83"/>
  <c r="AX155" i="90" s="1"/>
  <c r="BA72" i="83"/>
  <c r="AW69" i="83"/>
  <c r="AU64" i="91"/>
  <c r="AU71" i="91" s="1"/>
  <c r="AU72" i="91" s="1"/>
  <c r="AU74" i="91" s="1"/>
  <c r="AW86" i="91"/>
  <c r="BC83" i="90"/>
  <c r="AX25" i="90"/>
  <c r="AX85" i="91"/>
  <c r="AT28" i="90"/>
  <c r="AT30" i="90" s="1"/>
  <c r="AS33" i="90"/>
  <c r="AS37" i="90" s="1"/>
  <c r="AY24" i="91"/>
  <c r="AW29" i="90"/>
  <c r="AZ17" i="90"/>
  <c r="AZ69" i="91" s="1"/>
  <c r="Q88" i="90"/>
  <c r="R88" i="90" s="1"/>
  <c r="Y82" i="90"/>
  <c r="Z82" i="90" s="1"/>
  <c r="AA82" i="90" s="1"/>
  <c r="AB82" i="90" s="1"/>
  <c r="AC82" i="90" s="1"/>
  <c r="AD82" i="90" s="1"/>
  <c r="AE82" i="90" s="1"/>
  <c r="AF82" i="90" s="1"/>
  <c r="AG82" i="90" s="1"/>
  <c r="AH82" i="90" s="1"/>
  <c r="AI82" i="90" s="1"/>
  <c r="AJ82" i="90" s="1"/>
  <c r="AK82" i="90" s="1"/>
  <c r="AL82" i="90" s="1"/>
  <c r="AM82" i="90" s="1"/>
  <c r="AN82" i="90" s="1"/>
  <c r="AO82" i="90" s="1"/>
  <c r="AP82" i="90" s="1"/>
  <c r="AQ82" i="90" s="1"/>
  <c r="AR82" i="90" s="1"/>
  <c r="AS82" i="90" s="1"/>
  <c r="AT82" i="90" s="1"/>
  <c r="AU82" i="90" s="1"/>
  <c r="AV82" i="90" s="1"/>
  <c r="AW82" i="90" s="1"/>
  <c r="AX82" i="90" s="1"/>
  <c r="AY82" i="90" s="1"/>
  <c r="BC76" i="90"/>
  <c r="BD76" i="90" s="1"/>
  <c r="BE76" i="90" s="1"/>
  <c r="BF76" i="90" s="1"/>
  <c r="BG76" i="90" s="1"/>
  <c r="BH76" i="90" s="1"/>
  <c r="BI76" i="90" s="1"/>
  <c r="BJ76" i="90" s="1"/>
  <c r="BK76" i="90" s="1"/>
  <c r="BL76" i="90" s="1"/>
  <c r="BM76" i="90" s="1"/>
  <c r="BN76" i="90" s="1"/>
  <c r="BO76" i="90" s="1"/>
  <c r="BP76" i="90" s="1"/>
  <c r="BQ76" i="90" s="1"/>
  <c r="BR76" i="90" s="1"/>
  <c r="BS76" i="90" s="1"/>
  <c r="BT76" i="90" s="1"/>
  <c r="BU76" i="90" s="1"/>
  <c r="BV76" i="90" s="1"/>
  <c r="BW76" i="90" s="1"/>
  <c r="BX76" i="90" s="1"/>
  <c r="BY76" i="90" s="1"/>
  <c r="BZ76" i="90" s="1"/>
  <c r="CA76" i="90" s="1"/>
  <c r="CB76" i="90" s="1"/>
  <c r="CC76" i="90" s="1"/>
  <c r="CD76" i="90" s="1"/>
  <c r="CE76" i="90" s="1"/>
  <c r="CF76" i="90" s="1"/>
  <c r="CG76" i="90" s="1"/>
  <c r="CH76" i="90" s="1"/>
  <c r="CI76" i="90" s="1"/>
  <c r="CJ76" i="90" s="1"/>
  <c r="CK76" i="90" s="1"/>
  <c r="CL76" i="90" s="1"/>
  <c r="CM76" i="90" s="1"/>
  <c r="CN76" i="90" s="1"/>
  <c r="CO76" i="90" s="1"/>
  <c r="CP76" i="90" s="1"/>
  <c r="CQ76" i="90" s="1"/>
  <c r="CR76" i="90" s="1"/>
  <c r="CS76" i="90" s="1"/>
  <c r="CT76" i="90" s="1"/>
  <c r="CU76" i="90" s="1"/>
  <c r="CV76" i="90" s="1"/>
  <c r="CW76" i="90" s="1"/>
  <c r="CX76" i="90" s="1"/>
  <c r="CY76" i="90" s="1"/>
  <c r="CZ76" i="90" s="1"/>
  <c r="DA76" i="90" s="1"/>
  <c r="DB76" i="90" s="1"/>
  <c r="DC76" i="90" s="1"/>
  <c r="DD76" i="90" s="1"/>
  <c r="DE76" i="90" s="1"/>
  <c r="DF76" i="90" s="1"/>
  <c r="DG76" i="90" s="1"/>
  <c r="DH76" i="90" s="1"/>
  <c r="DI76" i="90" s="1"/>
  <c r="DJ76" i="90" s="1"/>
  <c r="DK76" i="90" s="1"/>
  <c r="DL76" i="90" s="1"/>
  <c r="DM76" i="90" s="1"/>
  <c r="P86" i="90"/>
  <c r="BB8" i="90"/>
  <c r="BA38" i="90"/>
  <c r="M90" i="90"/>
  <c r="N90" i="90" s="1"/>
  <c r="K91" i="90"/>
  <c r="L91" i="90" s="1"/>
  <c r="M91" i="90" s="1"/>
  <c r="O89" i="90"/>
  <c r="P89" i="90" s="1"/>
  <c r="BC79" i="90"/>
  <c r="C93" i="90"/>
  <c r="J92" i="90"/>
  <c r="BC85" i="90"/>
  <c r="BC78" i="90"/>
  <c r="BC77" i="90"/>
  <c r="BC80" i="90"/>
  <c r="BD45" i="90"/>
  <c r="BC81" i="90"/>
  <c r="T87" i="90"/>
  <c r="BA87" i="83"/>
  <c r="BE4" i="91"/>
  <c r="BD6" i="91"/>
  <c r="BD5" i="91"/>
  <c r="BD4" i="90"/>
  <c r="BD83" i="90" s="1"/>
  <c r="BC6" i="90"/>
  <c r="BC21" i="90" s="1"/>
  <c r="BC5" i="90"/>
  <c r="BA48" i="83"/>
  <c r="BC4" i="83"/>
  <c r="BB6" i="83"/>
  <c r="BB80" i="83" s="1"/>
  <c r="BB5" i="83"/>
  <c r="AX157" i="90" l="1"/>
  <c r="AY108" i="83"/>
  <c r="AY109" i="83" s="1"/>
  <c r="AY110" i="83" s="1"/>
  <c r="AY18" i="91" s="1"/>
  <c r="BA82" i="83"/>
  <c r="AX63" i="91"/>
  <c r="AZ83" i="83"/>
  <c r="BA44" i="83"/>
  <c r="BA51" i="83" s="1"/>
  <c r="BA55" i="83" s="1"/>
  <c r="BA71" i="93" s="1"/>
  <c r="BA41" i="83"/>
  <c r="BA118" i="83"/>
  <c r="BA22" i="91"/>
  <c r="AZ89" i="83"/>
  <c r="AZ90" i="83" s="1"/>
  <c r="AZ96" i="83"/>
  <c r="AZ97" i="83" s="1"/>
  <c r="BB47" i="83"/>
  <c r="BB117" i="83"/>
  <c r="BB23" i="91" s="1"/>
  <c r="BB116" i="83"/>
  <c r="BB36" i="83"/>
  <c r="BB100" i="83"/>
  <c r="BB102" i="83" s="1"/>
  <c r="BB104" i="83" s="1"/>
  <c r="BB39" i="83"/>
  <c r="BB45" i="83" s="1"/>
  <c r="BB37" i="83"/>
  <c r="BA107" i="83"/>
  <c r="AT79" i="91"/>
  <c r="AT80" i="91" s="1"/>
  <c r="AT82" i="91" s="1"/>
  <c r="BB86" i="83"/>
  <c r="BB93" i="83"/>
  <c r="BB94" i="83"/>
  <c r="BB78" i="83"/>
  <c r="AU66" i="91"/>
  <c r="AY70" i="91"/>
  <c r="AY78" i="91"/>
  <c r="AV12" i="90"/>
  <c r="AW169" i="90"/>
  <c r="AW170" i="90" s="1"/>
  <c r="AX162" i="90"/>
  <c r="AX173" i="90" s="1"/>
  <c r="AX174" i="90" s="1"/>
  <c r="AX175" i="90" s="1"/>
  <c r="AY161" i="90"/>
  <c r="AY160" i="90"/>
  <c r="AY159" i="90"/>
  <c r="AZ64" i="83"/>
  <c r="AZ65" i="83" s="1"/>
  <c r="AZ149" i="90"/>
  <c r="AZ153" i="90" s="1"/>
  <c r="AZ62" i="91"/>
  <c r="AZ77" i="93"/>
  <c r="AV12" i="91"/>
  <c r="AV11" i="90" s="1"/>
  <c r="AW10" i="91"/>
  <c r="AW12" i="91" s="1"/>
  <c r="AW11" i="90" s="1"/>
  <c r="AW73" i="83"/>
  <c r="AW74" i="83" s="1"/>
  <c r="AW15" i="91" s="1"/>
  <c r="BA30" i="83"/>
  <c r="BA32" i="83" s="1"/>
  <c r="BA21" i="91" s="1"/>
  <c r="BB26" i="83"/>
  <c r="BB29" i="83"/>
  <c r="BB24" i="83"/>
  <c r="BB25" i="83"/>
  <c r="BB27" i="83"/>
  <c r="BB28" i="83"/>
  <c r="BB62" i="83"/>
  <c r="AX69" i="83"/>
  <c r="AX86" i="91"/>
  <c r="BB72" i="83"/>
  <c r="AY68" i="83"/>
  <c r="AY155" i="90" s="1"/>
  <c r="AV64" i="91"/>
  <c r="AV71" i="91" s="1"/>
  <c r="AV72" i="91" s="1"/>
  <c r="AV74" i="91" s="1"/>
  <c r="AY25" i="90"/>
  <c r="AY85" i="91"/>
  <c r="AX29" i="90"/>
  <c r="AU28" i="90"/>
  <c r="AU30" i="90" s="1"/>
  <c r="AT33" i="90"/>
  <c r="AT37" i="90" s="1"/>
  <c r="BA17" i="90"/>
  <c r="BA69" i="91" s="1"/>
  <c r="S88" i="90"/>
  <c r="BD81" i="90"/>
  <c r="Q89" i="90"/>
  <c r="R89" i="90" s="1"/>
  <c r="S89" i="90" s="1"/>
  <c r="Q86" i="90"/>
  <c r="N91" i="90"/>
  <c r="O91" i="90" s="1"/>
  <c r="P91" i="90" s="1"/>
  <c r="AZ82" i="90"/>
  <c r="BC8" i="90"/>
  <c r="BB38" i="90"/>
  <c r="O90" i="90"/>
  <c r="U87" i="90"/>
  <c r="V87" i="90" s="1"/>
  <c r="W87" i="90" s="1"/>
  <c r="X87" i="90" s="1"/>
  <c r="Y87" i="90" s="1"/>
  <c r="Z87" i="90" s="1"/>
  <c r="AA87" i="90" s="1"/>
  <c r="AB87" i="90" s="1"/>
  <c r="AC87" i="90" s="1"/>
  <c r="AD87" i="90" s="1"/>
  <c r="AE87" i="90" s="1"/>
  <c r="AF87" i="90" s="1"/>
  <c r="AG87" i="90" s="1"/>
  <c r="AH87" i="90" s="1"/>
  <c r="AI87" i="90" s="1"/>
  <c r="AJ87" i="90" s="1"/>
  <c r="AK87" i="90" s="1"/>
  <c r="AL87" i="90" s="1"/>
  <c r="AM87" i="90" s="1"/>
  <c r="AN87" i="90" s="1"/>
  <c r="AO87" i="90" s="1"/>
  <c r="AP87" i="90" s="1"/>
  <c r="AQ87" i="90" s="1"/>
  <c r="AR87" i="90" s="1"/>
  <c r="AS87" i="90" s="1"/>
  <c r="AT87" i="90" s="1"/>
  <c r="AU87" i="90" s="1"/>
  <c r="AV87" i="90" s="1"/>
  <c r="AW87" i="90" s="1"/>
  <c r="AX87" i="90" s="1"/>
  <c r="AY87" i="90" s="1"/>
  <c r="AZ87" i="90" s="1"/>
  <c r="BA87" i="90" s="1"/>
  <c r="BB87" i="90" s="1"/>
  <c r="BC87" i="90" s="1"/>
  <c r="BD87" i="90" s="1"/>
  <c r="BD80" i="90"/>
  <c r="BD79" i="90"/>
  <c r="BD77" i="90"/>
  <c r="BE77" i="90" s="1"/>
  <c r="BF77" i="90" s="1"/>
  <c r="BG77" i="90" s="1"/>
  <c r="BH77" i="90" s="1"/>
  <c r="BI77" i="90" s="1"/>
  <c r="BJ77" i="90" s="1"/>
  <c r="BK77" i="90" s="1"/>
  <c r="BL77" i="90" s="1"/>
  <c r="BM77" i="90" s="1"/>
  <c r="BN77" i="90" s="1"/>
  <c r="BO77" i="90" s="1"/>
  <c r="BP77" i="90" s="1"/>
  <c r="BQ77" i="90" s="1"/>
  <c r="BR77" i="90" s="1"/>
  <c r="BS77" i="90" s="1"/>
  <c r="BT77" i="90" s="1"/>
  <c r="BU77" i="90" s="1"/>
  <c r="BV77" i="90" s="1"/>
  <c r="BW77" i="90" s="1"/>
  <c r="BX77" i="90" s="1"/>
  <c r="BY77" i="90" s="1"/>
  <c r="BZ77" i="90" s="1"/>
  <c r="CA77" i="90" s="1"/>
  <c r="CB77" i="90" s="1"/>
  <c r="CC77" i="90" s="1"/>
  <c r="CD77" i="90" s="1"/>
  <c r="CE77" i="90" s="1"/>
  <c r="CF77" i="90" s="1"/>
  <c r="CG77" i="90" s="1"/>
  <c r="CH77" i="90" s="1"/>
  <c r="CI77" i="90" s="1"/>
  <c r="CJ77" i="90" s="1"/>
  <c r="CK77" i="90" s="1"/>
  <c r="CL77" i="90" s="1"/>
  <c r="CM77" i="90" s="1"/>
  <c r="CN77" i="90" s="1"/>
  <c r="CO77" i="90" s="1"/>
  <c r="CP77" i="90" s="1"/>
  <c r="CQ77" i="90" s="1"/>
  <c r="CR77" i="90" s="1"/>
  <c r="CS77" i="90" s="1"/>
  <c r="CT77" i="90" s="1"/>
  <c r="CU77" i="90" s="1"/>
  <c r="CV77" i="90" s="1"/>
  <c r="CW77" i="90" s="1"/>
  <c r="CX77" i="90" s="1"/>
  <c r="CY77" i="90" s="1"/>
  <c r="CZ77" i="90" s="1"/>
  <c r="DA77" i="90" s="1"/>
  <c r="DB77" i="90" s="1"/>
  <c r="DC77" i="90" s="1"/>
  <c r="DD77" i="90" s="1"/>
  <c r="DE77" i="90" s="1"/>
  <c r="DF77" i="90" s="1"/>
  <c r="DG77" i="90" s="1"/>
  <c r="DH77" i="90" s="1"/>
  <c r="DI77" i="90" s="1"/>
  <c r="DJ77" i="90" s="1"/>
  <c r="DK77" i="90" s="1"/>
  <c r="DL77" i="90" s="1"/>
  <c r="DM77" i="90" s="1"/>
  <c r="BD85" i="90"/>
  <c r="K92" i="90"/>
  <c r="L92" i="90" s="1"/>
  <c r="BD84" i="90"/>
  <c r="C94" i="90"/>
  <c r="J93" i="90"/>
  <c r="BE45" i="90"/>
  <c r="BD78" i="90"/>
  <c r="BB87" i="83"/>
  <c r="BE6" i="91"/>
  <c r="BE5" i="91"/>
  <c r="BF4" i="91"/>
  <c r="BD6" i="90"/>
  <c r="BD21" i="90" s="1"/>
  <c r="BD5" i="90"/>
  <c r="BE4" i="90"/>
  <c r="BE83" i="90" s="1"/>
  <c r="BB48" i="83"/>
  <c r="BD4" i="83"/>
  <c r="BC6" i="83"/>
  <c r="BC80" i="83" s="1"/>
  <c r="BC5" i="83"/>
  <c r="BA96" i="83" l="1"/>
  <c r="BA97" i="83" s="1"/>
  <c r="AY157" i="90"/>
  <c r="BA89" i="83"/>
  <c r="BA90" i="83" s="1"/>
  <c r="BB82" i="83"/>
  <c r="AZ108" i="83"/>
  <c r="AZ109" i="83" s="1"/>
  <c r="AZ110" i="83" s="1"/>
  <c r="AZ18" i="91" s="1"/>
  <c r="AZ14" i="90" s="1"/>
  <c r="BB22" i="91"/>
  <c r="BB118" i="83"/>
  <c r="BA83" i="83"/>
  <c r="BC47" i="83"/>
  <c r="BC116" i="83"/>
  <c r="BC36" i="83"/>
  <c r="BC100" i="83"/>
  <c r="BC102" i="83" s="1"/>
  <c r="BC104" i="83" s="1"/>
  <c r="BC37" i="83"/>
  <c r="BC39" i="83"/>
  <c r="BC45" i="83" s="1"/>
  <c r="BC117" i="83"/>
  <c r="BC23" i="91" s="1"/>
  <c r="BB44" i="83"/>
  <c r="BB51" i="83" s="1"/>
  <c r="BB55" i="83" s="1"/>
  <c r="BB71" i="93" s="1"/>
  <c r="BB41" i="83"/>
  <c r="BB107" i="83"/>
  <c r="AU79" i="91"/>
  <c r="AU80" i="91" s="1"/>
  <c r="AU82" i="91" s="1"/>
  <c r="BC86" i="83"/>
  <c r="BC93" i="83"/>
  <c r="BC94" i="83"/>
  <c r="BC78" i="83"/>
  <c r="AV66" i="91"/>
  <c r="AZ78" i="91"/>
  <c r="AZ70" i="91"/>
  <c r="AY162" i="90"/>
  <c r="AY173" i="90" s="1"/>
  <c r="AY174" i="90" s="1"/>
  <c r="AY175" i="90" s="1"/>
  <c r="AX169" i="90"/>
  <c r="AX170" i="90" s="1"/>
  <c r="BA64" i="83"/>
  <c r="BA65" i="83" s="1"/>
  <c r="BA149" i="90"/>
  <c r="BA153" i="90" s="1"/>
  <c r="BA62" i="91"/>
  <c r="AZ161" i="90"/>
  <c r="AZ160" i="90"/>
  <c r="AZ159" i="90"/>
  <c r="BA77" i="93"/>
  <c r="AV26" i="91"/>
  <c r="AW26" i="91"/>
  <c r="AW12" i="90"/>
  <c r="AX10" i="91"/>
  <c r="AX12" i="91" s="1"/>
  <c r="AX73" i="83"/>
  <c r="AX74" i="83" s="1"/>
  <c r="AX15" i="91" s="1"/>
  <c r="BB30" i="83"/>
  <c r="BB32" i="83" s="1"/>
  <c r="BB21" i="91" s="1"/>
  <c r="BC28" i="83"/>
  <c r="BC26" i="83"/>
  <c r="BC27" i="83"/>
  <c r="BC24" i="83"/>
  <c r="BC25" i="83"/>
  <c r="BC29" i="83"/>
  <c r="AY86" i="91"/>
  <c r="BC62" i="83"/>
  <c r="BC72" i="83"/>
  <c r="AZ68" i="83"/>
  <c r="AZ155" i="90" s="1"/>
  <c r="AW64" i="91"/>
  <c r="AW71" i="91" s="1"/>
  <c r="AW72" i="91" s="1"/>
  <c r="AW74" i="91" s="1"/>
  <c r="AY69" i="83"/>
  <c r="AZ24" i="91"/>
  <c r="AZ85" i="91" s="1"/>
  <c r="AV28" i="90"/>
  <c r="AV30" i="90" s="1"/>
  <c r="AU33" i="90"/>
  <c r="AU37" i="90" s="1"/>
  <c r="AY63" i="91"/>
  <c r="AY14" i="90"/>
  <c r="BA24" i="91"/>
  <c r="AY29" i="90"/>
  <c r="BB17" i="90"/>
  <c r="BB69" i="91" s="1"/>
  <c r="BA82" i="90"/>
  <c r="T88" i="90"/>
  <c r="U88" i="90" s="1"/>
  <c r="BE87" i="90"/>
  <c r="R86" i="90"/>
  <c r="BD8" i="90"/>
  <c r="BC38" i="90"/>
  <c r="M92" i="90"/>
  <c r="N92" i="90" s="1"/>
  <c r="T89" i="90"/>
  <c r="U89" i="90" s="1"/>
  <c r="V89" i="90" s="1"/>
  <c r="W89" i="90" s="1"/>
  <c r="X89" i="90" s="1"/>
  <c r="Y89" i="90" s="1"/>
  <c r="Z89" i="90" s="1"/>
  <c r="AA89" i="90" s="1"/>
  <c r="AB89" i="90" s="1"/>
  <c r="AC89" i="90" s="1"/>
  <c r="AD89" i="90" s="1"/>
  <c r="AE89" i="90" s="1"/>
  <c r="AF89" i="90" s="1"/>
  <c r="AG89" i="90" s="1"/>
  <c r="AH89" i="90" s="1"/>
  <c r="AI89" i="90" s="1"/>
  <c r="AJ89" i="90" s="1"/>
  <c r="AK89" i="90" s="1"/>
  <c r="AL89" i="90" s="1"/>
  <c r="AM89" i="90" s="1"/>
  <c r="AN89" i="90" s="1"/>
  <c r="AO89" i="90" s="1"/>
  <c r="AP89" i="90" s="1"/>
  <c r="AQ89" i="90" s="1"/>
  <c r="AR89" i="90" s="1"/>
  <c r="AS89" i="90" s="1"/>
  <c r="AT89" i="90" s="1"/>
  <c r="AU89" i="90" s="1"/>
  <c r="AV89" i="90" s="1"/>
  <c r="AW89" i="90" s="1"/>
  <c r="AX89" i="90" s="1"/>
  <c r="AY89" i="90" s="1"/>
  <c r="AZ89" i="90" s="1"/>
  <c r="BA89" i="90" s="1"/>
  <c r="BB89" i="90" s="1"/>
  <c r="BC89" i="90" s="1"/>
  <c r="BD89" i="90" s="1"/>
  <c r="BE89" i="90" s="1"/>
  <c r="C95" i="90"/>
  <c r="J94" i="90"/>
  <c r="BE85" i="90"/>
  <c r="BE79" i="90"/>
  <c r="BE80" i="90"/>
  <c r="BF45" i="90"/>
  <c r="K93" i="90"/>
  <c r="L93" i="90" s="1"/>
  <c r="BE84" i="90"/>
  <c r="BE81" i="90"/>
  <c r="Q91" i="90"/>
  <c r="R91" i="90" s="1"/>
  <c r="P90" i="90"/>
  <c r="BE78" i="90"/>
  <c r="BF78" i="90" s="1"/>
  <c r="BG78" i="90" s="1"/>
  <c r="BH78" i="90" s="1"/>
  <c r="BI78" i="90" s="1"/>
  <c r="BJ78" i="90" s="1"/>
  <c r="BK78" i="90" s="1"/>
  <c r="BL78" i="90" s="1"/>
  <c r="BM78" i="90" s="1"/>
  <c r="BN78" i="90" s="1"/>
  <c r="BO78" i="90" s="1"/>
  <c r="BP78" i="90" s="1"/>
  <c r="BQ78" i="90" s="1"/>
  <c r="BR78" i="90" s="1"/>
  <c r="BS78" i="90" s="1"/>
  <c r="BT78" i="90" s="1"/>
  <c r="BU78" i="90" s="1"/>
  <c r="BV78" i="90" s="1"/>
  <c r="BW78" i="90" s="1"/>
  <c r="BX78" i="90" s="1"/>
  <c r="BY78" i="90" s="1"/>
  <c r="BZ78" i="90" s="1"/>
  <c r="CA78" i="90" s="1"/>
  <c r="CB78" i="90" s="1"/>
  <c r="CC78" i="90" s="1"/>
  <c r="CD78" i="90" s="1"/>
  <c r="CE78" i="90" s="1"/>
  <c r="CF78" i="90" s="1"/>
  <c r="CG78" i="90" s="1"/>
  <c r="CH78" i="90" s="1"/>
  <c r="CI78" i="90" s="1"/>
  <c r="CJ78" i="90" s="1"/>
  <c r="CK78" i="90" s="1"/>
  <c r="CL78" i="90" s="1"/>
  <c r="CM78" i="90" s="1"/>
  <c r="CN78" i="90" s="1"/>
  <c r="CO78" i="90" s="1"/>
  <c r="CP78" i="90" s="1"/>
  <c r="CQ78" i="90" s="1"/>
  <c r="CR78" i="90" s="1"/>
  <c r="CS78" i="90" s="1"/>
  <c r="CT78" i="90" s="1"/>
  <c r="CU78" i="90" s="1"/>
  <c r="CV78" i="90" s="1"/>
  <c r="CW78" i="90" s="1"/>
  <c r="CX78" i="90" s="1"/>
  <c r="CY78" i="90" s="1"/>
  <c r="CZ78" i="90" s="1"/>
  <c r="DA78" i="90" s="1"/>
  <c r="DB78" i="90" s="1"/>
  <c r="DC78" i="90" s="1"/>
  <c r="DD78" i="90" s="1"/>
  <c r="DE78" i="90" s="1"/>
  <c r="DF78" i="90" s="1"/>
  <c r="DG78" i="90" s="1"/>
  <c r="DH78" i="90" s="1"/>
  <c r="DI78" i="90" s="1"/>
  <c r="DJ78" i="90" s="1"/>
  <c r="DK78" i="90" s="1"/>
  <c r="DL78" i="90" s="1"/>
  <c r="DM78" i="90" s="1"/>
  <c r="BC87" i="83"/>
  <c r="BG4" i="91"/>
  <c r="BF6" i="91"/>
  <c r="BF5" i="91"/>
  <c r="BE6" i="90"/>
  <c r="BE21" i="90" s="1"/>
  <c r="BE5" i="90"/>
  <c r="BF4" i="90"/>
  <c r="BF83" i="90" s="1"/>
  <c r="BC48" i="83"/>
  <c r="BE4" i="83"/>
  <c r="BD6" i="83"/>
  <c r="BD80" i="83" s="1"/>
  <c r="BD5" i="83"/>
  <c r="BB89" i="83" l="1"/>
  <c r="BA108" i="83"/>
  <c r="BA109" i="83" s="1"/>
  <c r="BA110" i="83" s="1"/>
  <c r="BA18" i="91" s="1"/>
  <c r="BA14" i="90" s="1"/>
  <c r="AZ63" i="91"/>
  <c r="AZ157" i="90"/>
  <c r="BC82" i="83"/>
  <c r="BC83" i="83" s="1"/>
  <c r="BC107" i="83"/>
  <c r="BB83" i="83"/>
  <c r="BC44" i="83"/>
  <c r="BC51" i="83" s="1"/>
  <c r="BC55" i="83" s="1"/>
  <c r="BC41" i="83"/>
  <c r="BC118" i="83"/>
  <c r="BC22" i="91"/>
  <c r="BD47" i="83"/>
  <c r="BD116" i="83"/>
  <c r="BD36" i="83"/>
  <c r="BD37" i="83"/>
  <c r="BD100" i="83"/>
  <c r="BD102" i="83" s="1"/>
  <c r="BD104" i="83" s="1"/>
  <c r="BD39" i="83"/>
  <c r="BD45" i="83" s="1"/>
  <c r="BD117" i="83"/>
  <c r="BD23" i="91" s="1"/>
  <c r="BB96" i="83"/>
  <c r="BB97" i="83" s="1"/>
  <c r="AV79" i="91"/>
  <c r="AV80" i="91" s="1"/>
  <c r="AV82" i="91" s="1"/>
  <c r="BB90" i="83"/>
  <c r="BD86" i="83"/>
  <c r="BD93" i="83"/>
  <c r="BD94" i="83"/>
  <c r="BD78" i="83"/>
  <c r="AW66" i="91"/>
  <c r="BA70" i="91"/>
  <c r="BA78" i="91"/>
  <c r="AY169" i="90"/>
  <c r="AY170" i="90" s="1"/>
  <c r="AZ162" i="90"/>
  <c r="AZ169" i="90" s="1"/>
  <c r="AZ170" i="90" s="1"/>
  <c r="BB64" i="83"/>
  <c r="BB65" i="83" s="1"/>
  <c r="BB62" i="91"/>
  <c r="BB149" i="90"/>
  <c r="BB153" i="90" s="1"/>
  <c r="BA161" i="90"/>
  <c r="BA159" i="90"/>
  <c r="BA160" i="90"/>
  <c r="BB77" i="93"/>
  <c r="AX12" i="90"/>
  <c r="AY10" i="91"/>
  <c r="AY12" i="91" s="1"/>
  <c r="AY73" i="83"/>
  <c r="AY74" i="83" s="1"/>
  <c r="AY15" i="91" s="1"/>
  <c r="AX26" i="91"/>
  <c r="AX64" i="91"/>
  <c r="AX71" i="91" s="1"/>
  <c r="AX72" i="91" s="1"/>
  <c r="AX74" i="91" s="1"/>
  <c r="AX11" i="90"/>
  <c r="BC30" i="83"/>
  <c r="BC32" i="83" s="1"/>
  <c r="BC21" i="91" s="1"/>
  <c r="BD25" i="83"/>
  <c r="BD28" i="83"/>
  <c r="BD24" i="83"/>
  <c r="BD27" i="83"/>
  <c r="BD26" i="83"/>
  <c r="BD29" i="83"/>
  <c r="AZ86" i="91"/>
  <c r="BD62" i="83"/>
  <c r="BA68" i="83"/>
  <c r="BA155" i="90" s="1"/>
  <c r="BD72" i="83"/>
  <c r="AZ69" i="83"/>
  <c r="AZ25" i="90"/>
  <c r="AZ29" i="90" s="1"/>
  <c r="BF89" i="90"/>
  <c r="BA25" i="90"/>
  <c r="BA85" i="91"/>
  <c r="BB24" i="91"/>
  <c r="AW28" i="90"/>
  <c r="AW30" i="90" s="1"/>
  <c r="AV33" i="90"/>
  <c r="AV37" i="90" s="1"/>
  <c r="BC17" i="90"/>
  <c r="BC69" i="91" s="1"/>
  <c r="S86" i="90"/>
  <c r="T86" i="90" s="1"/>
  <c r="BB82" i="90"/>
  <c r="BC82" i="90" s="1"/>
  <c r="V88" i="90"/>
  <c r="W88" i="90" s="1"/>
  <c r="X88" i="90" s="1"/>
  <c r="Y88" i="90" s="1"/>
  <c r="Z88" i="90" s="1"/>
  <c r="AA88" i="90" s="1"/>
  <c r="AB88" i="90" s="1"/>
  <c r="AC88" i="90" s="1"/>
  <c r="AD88" i="90" s="1"/>
  <c r="AE88" i="90" s="1"/>
  <c r="AF88" i="90" s="1"/>
  <c r="AG88" i="90" s="1"/>
  <c r="AH88" i="90" s="1"/>
  <c r="AI88" i="90" s="1"/>
  <c r="AJ88" i="90" s="1"/>
  <c r="AK88" i="90" s="1"/>
  <c r="AL88" i="90" s="1"/>
  <c r="BE8" i="90"/>
  <c r="BD38" i="90"/>
  <c r="S91" i="90"/>
  <c r="BF84" i="90"/>
  <c r="BF87" i="90"/>
  <c r="O92" i="90"/>
  <c r="P92" i="90" s="1"/>
  <c r="Q90" i="90"/>
  <c r="R90" i="90" s="1"/>
  <c r="S90" i="90" s="1"/>
  <c r="T90" i="90" s="1"/>
  <c r="BF81" i="90"/>
  <c r="M93" i="90"/>
  <c r="BG45" i="90"/>
  <c r="BF79" i="90"/>
  <c r="BG79" i="90" s="1"/>
  <c r="BH79" i="90" s="1"/>
  <c r="BI79" i="90" s="1"/>
  <c r="BJ79" i="90" s="1"/>
  <c r="BK79" i="90" s="1"/>
  <c r="BL79" i="90" s="1"/>
  <c r="BM79" i="90" s="1"/>
  <c r="BN79" i="90" s="1"/>
  <c r="BO79" i="90" s="1"/>
  <c r="BP79" i="90" s="1"/>
  <c r="BQ79" i="90" s="1"/>
  <c r="BR79" i="90" s="1"/>
  <c r="BS79" i="90" s="1"/>
  <c r="BT79" i="90" s="1"/>
  <c r="BU79" i="90" s="1"/>
  <c r="BV79" i="90" s="1"/>
  <c r="BW79" i="90" s="1"/>
  <c r="BX79" i="90" s="1"/>
  <c r="BY79" i="90" s="1"/>
  <c r="BZ79" i="90" s="1"/>
  <c r="CA79" i="90" s="1"/>
  <c r="CB79" i="90" s="1"/>
  <c r="CC79" i="90" s="1"/>
  <c r="CD79" i="90" s="1"/>
  <c r="CE79" i="90" s="1"/>
  <c r="CF79" i="90" s="1"/>
  <c r="CG79" i="90" s="1"/>
  <c r="CH79" i="90" s="1"/>
  <c r="CI79" i="90" s="1"/>
  <c r="CJ79" i="90" s="1"/>
  <c r="CK79" i="90" s="1"/>
  <c r="CL79" i="90" s="1"/>
  <c r="CM79" i="90" s="1"/>
  <c r="CN79" i="90" s="1"/>
  <c r="CO79" i="90" s="1"/>
  <c r="CP79" i="90" s="1"/>
  <c r="CQ79" i="90" s="1"/>
  <c r="CR79" i="90" s="1"/>
  <c r="CS79" i="90" s="1"/>
  <c r="CT79" i="90" s="1"/>
  <c r="CU79" i="90" s="1"/>
  <c r="CV79" i="90" s="1"/>
  <c r="CW79" i="90" s="1"/>
  <c r="CX79" i="90" s="1"/>
  <c r="CY79" i="90" s="1"/>
  <c r="CZ79" i="90" s="1"/>
  <c r="DA79" i="90" s="1"/>
  <c r="DB79" i="90" s="1"/>
  <c r="DC79" i="90" s="1"/>
  <c r="DD79" i="90" s="1"/>
  <c r="DE79" i="90" s="1"/>
  <c r="DF79" i="90" s="1"/>
  <c r="DG79" i="90" s="1"/>
  <c r="DH79" i="90" s="1"/>
  <c r="DI79" i="90" s="1"/>
  <c r="DJ79" i="90" s="1"/>
  <c r="DK79" i="90" s="1"/>
  <c r="DL79" i="90" s="1"/>
  <c r="DM79" i="90" s="1"/>
  <c r="K94" i="90"/>
  <c r="C96" i="90"/>
  <c r="J95" i="90"/>
  <c r="BF80" i="90"/>
  <c r="BF85" i="90"/>
  <c r="BD87" i="83"/>
  <c r="BH4" i="91"/>
  <c r="BG6" i="91"/>
  <c r="BG5" i="91"/>
  <c r="BG4" i="90"/>
  <c r="BG83" i="90" s="1"/>
  <c r="BF6" i="90"/>
  <c r="BF21" i="90" s="1"/>
  <c r="BF5" i="90"/>
  <c r="BD48" i="83"/>
  <c r="BF4" i="83"/>
  <c r="BE5" i="83"/>
  <c r="BE6" i="83"/>
  <c r="BE80" i="83" s="1"/>
  <c r="BA157" i="90" l="1"/>
  <c r="BC89" i="83"/>
  <c r="BC90" i="83" s="1"/>
  <c r="BA63" i="91"/>
  <c r="BD82" i="83"/>
  <c r="BC96" i="83"/>
  <c r="BC97" i="83" s="1"/>
  <c r="BD107" i="83"/>
  <c r="BE47" i="83"/>
  <c r="BE116" i="83"/>
  <c r="BE37" i="83"/>
  <c r="BE100" i="83"/>
  <c r="BE102" i="83" s="1"/>
  <c r="BE104" i="83" s="1"/>
  <c r="BE117" i="83"/>
  <c r="BE23" i="91" s="1"/>
  <c r="BE39" i="83"/>
  <c r="BE45" i="83" s="1"/>
  <c r="BE36" i="83"/>
  <c r="BD44" i="83"/>
  <c r="BD51" i="83" s="1"/>
  <c r="BD55" i="83" s="1"/>
  <c r="BD41" i="83"/>
  <c r="BD22" i="91"/>
  <c r="BD118" i="83"/>
  <c r="BB108" i="83"/>
  <c r="BB109" i="83" s="1"/>
  <c r="BB110" i="83" s="1"/>
  <c r="BB18" i="91" s="1"/>
  <c r="BB14" i="90" s="1"/>
  <c r="BC71" i="93"/>
  <c r="BC77" i="93" s="1"/>
  <c r="AW79" i="91"/>
  <c r="AW80" i="91" s="1"/>
  <c r="AW82" i="91" s="1"/>
  <c r="BE86" i="83"/>
  <c r="BE93" i="83"/>
  <c r="BE94" i="83"/>
  <c r="BE78" i="83"/>
  <c r="AX66" i="91"/>
  <c r="BB78" i="91"/>
  <c r="BB70" i="91"/>
  <c r="AZ173" i="90"/>
  <c r="AZ174" i="90" s="1"/>
  <c r="AZ175" i="90" s="1"/>
  <c r="BA162" i="90"/>
  <c r="BB159" i="90"/>
  <c r="BB160" i="90"/>
  <c r="BB161" i="90"/>
  <c r="BC64" i="83"/>
  <c r="BC65" i="83" s="1"/>
  <c r="BC62" i="91"/>
  <c r="BC149" i="90"/>
  <c r="BC153" i="90" s="1"/>
  <c r="AZ10" i="91"/>
  <c r="AZ12" i="91" s="1"/>
  <c r="AZ73" i="83"/>
  <c r="AZ74" i="83" s="1"/>
  <c r="AZ15" i="91" s="1"/>
  <c r="AY12" i="90"/>
  <c r="BD30" i="83"/>
  <c r="BD32" i="83" s="1"/>
  <c r="BD21" i="91" s="1"/>
  <c r="BE25" i="83"/>
  <c r="BE28" i="83"/>
  <c r="BE24" i="83"/>
  <c r="BE29" i="83"/>
  <c r="BE26" i="83"/>
  <c r="BE27" i="83"/>
  <c r="BA86" i="91"/>
  <c r="BE62" i="83"/>
  <c r="AY11" i="90"/>
  <c r="AY26" i="91"/>
  <c r="BE72" i="83"/>
  <c r="BB68" i="83"/>
  <c r="BB155" i="90" s="1"/>
  <c r="BA69" i="83"/>
  <c r="AY64" i="91"/>
  <c r="AY71" i="91" s="1"/>
  <c r="AY72" i="91" s="1"/>
  <c r="AY74" i="91" s="1"/>
  <c r="BB25" i="90"/>
  <c r="BB85" i="91"/>
  <c r="AX28" i="90"/>
  <c r="AX30" i="90" s="1"/>
  <c r="AW33" i="90"/>
  <c r="AW37" i="90" s="1"/>
  <c r="BC24" i="91"/>
  <c r="BA29" i="90"/>
  <c r="BD17" i="90"/>
  <c r="BD69" i="91" s="1"/>
  <c r="U86" i="90"/>
  <c r="L94" i="90"/>
  <c r="M94" i="90" s="1"/>
  <c r="N94" i="90" s="1"/>
  <c r="AM88" i="90"/>
  <c r="AN88" i="90" s="1"/>
  <c r="AO88" i="90" s="1"/>
  <c r="AP88" i="90" s="1"/>
  <c r="AQ88" i="90" s="1"/>
  <c r="AR88" i="90" s="1"/>
  <c r="AS88" i="90" s="1"/>
  <c r="AT88" i="90" s="1"/>
  <c r="AU88" i="90" s="1"/>
  <c r="AV88" i="90" s="1"/>
  <c r="AW88" i="90" s="1"/>
  <c r="AX88" i="90" s="1"/>
  <c r="AY88" i="90" s="1"/>
  <c r="AZ88" i="90" s="1"/>
  <c r="BA88" i="90" s="1"/>
  <c r="BB88" i="90" s="1"/>
  <c r="BC88" i="90" s="1"/>
  <c r="BD88" i="90" s="1"/>
  <c r="BE88" i="90" s="1"/>
  <c r="BF88" i="90" s="1"/>
  <c r="BD82" i="90"/>
  <c r="BF8" i="90"/>
  <c r="BE38" i="90"/>
  <c r="BG80" i="90"/>
  <c r="BH80" i="90" s="1"/>
  <c r="BI80" i="90" s="1"/>
  <c r="BJ80" i="90" s="1"/>
  <c r="BK80" i="90" s="1"/>
  <c r="BL80" i="90" s="1"/>
  <c r="BM80" i="90" s="1"/>
  <c r="BN80" i="90" s="1"/>
  <c r="BO80" i="90" s="1"/>
  <c r="BP80" i="90" s="1"/>
  <c r="BQ80" i="90" s="1"/>
  <c r="BR80" i="90" s="1"/>
  <c r="BS80" i="90" s="1"/>
  <c r="BT80" i="90" s="1"/>
  <c r="BU80" i="90" s="1"/>
  <c r="BV80" i="90" s="1"/>
  <c r="BW80" i="90" s="1"/>
  <c r="BX80" i="90" s="1"/>
  <c r="BY80" i="90" s="1"/>
  <c r="BZ80" i="90" s="1"/>
  <c r="CA80" i="90" s="1"/>
  <c r="CB80" i="90" s="1"/>
  <c r="CC80" i="90" s="1"/>
  <c r="CD80" i="90" s="1"/>
  <c r="CE80" i="90" s="1"/>
  <c r="CF80" i="90" s="1"/>
  <c r="CG80" i="90" s="1"/>
  <c r="CH80" i="90" s="1"/>
  <c r="CI80" i="90" s="1"/>
  <c r="CJ80" i="90" s="1"/>
  <c r="CK80" i="90" s="1"/>
  <c r="CL80" i="90" s="1"/>
  <c r="CM80" i="90" s="1"/>
  <c r="CN80" i="90" s="1"/>
  <c r="CO80" i="90" s="1"/>
  <c r="CP80" i="90" s="1"/>
  <c r="CQ80" i="90" s="1"/>
  <c r="CR80" i="90" s="1"/>
  <c r="CS80" i="90" s="1"/>
  <c r="CT80" i="90" s="1"/>
  <c r="CU80" i="90" s="1"/>
  <c r="CV80" i="90" s="1"/>
  <c r="CW80" i="90" s="1"/>
  <c r="CX80" i="90" s="1"/>
  <c r="CY80" i="90" s="1"/>
  <c r="CZ80" i="90" s="1"/>
  <c r="DA80" i="90" s="1"/>
  <c r="DB80" i="90" s="1"/>
  <c r="DC80" i="90" s="1"/>
  <c r="DD80" i="90" s="1"/>
  <c r="DE80" i="90" s="1"/>
  <c r="DF80" i="90" s="1"/>
  <c r="DG80" i="90" s="1"/>
  <c r="DH80" i="90" s="1"/>
  <c r="DI80" i="90" s="1"/>
  <c r="DJ80" i="90" s="1"/>
  <c r="DK80" i="90" s="1"/>
  <c r="DL80" i="90" s="1"/>
  <c r="DM80" i="90" s="1"/>
  <c r="N93" i="90"/>
  <c r="O93" i="90" s="1"/>
  <c r="P93" i="90" s="1"/>
  <c r="T91" i="90"/>
  <c r="BG89" i="90"/>
  <c r="Q92" i="90"/>
  <c r="R92" i="90" s="1"/>
  <c r="K95" i="90"/>
  <c r="L95" i="90" s="1"/>
  <c r="BG85" i="90"/>
  <c r="C97" i="90"/>
  <c r="J96" i="90"/>
  <c r="BH45" i="90"/>
  <c r="BG81" i="90"/>
  <c r="U90" i="90"/>
  <c r="V90" i="90" s="1"/>
  <c r="W90" i="90" s="1"/>
  <c r="X90" i="90" s="1"/>
  <c r="Y90" i="90" s="1"/>
  <c r="Z90" i="90" s="1"/>
  <c r="AA90" i="90" s="1"/>
  <c r="AB90" i="90" s="1"/>
  <c r="AC90" i="90" s="1"/>
  <c r="AD90" i="90" s="1"/>
  <c r="AE90" i="90" s="1"/>
  <c r="AF90" i="90" s="1"/>
  <c r="AG90" i="90" s="1"/>
  <c r="AH90" i="90" s="1"/>
  <c r="AI90" i="90" s="1"/>
  <c r="AJ90" i="90" s="1"/>
  <c r="AK90" i="90" s="1"/>
  <c r="AL90" i="90" s="1"/>
  <c r="AM90" i="90" s="1"/>
  <c r="AN90" i="90" s="1"/>
  <c r="AO90" i="90" s="1"/>
  <c r="AP90" i="90" s="1"/>
  <c r="AQ90" i="90" s="1"/>
  <c r="AR90" i="90" s="1"/>
  <c r="AS90" i="90" s="1"/>
  <c r="AT90" i="90" s="1"/>
  <c r="AU90" i="90" s="1"/>
  <c r="AV90" i="90" s="1"/>
  <c r="AW90" i="90" s="1"/>
  <c r="AX90" i="90" s="1"/>
  <c r="AY90" i="90" s="1"/>
  <c r="AZ90" i="90" s="1"/>
  <c r="BA90" i="90" s="1"/>
  <c r="BB90" i="90" s="1"/>
  <c r="BC90" i="90" s="1"/>
  <c r="BD90" i="90" s="1"/>
  <c r="BE90" i="90" s="1"/>
  <c r="BF90" i="90" s="1"/>
  <c r="BG90" i="90" s="1"/>
  <c r="BG87" i="90"/>
  <c r="BG84" i="90"/>
  <c r="BE87" i="83"/>
  <c r="BI4" i="91"/>
  <c r="BH6" i="91"/>
  <c r="BH5" i="91"/>
  <c r="BH4" i="90"/>
  <c r="BH83" i="90" s="1"/>
  <c r="BG6" i="90"/>
  <c r="BG21" i="90" s="1"/>
  <c r="BG5" i="90"/>
  <c r="BE48" i="83"/>
  <c r="BG4" i="83"/>
  <c r="BF6" i="83"/>
  <c r="BF80" i="83" s="1"/>
  <c r="BF5" i="83"/>
  <c r="BC108" i="83" l="1"/>
  <c r="BC109" i="83" s="1"/>
  <c r="BC110" i="83" s="1"/>
  <c r="BC18" i="91" s="1"/>
  <c r="BB157" i="90"/>
  <c r="BB63" i="91"/>
  <c r="BE82" i="83"/>
  <c r="BD89" i="83"/>
  <c r="BD90" i="83" s="1"/>
  <c r="BD83" i="83"/>
  <c r="BE107" i="83"/>
  <c r="BE44" i="83"/>
  <c r="BE51" i="83" s="1"/>
  <c r="BE55" i="83" s="1"/>
  <c r="BE71" i="93" s="1"/>
  <c r="BE41" i="83"/>
  <c r="BE22" i="91"/>
  <c r="BE118" i="83"/>
  <c r="BF47" i="83"/>
  <c r="BF37" i="83"/>
  <c r="BF100" i="83"/>
  <c r="BF102" i="83" s="1"/>
  <c r="BF104" i="83" s="1"/>
  <c r="BF39" i="83"/>
  <c r="BF45" i="83" s="1"/>
  <c r="BF117" i="83"/>
  <c r="BF23" i="91" s="1"/>
  <c r="BF116" i="83"/>
  <c r="BF36" i="83"/>
  <c r="BD96" i="83"/>
  <c r="BD97" i="83" s="1"/>
  <c r="BD71" i="93"/>
  <c r="BD77" i="93" s="1"/>
  <c r="AX79" i="91"/>
  <c r="AX80" i="91" s="1"/>
  <c r="AX82" i="91" s="1"/>
  <c r="BF86" i="83"/>
  <c r="BF93" i="83"/>
  <c r="BF94" i="83"/>
  <c r="BF78" i="83"/>
  <c r="AY66" i="91"/>
  <c r="BC78" i="91"/>
  <c r="BC70" i="91"/>
  <c r="BD64" i="83"/>
  <c r="BD65" i="83" s="1"/>
  <c r="BD62" i="91"/>
  <c r="BD149" i="90"/>
  <c r="BD153" i="90" s="1"/>
  <c r="BB162" i="90"/>
  <c r="BC161" i="90"/>
  <c r="BC159" i="90"/>
  <c r="BC160" i="90"/>
  <c r="BA169" i="90"/>
  <c r="BA170" i="90" s="1"/>
  <c r="BA173" i="90"/>
  <c r="BA174" i="90" s="1"/>
  <c r="BA175" i="90" s="1"/>
  <c r="AZ26" i="91"/>
  <c r="AZ12" i="90"/>
  <c r="BA10" i="91"/>
  <c r="BA12" i="91" s="1"/>
  <c r="BA11" i="90" s="1"/>
  <c r="BA73" i="83"/>
  <c r="BA74" i="83" s="1"/>
  <c r="BA15" i="91" s="1"/>
  <c r="BC68" i="83"/>
  <c r="BC155" i="90" s="1"/>
  <c r="BE30" i="83"/>
  <c r="BE32" i="83" s="1"/>
  <c r="BE21" i="91" s="1"/>
  <c r="BF27" i="83"/>
  <c r="BF25" i="83"/>
  <c r="BF26" i="83"/>
  <c r="BF29" i="83"/>
  <c r="BF24" i="83"/>
  <c r="BF28" i="83"/>
  <c r="BB86" i="91"/>
  <c r="BF62" i="83"/>
  <c r="BB69" i="83"/>
  <c r="BF72" i="83"/>
  <c r="AZ11" i="90"/>
  <c r="AZ64" i="91"/>
  <c r="AZ71" i="91" s="1"/>
  <c r="AZ72" i="91" s="1"/>
  <c r="AZ74" i="91" s="1"/>
  <c r="BH90" i="90"/>
  <c r="BC25" i="90"/>
  <c r="BC85" i="91"/>
  <c r="AY28" i="90"/>
  <c r="AY30" i="90" s="1"/>
  <c r="AX33" i="90"/>
  <c r="AX37" i="90" s="1"/>
  <c r="BB29" i="90"/>
  <c r="BE17" i="90"/>
  <c r="BE69" i="91" s="1"/>
  <c r="V86" i="90"/>
  <c r="W86" i="90" s="1"/>
  <c r="BG88" i="90"/>
  <c r="BH88" i="90" s="1"/>
  <c r="BH85" i="90"/>
  <c r="BH89" i="90"/>
  <c r="BE82" i="90"/>
  <c r="BF82" i="90" s="1"/>
  <c r="O94" i="90"/>
  <c r="M95" i="90"/>
  <c r="N95" i="90" s="1"/>
  <c r="BG8" i="90"/>
  <c r="BF38" i="90"/>
  <c r="BH81" i="90"/>
  <c r="BI81" i="90" s="1"/>
  <c r="BJ81" i="90" s="1"/>
  <c r="BK81" i="90" s="1"/>
  <c r="BL81" i="90" s="1"/>
  <c r="BM81" i="90" s="1"/>
  <c r="BN81" i="90" s="1"/>
  <c r="BO81" i="90" s="1"/>
  <c r="BP81" i="90" s="1"/>
  <c r="BQ81" i="90" s="1"/>
  <c r="BR81" i="90" s="1"/>
  <c r="BS81" i="90" s="1"/>
  <c r="BT81" i="90" s="1"/>
  <c r="BU81" i="90" s="1"/>
  <c r="BV81" i="90" s="1"/>
  <c r="BW81" i="90" s="1"/>
  <c r="BX81" i="90" s="1"/>
  <c r="BY81" i="90" s="1"/>
  <c r="BZ81" i="90" s="1"/>
  <c r="CA81" i="90" s="1"/>
  <c r="CB81" i="90" s="1"/>
  <c r="CC81" i="90" s="1"/>
  <c r="CD81" i="90" s="1"/>
  <c r="CE81" i="90" s="1"/>
  <c r="CF81" i="90" s="1"/>
  <c r="CG81" i="90" s="1"/>
  <c r="CH81" i="90" s="1"/>
  <c r="CI81" i="90" s="1"/>
  <c r="CJ81" i="90" s="1"/>
  <c r="CK81" i="90" s="1"/>
  <c r="CL81" i="90" s="1"/>
  <c r="CM81" i="90" s="1"/>
  <c r="CN81" i="90" s="1"/>
  <c r="CO81" i="90" s="1"/>
  <c r="CP81" i="90" s="1"/>
  <c r="CQ81" i="90" s="1"/>
  <c r="CR81" i="90" s="1"/>
  <c r="CS81" i="90" s="1"/>
  <c r="CT81" i="90" s="1"/>
  <c r="CU81" i="90" s="1"/>
  <c r="CV81" i="90" s="1"/>
  <c r="CW81" i="90" s="1"/>
  <c r="CX81" i="90" s="1"/>
  <c r="CY81" i="90" s="1"/>
  <c r="CZ81" i="90" s="1"/>
  <c r="DA81" i="90" s="1"/>
  <c r="DB81" i="90" s="1"/>
  <c r="DC81" i="90" s="1"/>
  <c r="DD81" i="90" s="1"/>
  <c r="DE81" i="90" s="1"/>
  <c r="DF81" i="90" s="1"/>
  <c r="DG81" i="90" s="1"/>
  <c r="DH81" i="90" s="1"/>
  <c r="DI81" i="90" s="1"/>
  <c r="DJ81" i="90" s="1"/>
  <c r="DK81" i="90" s="1"/>
  <c r="DL81" i="90" s="1"/>
  <c r="DM81" i="90" s="1"/>
  <c r="S92" i="90"/>
  <c r="T92" i="90" s="1"/>
  <c r="K96" i="90"/>
  <c r="L96" i="90" s="1"/>
  <c r="Q93" i="90"/>
  <c r="BH84" i="90"/>
  <c r="BH87" i="90"/>
  <c r="BI45" i="90"/>
  <c r="C98" i="90"/>
  <c r="J97" i="90"/>
  <c r="U91" i="90"/>
  <c r="BF87" i="83"/>
  <c r="BI6" i="91"/>
  <c r="BI5" i="91"/>
  <c r="BJ4" i="91"/>
  <c r="BH6" i="90"/>
  <c r="BH21" i="90" s="1"/>
  <c r="BH5" i="90"/>
  <c r="BI4" i="90"/>
  <c r="BF48" i="83"/>
  <c r="BH4" i="83"/>
  <c r="BG6" i="83"/>
  <c r="BG80" i="83" s="1"/>
  <c r="BG5" i="83"/>
  <c r="BC157" i="90" l="1"/>
  <c r="BE89" i="83"/>
  <c r="BF82" i="83"/>
  <c r="BD108" i="83"/>
  <c r="BD109" i="83" s="1"/>
  <c r="BD110" i="83" s="1"/>
  <c r="BD18" i="91" s="1"/>
  <c r="BD63" i="91" s="1"/>
  <c r="BF44" i="83"/>
  <c r="BF51" i="83" s="1"/>
  <c r="BF55" i="83" s="1"/>
  <c r="BF71" i="93" s="1"/>
  <c r="BF41" i="83"/>
  <c r="BG47" i="83"/>
  <c r="BG37" i="83"/>
  <c r="BG100" i="83"/>
  <c r="BG102" i="83" s="1"/>
  <c r="BG104" i="83" s="1"/>
  <c r="BG39" i="83"/>
  <c r="BG45" i="83" s="1"/>
  <c r="BG117" i="83"/>
  <c r="BG23" i="91" s="1"/>
  <c r="BG116" i="83"/>
  <c r="BG36" i="83"/>
  <c r="BF118" i="83"/>
  <c r="BF22" i="91"/>
  <c r="BE96" i="83"/>
  <c r="BE97" i="83" s="1"/>
  <c r="BE83" i="83"/>
  <c r="BF107" i="83"/>
  <c r="AY79" i="91"/>
  <c r="AY80" i="91" s="1"/>
  <c r="AY82" i="91" s="1"/>
  <c r="BE90" i="83"/>
  <c r="BG86" i="83"/>
  <c r="BG93" i="83"/>
  <c r="BG94" i="83"/>
  <c r="BG78" i="83"/>
  <c r="AZ66" i="91"/>
  <c r="BD70" i="91"/>
  <c r="BD78" i="91"/>
  <c r="BC162" i="90"/>
  <c r="BB169" i="90"/>
  <c r="BB170" i="90" s="1"/>
  <c r="BB173" i="90"/>
  <c r="BB174" i="90" s="1"/>
  <c r="BB175" i="90" s="1"/>
  <c r="BD159" i="90"/>
  <c r="BD161" i="90"/>
  <c r="BD160" i="90"/>
  <c r="BE64" i="83"/>
  <c r="BE65" i="83" s="1"/>
  <c r="BE62" i="91"/>
  <c r="BE149" i="90"/>
  <c r="BE153" i="90" s="1"/>
  <c r="BE77" i="93"/>
  <c r="BI89" i="90"/>
  <c r="BA26" i="91"/>
  <c r="BA12" i="90"/>
  <c r="BB10" i="91"/>
  <c r="BB73" i="83"/>
  <c r="BB74" i="83" s="1"/>
  <c r="BB15" i="91" s="1"/>
  <c r="BA64" i="91"/>
  <c r="BA71" i="91" s="1"/>
  <c r="BA72" i="91" s="1"/>
  <c r="BA74" i="91" s="1"/>
  <c r="BF30" i="83"/>
  <c r="BF32" i="83" s="1"/>
  <c r="BF21" i="91" s="1"/>
  <c r="BG24" i="83"/>
  <c r="BG27" i="83"/>
  <c r="BG25" i="83"/>
  <c r="BG26" i="83"/>
  <c r="BG29" i="83"/>
  <c r="BG28" i="83"/>
  <c r="BC86" i="91"/>
  <c r="BG62" i="83"/>
  <c r="BG72" i="83"/>
  <c r="BD68" i="83"/>
  <c r="BD155" i="90" s="1"/>
  <c r="BC69" i="83"/>
  <c r="U92" i="90"/>
  <c r="V92" i="90" s="1"/>
  <c r="W92" i="90" s="1"/>
  <c r="X92" i="90" s="1"/>
  <c r="Y92" i="90" s="1"/>
  <c r="Z92" i="90" s="1"/>
  <c r="AA92" i="90" s="1"/>
  <c r="AB92" i="90" s="1"/>
  <c r="AC92" i="90" s="1"/>
  <c r="AD92" i="90" s="1"/>
  <c r="AE92" i="90" s="1"/>
  <c r="AF92" i="90" s="1"/>
  <c r="AG92" i="90" s="1"/>
  <c r="AH92" i="90" s="1"/>
  <c r="AI92" i="90" s="1"/>
  <c r="AJ92" i="90" s="1"/>
  <c r="AK92" i="90" s="1"/>
  <c r="AL92" i="90" s="1"/>
  <c r="AM92" i="90" s="1"/>
  <c r="AN92" i="90" s="1"/>
  <c r="AO92" i="90" s="1"/>
  <c r="AP92" i="90" s="1"/>
  <c r="AQ92" i="90" s="1"/>
  <c r="AR92" i="90" s="1"/>
  <c r="AS92" i="90" s="1"/>
  <c r="AT92" i="90" s="1"/>
  <c r="AU92" i="90" s="1"/>
  <c r="AV92" i="90" s="1"/>
  <c r="AW92" i="90" s="1"/>
  <c r="AX92" i="90" s="1"/>
  <c r="AY92" i="90" s="1"/>
  <c r="AZ92" i="90" s="1"/>
  <c r="BA92" i="90" s="1"/>
  <c r="BB92" i="90" s="1"/>
  <c r="BC92" i="90" s="1"/>
  <c r="BD92" i="90" s="1"/>
  <c r="BE92" i="90" s="1"/>
  <c r="BF92" i="90" s="1"/>
  <c r="BG92" i="90" s="1"/>
  <c r="BH92" i="90" s="1"/>
  <c r="M96" i="90"/>
  <c r="N96" i="90" s="1"/>
  <c r="BD24" i="91"/>
  <c r="BC63" i="91"/>
  <c r="BC14" i="90"/>
  <c r="AZ28" i="90"/>
  <c r="AZ30" i="90" s="1"/>
  <c r="AY33" i="90"/>
  <c r="AY37" i="90" s="1"/>
  <c r="BC29" i="90"/>
  <c r="BF17" i="90"/>
  <c r="BF69" i="91" s="1"/>
  <c r="X86" i="90"/>
  <c r="Y86" i="90" s="1"/>
  <c r="Z86" i="90" s="1"/>
  <c r="AA86" i="90" s="1"/>
  <c r="AB86" i="90" s="1"/>
  <c r="AC86" i="90" s="1"/>
  <c r="AD86" i="90" s="1"/>
  <c r="AE86" i="90" s="1"/>
  <c r="AF86" i="90" s="1"/>
  <c r="AG86" i="90" s="1"/>
  <c r="AH86" i="90" s="1"/>
  <c r="AI86" i="90" s="1"/>
  <c r="AJ86" i="90" s="1"/>
  <c r="AK86" i="90" s="1"/>
  <c r="AL86" i="90" s="1"/>
  <c r="AM86" i="90" s="1"/>
  <c r="AN86" i="90" s="1"/>
  <c r="AO86" i="90" s="1"/>
  <c r="AP86" i="90" s="1"/>
  <c r="AQ86" i="90" s="1"/>
  <c r="AR86" i="90" s="1"/>
  <c r="AS86" i="90" s="1"/>
  <c r="AT86" i="90" s="1"/>
  <c r="AU86" i="90" s="1"/>
  <c r="AV86" i="90" s="1"/>
  <c r="AW86" i="90" s="1"/>
  <c r="AX86" i="90" s="1"/>
  <c r="AY86" i="90" s="1"/>
  <c r="AZ86" i="90" s="1"/>
  <c r="BA86" i="90" s="1"/>
  <c r="BB86" i="90" s="1"/>
  <c r="P94" i="90"/>
  <c r="Q94" i="90" s="1"/>
  <c r="R94" i="90" s="1"/>
  <c r="BG82" i="90"/>
  <c r="BH82" i="90" s="1"/>
  <c r="O95" i="90"/>
  <c r="BH8" i="90"/>
  <c r="BG38" i="90"/>
  <c r="BI83" i="90"/>
  <c r="V91" i="90"/>
  <c r="W91" i="90" s="1"/>
  <c r="X91" i="90" s="1"/>
  <c r="Y91" i="90" s="1"/>
  <c r="Z91" i="90" s="1"/>
  <c r="AA91" i="90" s="1"/>
  <c r="AB91" i="90" s="1"/>
  <c r="AC91" i="90" s="1"/>
  <c r="AD91" i="90" s="1"/>
  <c r="AE91" i="90" s="1"/>
  <c r="AF91" i="90" s="1"/>
  <c r="AG91" i="90" s="1"/>
  <c r="AH91" i="90" s="1"/>
  <c r="AI91" i="90" s="1"/>
  <c r="AJ91" i="90" s="1"/>
  <c r="AK91" i="90" s="1"/>
  <c r="AL91" i="90" s="1"/>
  <c r="AM91" i="90" s="1"/>
  <c r="AN91" i="90" s="1"/>
  <c r="AO91" i="90" s="1"/>
  <c r="AP91" i="90" s="1"/>
  <c r="AQ91" i="90" s="1"/>
  <c r="AR91" i="90" s="1"/>
  <c r="AS91" i="90" s="1"/>
  <c r="AT91" i="90" s="1"/>
  <c r="AU91" i="90" s="1"/>
  <c r="AV91" i="90" s="1"/>
  <c r="AW91" i="90" s="1"/>
  <c r="AX91" i="90" s="1"/>
  <c r="AY91" i="90" s="1"/>
  <c r="AZ91" i="90" s="1"/>
  <c r="BA91" i="90" s="1"/>
  <c r="BB91" i="90" s="1"/>
  <c r="BC91" i="90" s="1"/>
  <c r="BD91" i="90" s="1"/>
  <c r="BE91" i="90" s="1"/>
  <c r="BF91" i="90" s="1"/>
  <c r="BG91" i="90" s="1"/>
  <c r="BH91" i="90" s="1"/>
  <c r="BI91" i="90" s="1"/>
  <c r="K97" i="90"/>
  <c r="L97" i="90" s="1"/>
  <c r="M97" i="90" s="1"/>
  <c r="BJ45" i="90"/>
  <c r="BI85" i="90"/>
  <c r="BI90" i="90"/>
  <c r="BI87" i="90"/>
  <c r="C99" i="90"/>
  <c r="J98" i="90"/>
  <c r="BI84" i="90"/>
  <c r="BI88" i="90"/>
  <c r="R93" i="90"/>
  <c r="BG87" i="83"/>
  <c r="BK4" i="91"/>
  <c r="BJ6" i="91"/>
  <c r="BJ5" i="91"/>
  <c r="BJ4" i="90"/>
  <c r="BI6" i="90"/>
  <c r="BI21" i="90" s="1"/>
  <c r="BI5" i="90"/>
  <c r="BG48" i="83"/>
  <c r="BI4" i="83"/>
  <c r="BH6" i="83"/>
  <c r="BH80" i="83" s="1"/>
  <c r="BH5" i="83"/>
  <c r="BD14" i="90" l="1"/>
  <c r="BG82" i="83"/>
  <c r="BD157" i="90"/>
  <c r="BF83" i="83"/>
  <c r="BF89" i="83"/>
  <c r="BF90" i="83" s="1"/>
  <c r="BE108" i="83"/>
  <c r="BE109" i="83" s="1"/>
  <c r="BE110" i="83" s="1"/>
  <c r="BE18" i="91" s="1"/>
  <c r="BG118" i="83"/>
  <c r="BG22" i="91"/>
  <c r="BG44" i="83"/>
  <c r="BG51" i="83" s="1"/>
  <c r="BG55" i="83" s="1"/>
  <c r="BG41" i="83"/>
  <c r="BF96" i="83"/>
  <c r="BF97" i="83" s="1"/>
  <c r="BH47" i="83"/>
  <c r="BH100" i="83"/>
  <c r="BH102" i="83" s="1"/>
  <c r="BH104" i="83" s="1"/>
  <c r="BH39" i="83"/>
  <c r="BH45" i="83" s="1"/>
  <c r="BH117" i="83"/>
  <c r="BH23" i="91" s="1"/>
  <c r="BH116" i="83"/>
  <c r="BH36" i="83"/>
  <c r="BH37" i="83"/>
  <c r="AZ79" i="91"/>
  <c r="AZ80" i="91" s="1"/>
  <c r="AZ82" i="91" s="1"/>
  <c r="BG107" i="83"/>
  <c r="BH86" i="83"/>
  <c r="BH93" i="83"/>
  <c r="BH94" i="83"/>
  <c r="BH78" i="83"/>
  <c r="BA66" i="91"/>
  <c r="BE78" i="91"/>
  <c r="BE70" i="91"/>
  <c r="BB12" i="90"/>
  <c r="BE160" i="90"/>
  <c r="BE159" i="90"/>
  <c r="BE161" i="90"/>
  <c r="BD162" i="90"/>
  <c r="BF64" i="83"/>
  <c r="BF65" i="83" s="1"/>
  <c r="BF149" i="90"/>
  <c r="BF153" i="90" s="1"/>
  <c r="BF62" i="91"/>
  <c r="BF77" i="93"/>
  <c r="BC173" i="90"/>
  <c r="BC174" i="90" s="1"/>
  <c r="BC175" i="90" s="1"/>
  <c r="BC169" i="90"/>
  <c r="BC170" i="90" s="1"/>
  <c r="BC10" i="91"/>
  <c r="BC12" i="91" s="1"/>
  <c r="BC73" i="83"/>
  <c r="BC74" i="83" s="1"/>
  <c r="BC15" i="91" s="1"/>
  <c r="BB12" i="91"/>
  <c r="BB26" i="91" s="1"/>
  <c r="BB64" i="91"/>
  <c r="BB71" i="91" s="1"/>
  <c r="BB72" i="91" s="1"/>
  <c r="BB74" i="91" s="1"/>
  <c r="BE68" i="83"/>
  <c r="BE155" i="90" s="1"/>
  <c r="BH29" i="83"/>
  <c r="BH24" i="83"/>
  <c r="BH27" i="83"/>
  <c r="BH26" i="83"/>
  <c r="BH28" i="83"/>
  <c r="BH25" i="83"/>
  <c r="BG30" i="83"/>
  <c r="BG32" i="83" s="1"/>
  <c r="BG21" i="91" s="1"/>
  <c r="BH62" i="83"/>
  <c r="BH72" i="83"/>
  <c r="BD69" i="83"/>
  <c r="BI92" i="90"/>
  <c r="BJ92" i="90" s="1"/>
  <c r="O96" i="90"/>
  <c r="P96" i="90" s="1"/>
  <c r="Q96" i="90" s="1"/>
  <c r="R96" i="90" s="1"/>
  <c r="S96" i="90" s="1"/>
  <c r="T96" i="90" s="1"/>
  <c r="U96" i="90" s="1"/>
  <c r="BE24" i="91"/>
  <c r="BE85" i="91" s="1"/>
  <c r="BJ91" i="90"/>
  <c r="BI82" i="90"/>
  <c r="BJ82" i="90" s="1"/>
  <c r="BK82" i="90" s="1"/>
  <c r="BL82" i="90" s="1"/>
  <c r="BM82" i="90" s="1"/>
  <c r="BN82" i="90" s="1"/>
  <c r="BO82" i="90" s="1"/>
  <c r="BP82" i="90" s="1"/>
  <c r="BQ82" i="90" s="1"/>
  <c r="BR82" i="90" s="1"/>
  <c r="BS82" i="90" s="1"/>
  <c r="BT82" i="90" s="1"/>
  <c r="BU82" i="90" s="1"/>
  <c r="BV82" i="90" s="1"/>
  <c r="BW82" i="90" s="1"/>
  <c r="BX82" i="90" s="1"/>
  <c r="BY82" i="90" s="1"/>
  <c r="BZ82" i="90" s="1"/>
  <c r="CA82" i="90" s="1"/>
  <c r="CB82" i="90" s="1"/>
  <c r="CC82" i="90" s="1"/>
  <c r="CD82" i="90" s="1"/>
  <c r="CE82" i="90" s="1"/>
  <c r="CF82" i="90" s="1"/>
  <c r="CG82" i="90" s="1"/>
  <c r="CH82" i="90" s="1"/>
  <c r="CI82" i="90" s="1"/>
  <c r="CJ82" i="90" s="1"/>
  <c r="CK82" i="90" s="1"/>
  <c r="CL82" i="90" s="1"/>
  <c r="CM82" i="90" s="1"/>
  <c r="CN82" i="90" s="1"/>
  <c r="CO82" i="90" s="1"/>
  <c r="CP82" i="90" s="1"/>
  <c r="CQ82" i="90" s="1"/>
  <c r="CR82" i="90" s="1"/>
  <c r="CS82" i="90" s="1"/>
  <c r="CT82" i="90" s="1"/>
  <c r="CU82" i="90" s="1"/>
  <c r="CV82" i="90" s="1"/>
  <c r="CW82" i="90" s="1"/>
  <c r="CX82" i="90" s="1"/>
  <c r="CY82" i="90" s="1"/>
  <c r="CZ82" i="90" s="1"/>
  <c r="DA82" i="90" s="1"/>
  <c r="DB82" i="90" s="1"/>
  <c r="DC82" i="90" s="1"/>
  <c r="DD82" i="90" s="1"/>
  <c r="DE82" i="90" s="1"/>
  <c r="DF82" i="90" s="1"/>
  <c r="DG82" i="90" s="1"/>
  <c r="DH82" i="90" s="1"/>
  <c r="DI82" i="90" s="1"/>
  <c r="DJ82" i="90" s="1"/>
  <c r="DK82" i="90" s="1"/>
  <c r="DL82" i="90" s="1"/>
  <c r="DM82" i="90" s="1"/>
  <c r="BD25" i="90"/>
  <c r="BD85" i="91"/>
  <c r="BD86" i="91" s="1"/>
  <c r="BA28" i="90"/>
  <c r="BA30" i="90" s="1"/>
  <c r="AZ33" i="90"/>
  <c r="AZ37" i="90" s="1"/>
  <c r="BG17" i="90"/>
  <c r="BG69" i="91" s="1"/>
  <c r="BC86" i="90"/>
  <c r="BD86" i="90" s="1"/>
  <c r="BE86" i="90" s="1"/>
  <c r="S94" i="90"/>
  <c r="T94" i="90" s="1"/>
  <c r="P95" i="90"/>
  <c r="Q95" i="90" s="1"/>
  <c r="R95" i="90" s="1"/>
  <c r="S95" i="90" s="1"/>
  <c r="BI8" i="90"/>
  <c r="BH38" i="90"/>
  <c r="N97" i="90"/>
  <c r="O97" i="90" s="1"/>
  <c r="S93" i="90"/>
  <c r="T93" i="90" s="1"/>
  <c r="U93" i="90" s="1"/>
  <c r="V93" i="90" s="1"/>
  <c r="K98" i="90"/>
  <c r="L98" i="90" s="1"/>
  <c r="M98" i="90" s="1"/>
  <c r="N98" i="90" s="1"/>
  <c r="C100" i="90"/>
  <c r="J99" i="90"/>
  <c r="BJ87" i="90"/>
  <c r="BJ84" i="90"/>
  <c r="BJ89" i="90"/>
  <c r="BJ88" i="90"/>
  <c r="BJ90" i="90"/>
  <c r="BK45" i="90"/>
  <c r="BJ85" i="90"/>
  <c r="BJ83" i="90"/>
  <c r="BK83" i="90" s="1"/>
  <c r="BL83" i="90" s="1"/>
  <c r="BM83" i="90" s="1"/>
  <c r="BN83" i="90" s="1"/>
  <c r="BO83" i="90" s="1"/>
  <c r="BP83" i="90" s="1"/>
  <c r="BQ83" i="90" s="1"/>
  <c r="BR83" i="90" s="1"/>
  <c r="BS83" i="90" s="1"/>
  <c r="BT83" i="90" s="1"/>
  <c r="BU83" i="90" s="1"/>
  <c r="BV83" i="90" s="1"/>
  <c r="BW83" i="90" s="1"/>
  <c r="BX83" i="90" s="1"/>
  <c r="BY83" i="90" s="1"/>
  <c r="BZ83" i="90" s="1"/>
  <c r="CA83" i="90" s="1"/>
  <c r="CB83" i="90" s="1"/>
  <c r="CC83" i="90" s="1"/>
  <c r="CD83" i="90" s="1"/>
  <c r="CE83" i="90" s="1"/>
  <c r="CF83" i="90" s="1"/>
  <c r="CG83" i="90" s="1"/>
  <c r="CH83" i="90" s="1"/>
  <c r="CI83" i="90" s="1"/>
  <c r="CJ83" i="90" s="1"/>
  <c r="CK83" i="90" s="1"/>
  <c r="CL83" i="90" s="1"/>
  <c r="CM83" i="90" s="1"/>
  <c r="CN83" i="90" s="1"/>
  <c r="CO83" i="90" s="1"/>
  <c r="CP83" i="90" s="1"/>
  <c r="CQ83" i="90" s="1"/>
  <c r="CR83" i="90" s="1"/>
  <c r="CS83" i="90" s="1"/>
  <c r="CT83" i="90" s="1"/>
  <c r="CU83" i="90" s="1"/>
  <c r="CV83" i="90" s="1"/>
  <c r="CW83" i="90" s="1"/>
  <c r="CX83" i="90" s="1"/>
  <c r="CY83" i="90" s="1"/>
  <c r="CZ83" i="90" s="1"/>
  <c r="DA83" i="90" s="1"/>
  <c r="DB83" i="90" s="1"/>
  <c r="DC83" i="90" s="1"/>
  <c r="DD83" i="90" s="1"/>
  <c r="DE83" i="90" s="1"/>
  <c r="DF83" i="90" s="1"/>
  <c r="DG83" i="90" s="1"/>
  <c r="DH83" i="90" s="1"/>
  <c r="DI83" i="90" s="1"/>
  <c r="DJ83" i="90" s="1"/>
  <c r="DK83" i="90" s="1"/>
  <c r="DL83" i="90" s="1"/>
  <c r="DM83" i="90" s="1"/>
  <c r="BH87" i="83"/>
  <c r="BL4" i="91"/>
  <c r="BK6" i="91"/>
  <c r="BK5" i="91"/>
  <c r="BK4" i="90"/>
  <c r="BJ6" i="90"/>
  <c r="BJ21" i="90" s="1"/>
  <c r="BJ5" i="90"/>
  <c r="BJ4" i="83"/>
  <c r="BI5" i="83"/>
  <c r="BI6" i="83"/>
  <c r="BI80" i="83" s="1"/>
  <c r="BH48" i="83"/>
  <c r="BH82" i="83" l="1"/>
  <c r="BH83" i="83" s="1"/>
  <c r="BE157" i="90"/>
  <c r="BF108" i="83"/>
  <c r="BF109" i="83" s="1"/>
  <c r="BF110" i="83" s="1"/>
  <c r="BF18" i="91" s="1"/>
  <c r="BF14" i="90" s="1"/>
  <c r="BH118" i="83"/>
  <c r="BH22" i="91"/>
  <c r="BG83" i="83"/>
  <c r="BG96" i="83"/>
  <c r="BG97" i="83" s="1"/>
  <c r="BI47" i="83"/>
  <c r="BI100" i="83"/>
  <c r="BI102" i="83" s="1"/>
  <c r="BI104" i="83" s="1"/>
  <c r="BI39" i="83"/>
  <c r="BI45" i="83" s="1"/>
  <c r="BI117" i="83"/>
  <c r="BI23" i="91" s="1"/>
  <c r="BI116" i="83"/>
  <c r="BI36" i="83"/>
  <c r="BI37" i="83"/>
  <c r="BH44" i="83"/>
  <c r="BH51" i="83" s="1"/>
  <c r="BH55" i="83" s="1"/>
  <c r="BH71" i="93" s="1"/>
  <c r="BH41" i="83"/>
  <c r="BG89" i="83"/>
  <c r="BG90" i="83" s="1"/>
  <c r="BH107" i="83"/>
  <c r="BG71" i="93"/>
  <c r="BG77" i="93" s="1"/>
  <c r="BA79" i="91"/>
  <c r="BA80" i="91" s="1"/>
  <c r="BA82" i="91" s="1"/>
  <c r="BI86" i="83"/>
  <c r="BI93" i="83"/>
  <c r="BI94" i="83"/>
  <c r="BI78" i="83"/>
  <c r="BB66" i="91"/>
  <c r="BF70" i="91"/>
  <c r="BF78" i="91"/>
  <c r="BC12" i="90"/>
  <c r="BE162" i="90"/>
  <c r="BE173" i="90" s="1"/>
  <c r="BE174" i="90" s="1"/>
  <c r="BE175" i="90" s="1"/>
  <c r="BF161" i="90"/>
  <c r="BF160" i="90"/>
  <c r="BF159" i="90"/>
  <c r="BD173" i="90"/>
  <c r="BD174" i="90" s="1"/>
  <c r="BD175" i="90" s="1"/>
  <c r="BD169" i="90"/>
  <c r="BD170" i="90" s="1"/>
  <c r="BG64" i="83"/>
  <c r="BG65" i="83" s="1"/>
  <c r="BG149" i="90"/>
  <c r="BG153" i="90" s="1"/>
  <c r="BG62" i="91"/>
  <c r="BB11" i="90"/>
  <c r="BD10" i="91"/>
  <c r="BD12" i="91" s="1"/>
  <c r="BD73" i="83"/>
  <c r="BD74" i="83" s="1"/>
  <c r="BD15" i="91" s="1"/>
  <c r="BF68" i="83"/>
  <c r="BF155" i="90" s="1"/>
  <c r="BH30" i="83"/>
  <c r="BH32" i="83" s="1"/>
  <c r="BH21" i="91" s="1"/>
  <c r="BI26" i="83"/>
  <c r="BI29" i="83"/>
  <c r="BI24" i="83"/>
  <c r="BI25" i="83"/>
  <c r="BI28" i="83"/>
  <c r="BI27" i="83"/>
  <c r="BI62" i="83"/>
  <c r="BC64" i="91"/>
  <c r="BC71" i="91" s="1"/>
  <c r="BC72" i="91" s="1"/>
  <c r="BC74" i="91" s="1"/>
  <c r="BC11" i="90"/>
  <c r="BC26" i="91"/>
  <c r="BI72" i="83"/>
  <c r="BE69" i="83"/>
  <c r="BE25" i="90"/>
  <c r="BE29" i="90" s="1"/>
  <c r="BF24" i="91"/>
  <c r="BF85" i="91" s="1"/>
  <c r="BK91" i="90"/>
  <c r="BB28" i="90"/>
  <c r="BB30" i="90" s="1"/>
  <c r="BA33" i="90"/>
  <c r="BA37" i="90" s="1"/>
  <c r="BE86" i="91"/>
  <c r="BE14" i="90"/>
  <c r="BE63" i="91"/>
  <c r="BD29" i="90"/>
  <c r="BH17" i="90"/>
  <c r="BH69" i="91" s="1"/>
  <c r="BF86" i="90"/>
  <c r="BG86" i="90" s="1"/>
  <c r="BH86" i="90" s="1"/>
  <c r="BI86" i="90" s="1"/>
  <c r="U94" i="90"/>
  <c r="T95" i="90"/>
  <c r="U95" i="90" s="1"/>
  <c r="BJ8" i="90"/>
  <c r="BI38" i="90"/>
  <c r="W93" i="90"/>
  <c r="X93" i="90" s="1"/>
  <c r="Y93" i="90" s="1"/>
  <c r="Z93" i="90" s="1"/>
  <c r="AA93" i="90" s="1"/>
  <c r="AB93" i="90" s="1"/>
  <c r="AC93" i="90" s="1"/>
  <c r="AD93" i="90" s="1"/>
  <c r="AE93" i="90" s="1"/>
  <c r="AF93" i="90" s="1"/>
  <c r="AG93" i="90" s="1"/>
  <c r="AH93" i="90" s="1"/>
  <c r="AI93" i="90" s="1"/>
  <c r="AJ93" i="90" s="1"/>
  <c r="AK93" i="90" s="1"/>
  <c r="AL93" i="90" s="1"/>
  <c r="AM93" i="90" s="1"/>
  <c r="AN93" i="90" s="1"/>
  <c r="AO93" i="90" s="1"/>
  <c r="AP93" i="90" s="1"/>
  <c r="AQ93" i="90" s="1"/>
  <c r="AR93" i="90" s="1"/>
  <c r="AS93" i="90" s="1"/>
  <c r="AT93" i="90" s="1"/>
  <c r="AU93" i="90" s="1"/>
  <c r="AV93" i="90" s="1"/>
  <c r="AW93" i="90" s="1"/>
  <c r="AX93" i="90" s="1"/>
  <c r="AY93" i="90" s="1"/>
  <c r="AZ93" i="90" s="1"/>
  <c r="BA93" i="90" s="1"/>
  <c r="BB93" i="90" s="1"/>
  <c r="BC93" i="90" s="1"/>
  <c r="BD93" i="90" s="1"/>
  <c r="BE93" i="90" s="1"/>
  <c r="BF93" i="90" s="1"/>
  <c r="BG93" i="90" s="1"/>
  <c r="BH93" i="90" s="1"/>
  <c r="BI93" i="90" s="1"/>
  <c r="BJ93" i="90" s="1"/>
  <c r="BK93" i="90" s="1"/>
  <c r="BK88" i="90"/>
  <c r="C101" i="90"/>
  <c r="J100" i="90"/>
  <c r="P97" i="90"/>
  <c r="Q97" i="90" s="1"/>
  <c r="BL45" i="90"/>
  <c r="BK84" i="90"/>
  <c r="BL84" i="90" s="1"/>
  <c r="BM84" i="90" s="1"/>
  <c r="BN84" i="90" s="1"/>
  <c r="BO84" i="90" s="1"/>
  <c r="BP84" i="90" s="1"/>
  <c r="BQ84" i="90" s="1"/>
  <c r="BR84" i="90" s="1"/>
  <c r="BS84" i="90" s="1"/>
  <c r="BT84" i="90" s="1"/>
  <c r="BU84" i="90" s="1"/>
  <c r="BV84" i="90" s="1"/>
  <c r="BW84" i="90" s="1"/>
  <c r="BX84" i="90" s="1"/>
  <c r="BY84" i="90" s="1"/>
  <c r="BZ84" i="90" s="1"/>
  <c r="CA84" i="90" s="1"/>
  <c r="CB84" i="90" s="1"/>
  <c r="CC84" i="90" s="1"/>
  <c r="CD84" i="90" s="1"/>
  <c r="CE84" i="90" s="1"/>
  <c r="CF84" i="90" s="1"/>
  <c r="CG84" i="90" s="1"/>
  <c r="CH84" i="90" s="1"/>
  <c r="CI84" i="90" s="1"/>
  <c r="CJ84" i="90" s="1"/>
  <c r="CK84" i="90" s="1"/>
  <c r="CL84" i="90" s="1"/>
  <c r="CM84" i="90" s="1"/>
  <c r="CN84" i="90" s="1"/>
  <c r="CO84" i="90" s="1"/>
  <c r="CP84" i="90" s="1"/>
  <c r="CQ84" i="90" s="1"/>
  <c r="CR84" i="90" s="1"/>
  <c r="CS84" i="90" s="1"/>
  <c r="CT84" i="90" s="1"/>
  <c r="CU84" i="90" s="1"/>
  <c r="CV84" i="90" s="1"/>
  <c r="CW84" i="90" s="1"/>
  <c r="CX84" i="90" s="1"/>
  <c r="CY84" i="90" s="1"/>
  <c r="CZ84" i="90" s="1"/>
  <c r="DA84" i="90" s="1"/>
  <c r="DB84" i="90" s="1"/>
  <c r="DC84" i="90" s="1"/>
  <c r="DD84" i="90" s="1"/>
  <c r="DE84" i="90" s="1"/>
  <c r="DF84" i="90" s="1"/>
  <c r="DG84" i="90" s="1"/>
  <c r="DH84" i="90" s="1"/>
  <c r="DI84" i="90" s="1"/>
  <c r="DJ84" i="90" s="1"/>
  <c r="DK84" i="90" s="1"/>
  <c r="DL84" i="90" s="1"/>
  <c r="DM84" i="90" s="1"/>
  <c r="BK87" i="90"/>
  <c r="BK92" i="90"/>
  <c r="BK90" i="90"/>
  <c r="E48" i="90"/>
  <c r="E46" i="90"/>
  <c r="E47" i="90"/>
  <c r="E49" i="90"/>
  <c r="E45" i="90"/>
  <c r="E50" i="90"/>
  <c r="E51" i="90"/>
  <c r="E52" i="90"/>
  <c r="E53" i="90"/>
  <c r="E54" i="90"/>
  <c r="E55" i="90"/>
  <c r="E56" i="90"/>
  <c r="E57" i="90"/>
  <c r="E58" i="90"/>
  <c r="E59" i="90"/>
  <c r="E60" i="90"/>
  <c r="E61" i="90"/>
  <c r="E62" i="90"/>
  <c r="E63" i="90"/>
  <c r="E64" i="90"/>
  <c r="E65" i="90"/>
  <c r="E66" i="90"/>
  <c r="E67" i="90"/>
  <c r="E68" i="90"/>
  <c r="E69" i="90"/>
  <c r="E70" i="90"/>
  <c r="E71" i="90"/>
  <c r="E72" i="90"/>
  <c r="E73" i="90"/>
  <c r="E74" i="90"/>
  <c r="E75" i="90"/>
  <c r="E76" i="90"/>
  <c r="E77" i="90"/>
  <c r="E78" i="90"/>
  <c r="E79" i="90"/>
  <c r="E80" i="90"/>
  <c r="E81" i="90"/>
  <c r="E82" i="90"/>
  <c r="E83" i="90"/>
  <c r="E84" i="90"/>
  <c r="BK85" i="90"/>
  <c r="BK89" i="90"/>
  <c r="K99" i="90"/>
  <c r="L99" i="90" s="1"/>
  <c r="O98" i="90"/>
  <c r="P98" i="90" s="1"/>
  <c r="V96" i="90"/>
  <c r="BI87" i="83"/>
  <c r="BM4" i="91"/>
  <c r="BL6" i="91"/>
  <c r="BL5" i="91"/>
  <c r="BL4" i="90"/>
  <c r="BK6" i="90"/>
  <c r="BK21" i="90" s="1"/>
  <c r="BK5" i="90"/>
  <c r="BK4" i="83"/>
  <c r="BJ6" i="83"/>
  <c r="BJ80" i="83" s="1"/>
  <c r="BJ5" i="83"/>
  <c r="BI48" i="83"/>
  <c r="BH89" i="83" l="1"/>
  <c r="BH90" i="83" s="1"/>
  <c r="BG108" i="83"/>
  <c r="BG109" i="83" s="1"/>
  <c r="BG110" i="83" s="1"/>
  <c r="BG18" i="91" s="1"/>
  <c r="BI82" i="83"/>
  <c r="BF157" i="90"/>
  <c r="BF63" i="91"/>
  <c r="BH96" i="83"/>
  <c r="BH97" i="83" s="1"/>
  <c r="BI118" i="83"/>
  <c r="BI22" i="91"/>
  <c r="BI44" i="83"/>
  <c r="BI51" i="83" s="1"/>
  <c r="BI55" i="83" s="1"/>
  <c r="BI71" i="93" s="1"/>
  <c r="BI41" i="83"/>
  <c r="BJ47" i="83"/>
  <c r="BJ39" i="83"/>
  <c r="BJ45" i="83" s="1"/>
  <c r="BJ117" i="83"/>
  <c r="BJ23" i="91" s="1"/>
  <c r="BJ116" i="83"/>
  <c r="BJ36" i="83"/>
  <c r="BJ37" i="83"/>
  <c r="BJ100" i="83"/>
  <c r="BJ102" i="83" s="1"/>
  <c r="BJ104" i="83" s="1"/>
  <c r="BI107" i="83"/>
  <c r="BB79" i="91"/>
  <c r="BB80" i="91" s="1"/>
  <c r="BB82" i="91" s="1"/>
  <c r="BJ86" i="83"/>
  <c r="BJ93" i="83"/>
  <c r="BJ94" i="83"/>
  <c r="BJ78" i="83"/>
  <c r="BC66" i="91"/>
  <c r="BG78" i="91"/>
  <c r="BG70" i="91"/>
  <c r="BE169" i="90"/>
  <c r="BE170" i="90" s="1"/>
  <c r="BG160" i="90"/>
  <c r="BG159" i="90"/>
  <c r="BG161" i="90"/>
  <c r="BF162" i="90"/>
  <c r="BH64" i="83"/>
  <c r="BH65" i="83" s="1"/>
  <c r="BH149" i="90"/>
  <c r="BH153" i="90" s="1"/>
  <c r="BH62" i="91"/>
  <c r="BH77" i="93"/>
  <c r="BD64" i="91"/>
  <c r="BD71" i="91" s="1"/>
  <c r="BD72" i="91" s="1"/>
  <c r="BD74" i="91" s="1"/>
  <c r="BE10" i="91"/>
  <c r="BE73" i="83"/>
  <c r="BE74" i="83" s="1"/>
  <c r="BE15" i="91" s="1"/>
  <c r="BD12" i="90"/>
  <c r="BG68" i="83"/>
  <c r="BG155" i="90" s="1"/>
  <c r="E85" i="90"/>
  <c r="BI30" i="83"/>
  <c r="BI32" i="83" s="1"/>
  <c r="BI21" i="91" s="1"/>
  <c r="BJ26" i="83"/>
  <c r="BJ29" i="83"/>
  <c r="BJ24" i="83"/>
  <c r="BJ25" i="83"/>
  <c r="BJ28" i="83"/>
  <c r="BJ27" i="83"/>
  <c r="BJ62" i="83"/>
  <c r="BD11" i="90"/>
  <c r="BD26" i="91"/>
  <c r="BJ72" i="83"/>
  <c r="BF69" i="83"/>
  <c r="BF25" i="90"/>
  <c r="BF29" i="90" s="1"/>
  <c r="BG24" i="91"/>
  <c r="BG85" i="91" s="1"/>
  <c r="BH24" i="91"/>
  <c r="BC28" i="90"/>
  <c r="BC30" i="90" s="1"/>
  <c r="BB33" i="90"/>
  <c r="E86" i="90" s="1"/>
  <c r="BF86" i="91"/>
  <c r="BI17" i="90"/>
  <c r="BI69" i="91" s="1"/>
  <c r="BJ86" i="90"/>
  <c r="BK86" i="90" s="1"/>
  <c r="BL86" i="90" s="1"/>
  <c r="M99" i="90"/>
  <c r="N99" i="90" s="1"/>
  <c r="O99" i="90" s="1"/>
  <c r="BL85" i="90"/>
  <c r="BM85" i="90" s="1"/>
  <c r="BN85" i="90" s="1"/>
  <c r="BO85" i="90" s="1"/>
  <c r="BP85" i="90" s="1"/>
  <c r="BQ85" i="90" s="1"/>
  <c r="BR85" i="90" s="1"/>
  <c r="BS85" i="90" s="1"/>
  <c r="BT85" i="90" s="1"/>
  <c r="BU85" i="90" s="1"/>
  <c r="BV85" i="90" s="1"/>
  <c r="BW85" i="90" s="1"/>
  <c r="BX85" i="90" s="1"/>
  <c r="BY85" i="90" s="1"/>
  <c r="BZ85" i="90" s="1"/>
  <c r="CA85" i="90" s="1"/>
  <c r="CB85" i="90" s="1"/>
  <c r="CC85" i="90" s="1"/>
  <c r="CD85" i="90" s="1"/>
  <c r="CE85" i="90" s="1"/>
  <c r="CF85" i="90" s="1"/>
  <c r="CG85" i="90" s="1"/>
  <c r="CH85" i="90" s="1"/>
  <c r="CI85" i="90" s="1"/>
  <c r="CJ85" i="90" s="1"/>
  <c r="CK85" i="90" s="1"/>
  <c r="CL85" i="90" s="1"/>
  <c r="CM85" i="90" s="1"/>
  <c r="CN85" i="90" s="1"/>
  <c r="CO85" i="90" s="1"/>
  <c r="CP85" i="90" s="1"/>
  <c r="CQ85" i="90" s="1"/>
  <c r="CR85" i="90" s="1"/>
  <c r="CS85" i="90" s="1"/>
  <c r="CT85" i="90" s="1"/>
  <c r="CU85" i="90" s="1"/>
  <c r="CV85" i="90" s="1"/>
  <c r="CW85" i="90" s="1"/>
  <c r="CX85" i="90" s="1"/>
  <c r="CY85" i="90" s="1"/>
  <c r="CZ85" i="90" s="1"/>
  <c r="DA85" i="90" s="1"/>
  <c r="DB85" i="90" s="1"/>
  <c r="DC85" i="90" s="1"/>
  <c r="DD85" i="90" s="1"/>
  <c r="DE85" i="90" s="1"/>
  <c r="DF85" i="90" s="1"/>
  <c r="DG85" i="90" s="1"/>
  <c r="DH85" i="90" s="1"/>
  <c r="DI85" i="90" s="1"/>
  <c r="DJ85" i="90" s="1"/>
  <c r="DK85" i="90" s="1"/>
  <c r="DL85" i="90" s="1"/>
  <c r="DM85" i="90" s="1"/>
  <c r="V94" i="90"/>
  <c r="V95" i="90"/>
  <c r="BK8" i="90"/>
  <c r="BJ38" i="90"/>
  <c r="Q98" i="90"/>
  <c r="R98" i="90" s="1"/>
  <c r="W96" i="90"/>
  <c r="X96" i="90" s="1"/>
  <c r="Y96" i="90" s="1"/>
  <c r="BL89" i="90"/>
  <c r="R97" i="90"/>
  <c r="S97" i="90" s="1"/>
  <c r="T97" i="90" s="1"/>
  <c r="BM45" i="90"/>
  <c r="C102" i="90"/>
  <c r="J101" i="90"/>
  <c r="BL92" i="90"/>
  <c r="BL87" i="90"/>
  <c r="BL93" i="90"/>
  <c r="K100" i="90"/>
  <c r="L100" i="90" s="1"/>
  <c r="M100" i="90" s="1"/>
  <c r="N100" i="90" s="1"/>
  <c r="BL88" i="90"/>
  <c r="BL91" i="90"/>
  <c r="BL90" i="90"/>
  <c r="BJ87" i="83"/>
  <c r="BM6" i="91"/>
  <c r="BM5" i="91"/>
  <c r="BN4" i="91"/>
  <c r="BL6" i="90"/>
  <c r="BL21" i="90" s="1"/>
  <c r="BL5" i="90"/>
  <c r="BM4" i="90"/>
  <c r="BL4" i="83"/>
  <c r="BK6" i="83"/>
  <c r="BK80" i="83" s="1"/>
  <c r="BK5" i="83"/>
  <c r="BJ48" i="83"/>
  <c r="BG157" i="90" l="1"/>
  <c r="BH108" i="83"/>
  <c r="BH109" i="83" s="1"/>
  <c r="BH110" i="83" s="1"/>
  <c r="BJ82" i="83"/>
  <c r="BI89" i="83"/>
  <c r="BI90" i="83" s="1"/>
  <c r="BI83" i="83"/>
  <c r="BJ22" i="91"/>
  <c r="BJ118" i="83"/>
  <c r="BK47" i="83"/>
  <c r="BK117" i="83"/>
  <c r="BK23" i="91" s="1"/>
  <c r="BK116" i="83"/>
  <c r="BK100" i="83"/>
  <c r="BK102" i="83" s="1"/>
  <c r="BK104" i="83" s="1"/>
  <c r="BK37" i="83"/>
  <c r="BK36" i="83"/>
  <c r="BK39" i="83"/>
  <c r="BK45" i="83" s="1"/>
  <c r="BJ44" i="83"/>
  <c r="BJ51" i="83" s="1"/>
  <c r="BJ55" i="83" s="1"/>
  <c r="BJ71" i="93" s="1"/>
  <c r="BJ41" i="83"/>
  <c r="BI96" i="83"/>
  <c r="BI97" i="83" s="1"/>
  <c r="BJ107" i="83"/>
  <c r="BC79" i="91"/>
  <c r="BC80" i="91" s="1"/>
  <c r="BC82" i="91" s="1"/>
  <c r="BK86" i="83"/>
  <c r="BK93" i="83"/>
  <c r="BK94" i="83"/>
  <c r="BK78" i="83"/>
  <c r="BD66" i="91"/>
  <c r="BH78" i="91"/>
  <c r="BH70" i="91"/>
  <c r="BG162" i="90"/>
  <c r="BG169" i="90" s="1"/>
  <c r="BG170" i="90" s="1"/>
  <c r="BI64" i="83"/>
  <c r="BI65" i="83" s="1"/>
  <c r="BI149" i="90"/>
  <c r="BI153" i="90" s="1"/>
  <c r="BI62" i="91"/>
  <c r="BI77" i="93"/>
  <c r="BH161" i="90"/>
  <c r="BH160" i="90"/>
  <c r="BH159" i="90"/>
  <c r="BE12" i="91"/>
  <c r="BE26" i="91" s="1"/>
  <c r="BF173" i="90"/>
  <c r="BF174" i="90" s="1"/>
  <c r="BF175" i="90" s="1"/>
  <c r="BF169" i="90"/>
  <c r="BF170" i="90" s="1"/>
  <c r="BE64" i="91"/>
  <c r="BE71" i="91" s="1"/>
  <c r="BE72" i="91" s="1"/>
  <c r="BE74" i="91" s="1"/>
  <c r="BF10" i="91"/>
  <c r="BF73" i="83"/>
  <c r="BF74" i="83" s="1"/>
  <c r="BF15" i="91" s="1"/>
  <c r="BF12" i="90" s="1"/>
  <c r="BE12" i="90"/>
  <c r="BJ30" i="83"/>
  <c r="BJ32" i="83" s="1"/>
  <c r="BJ21" i="91" s="1"/>
  <c r="BK28" i="83"/>
  <c r="BK26" i="83"/>
  <c r="BK25" i="83"/>
  <c r="BK24" i="83"/>
  <c r="BK29" i="83"/>
  <c r="BK27" i="83"/>
  <c r="BK62" i="83"/>
  <c r="BK72" i="83"/>
  <c r="BG69" i="83"/>
  <c r="BG25" i="90"/>
  <c r="BG29" i="90" s="1"/>
  <c r="BG86" i="91"/>
  <c r="BH25" i="90"/>
  <c r="BH85" i="91"/>
  <c r="BG14" i="90"/>
  <c r="BG63" i="91"/>
  <c r="BB37" i="90"/>
  <c r="BD28" i="90"/>
  <c r="BD30" i="90" s="1"/>
  <c r="BC33" i="90"/>
  <c r="E87" i="90" s="1"/>
  <c r="BI24" i="91"/>
  <c r="BJ17" i="90"/>
  <c r="BJ69" i="91" s="1"/>
  <c r="W95" i="90"/>
  <c r="X95" i="90" s="1"/>
  <c r="Y95" i="90" s="1"/>
  <c r="Z95" i="90" s="1"/>
  <c r="AA95" i="90" s="1"/>
  <c r="AB95" i="90" s="1"/>
  <c r="AC95" i="90" s="1"/>
  <c r="AD95" i="90" s="1"/>
  <c r="AE95" i="90" s="1"/>
  <c r="AF95" i="90" s="1"/>
  <c r="AG95" i="90" s="1"/>
  <c r="AH95" i="90" s="1"/>
  <c r="AI95" i="90" s="1"/>
  <c r="AJ95" i="90" s="1"/>
  <c r="AK95" i="90" s="1"/>
  <c r="AL95" i="90" s="1"/>
  <c r="AM95" i="90" s="1"/>
  <c r="AN95" i="90" s="1"/>
  <c r="AO95" i="90" s="1"/>
  <c r="AP95" i="90" s="1"/>
  <c r="AQ95" i="90" s="1"/>
  <c r="AR95" i="90" s="1"/>
  <c r="AS95" i="90" s="1"/>
  <c r="AT95" i="90" s="1"/>
  <c r="AU95" i="90" s="1"/>
  <c r="AV95" i="90" s="1"/>
  <c r="AW95" i="90" s="1"/>
  <c r="AX95" i="90" s="1"/>
  <c r="AY95" i="90" s="1"/>
  <c r="AZ95" i="90" s="1"/>
  <c r="BA95" i="90" s="1"/>
  <c r="BB95" i="90" s="1"/>
  <c r="BC95" i="90" s="1"/>
  <c r="BD95" i="90" s="1"/>
  <c r="BE95" i="90" s="1"/>
  <c r="BF95" i="90" s="1"/>
  <c r="BG95" i="90" s="1"/>
  <c r="BH95" i="90" s="1"/>
  <c r="BI95" i="90" s="1"/>
  <c r="BJ95" i="90" s="1"/>
  <c r="W94" i="90"/>
  <c r="X94" i="90" s="1"/>
  <c r="Y94" i="90" s="1"/>
  <c r="Z94" i="90" s="1"/>
  <c r="AA94" i="90" s="1"/>
  <c r="AB94" i="90" s="1"/>
  <c r="AC94" i="90" s="1"/>
  <c r="AD94" i="90" s="1"/>
  <c r="AE94" i="90" s="1"/>
  <c r="AF94" i="90" s="1"/>
  <c r="AG94" i="90" s="1"/>
  <c r="AH94" i="90" s="1"/>
  <c r="AI94" i="90" s="1"/>
  <c r="AJ94" i="90" s="1"/>
  <c r="AK94" i="90" s="1"/>
  <c r="AL94" i="90" s="1"/>
  <c r="AM94" i="90" s="1"/>
  <c r="AN94" i="90" s="1"/>
  <c r="AO94" i="90" s="1"/>
  <c r="AP94" i="90" s="1"/>
  <c r="AQ94" i="90" s="1"/>
  <c r="AR94" i="90" s="1"/>
  <c r="AS94" i="90" s="1"/>
  <c r="AT94" i="90" s="1"/>
  <c r="AU94" i="90" s="1"/>
  <c r="AV94" i="90" s="1"/>
  <c r="AW94" i="90" s="1"/>
  <c r="AX94" i="90" s="1"/>
  <c r="AY94" i="90" s="1"/>
  <c r="AZ94" i="90" s="1"/>
  <c r="BA94" i="90" s="1"/>
  <c r="BB94" i="90" s="1"/>
  <c r="BC94" i="90" s="1"/>
  <c r="BD94" i="90" s="1"/>
  <c r="BE94" i="90" s="1"/>
  <c r="BF94" i="90" s="1"/>
  <c r="BG94" i="90" s="1"/>
  <c r="BH94" i="90" s="1"/>
  <c r="BI94" i="90" s="1"/>
  <c r="BJ94" i="90" s="1"/>
  <c r="BK94" i="90" s="1"/>
  <c r="P99" i="90"/>
  <c r="S98" i="90"/>
  <c r="T98" i="90" s="1"/>
  <c r="BL8" i="90"/>
  <c r="BK38" i="90"/>
  <c r="Z96" i="90"/>
  <c r="AA96" i="90" s="1"/>
  <c r="U97" i="90"/>
  <c r="BM90" i="90"/>
  <c r="O100" i="90"/>
  <c r="K101" i="90"/>
  <c r="BN45" i="90"/>
  <c r="BM91" i="90"/>
  <c r="BM88" i="90"/>
  <c r="BM93" i="90"/>
  <c r="BM87" i="90"/>
  <c r="BN87" i="90" s="1"/>
  <c r="BO87" i="90" s="1"/>
  <c r="BP87" i="90" s="1"/>
  <c r="BQ87" i="90" s="1"/>
  <c r="BR87" i="90" s="1"/>
  <c r="BS87" i="90" s="1"/>
  <c r="BT87" i="90" s="1"/>
  <c r="BU87" i="90" s="1"/>
  <c r="BV87" i="90" s="1"/>
  <c r="BW87" i="90" s="1"/>
  <c r="BX87" i="90" s="1"/>
  <c r="BY87" i="90" s="1"/>
  <c r="BZ87" i="90" s="1"/>
  <c r="CA87" i="90" s="1"/>
  <c r="CB87" i="90" s="1"/>
  <c r="CC87" i="90" s="1"/>
  <c r="CD87" i="90" s="1"/>
  <c r="CE87" i="90" s="1"/>
  <c r="CF87" i="90" s="1"/>
  <c r="CG87" i="90" s="1"/>
  <c r="CH87" i="90" s="1"/>
  <c r="CI87" i="90" s="1"/>
  <c r="CJ87" i="90" s="1"/>
  <c r="CK87" i="90" s="1"/>
  <c r="CL87" i="90" s="1"/>
  <c r="CM87" i="90" s="1"/>
  <c r="CN87" i="90" s="1"/>
  <c r="CO87" i="90" s="1"/>
  <c r="CP87" i="90" s="1"/>
  <c r="CQ87" i="90" s="1"/>
  <c r="CR87" i="90" s="1"/>
  <c r="CS87" i="90" s="1"/>
  <c r="CT87" i="90" s="1"/>
  <c r="CU87" i="90" s="1"/>
  <c r="CV87" i="90" s="1"/>
  <c r="CW87" i="90" s="1"/>
  <c r="CX87" i="90" s="1"/>
  <c r="CY87" i="90" s="1"/>
  <c r="CZ87" i="90" s="1"/>
  <c r="DA87" i="90" s="1"/>
  <c r="DB87" i="90" s="1"/>
  <c r="DC87" i="90" s="1"/>
  <c r="DD87" i="90" s="1"/>
  <c r="DE87" i="90" s="1"/>
  <c r="DF87" i="90" s="1"/>
  <c r="DG87" i="90" s="1"/>
  <c r="DH87" i="90" s="1"/>
  <c r="DI87" i="90" s="1"/>
  <c r="DJ87" i="90" s="1"/>
  <c r="DK87" i="90" s="1"/>
  <c r="DL87" i="90" s="1"/>
  <c r="DM87" i="90" s="1"/>
  <c r="C103" i="90"/>
  <c r="J102" i="90"/>
  <c r="BM86" i="90"/>
  <c r="BN86" i="90" s="1"/>
  <c r="BO86" i="90" s="1"/>
  <c r="BP86" i="90" s="1"/>
  <c r="BQ86" i="90" s="1"/>
  <c r="BR86" i="90" s="1"/>
  <c r="BS86" i="90" s="1"/>
  <c r="BT86" i="90" s="1"/>
  <c r="BU86" i="90" s="1"/>
  <c r="BV86" i="90" s="1"/>
  <c r="BW86" i="90" s="1"/>
  <c r="BX86" i="90" s="1"/>
  <c r="BY86" i="90" s="1"/>
  <c r="BZ86" i="90" s="1"/>
  <c r="CA86" i="90" s="1"/>
  <c r="CB86" i="90" s="1"/>
  <c r="CC86" i="90" s="1"/>
  <c r="CD86" i="90" s="1"/>
  <c r="CE86" i="90" s="1"/>
  <c r="CF86" i="90" s="1"/>
  <c r="CG86" i="90" s="1"/>
  <c r="CH86" i="90" s="1"/>
  <c r="CI86" i="90" s="1"/>
  <c r="CJ86" i="90" s="1"/>
  <c r="CK86" i="90" s="1"/>
  <c r="CL86" i="90" s="1"/>
  <c r="CM86" i="90" s="1"/>
  <c r="CN86" i="90" s="1"/>
  <c r="CO86" i="90" s="1"/>
  <c r="CP86" i="90" s="1"/>
  <c r="CQ86" i="90" s="1"/>
  <c r="CR86" i="90" s="1"/>
  <c r="CS86" i="90" s="1"/>
  <c r="CT86" i="90" s="1"/>
  <c r="CU86" i="90" s="1"/>
  <c r="CV86" i="90" s="1"/>
  <c r="CW86" i="90" s="1"/>
  <c r="CX86" i="90" s="1"/>
  <c r="CY86" i="90" s="1"/>
  <c r="CZ86" i="90" s="1"/>
  <c r="DA86" i="90" s="1"/>
  <c r="DB86" i="90" s="1"/>
  <c r="DC86" i="90" s="1"/>
  <c r="DD86" i="90" s="1"/>
  <c r="DE86" i="90" s="1"/>
  <c r="DF86" i="90" s="1"/>
  <c r="DG86" i="90" s="1"/>
  <c r="DH86" i="90" s="1"/>
  <c r="DI86" i="90" s="1"/>
  <c r="DJ86" i="90" s="1"/>
  <c r="DK86" i="90" s="1"/>
  <c r="DL86" i="90" s="1"/>
  <c r="DM86" i="90" s="1"/>
  <c r="BM92" i="90"/>
  <c r="BM89" i="90"/>
  <c r="BN89" i="90" s="1"/>
  <c r="BK87" i="83"/>
  <c r="BO4" i="91"/>
  <c r="BN6" i="91"/>
  <c r="BN5" i="91"/>
  <c r="BN4" i="90"/>
  <c r="BM6" i="90"/>
  <c r="BM21" i="90" s="1"/>
  <c r="BM5" i="90"/>
  <c r="BM4" i="83"/>
  <c r="BL6" i="83"/>
  <c r="BL80" i="83" s="1"/>
  <c r="BL5" i="83"/>
  <c r="BK48" i="83"/>
  <c r="BI108" i="83" l="1"/>
  <c r="BI109" i="83" s="1"/>
  <c r="BI110" i="83" s="1"/>
  <c r="BI18" i="91" s="1"/>
  <c r="BI63" i="91" s="1"/>
  <c r="BK82" i="83"/>
  <c r="BK83" i="83" s="1"/>
  <c r="BJ89" i="83"/>
  <c r="BJ90" i="83" s="1"/>
  <c r="BK44" i="83"/>
  <c r="BK51" i="83" s="1"/>
  <c r="BK55" i="83" s="1"/>
  <c r="BK71" i="93" s="1"/>
  <c r="BK41" i="83"/>
  <c r="BK118" i="83"/>
  <c r="BK22" i="91"/>
  <c r="BL47" i="83"/>
  <c r="BL117" i="83"/>
  <c r="BL23" i="91" s="1"/>
  <c r="BL116" i="83"/>
  <c r="BL36" i="83"/>
  <c r="BL37" i="83"/>
  <c r="BL100" i="83"/>
  <c r="BL102" i="83" s="1"/>
  <c r="BL104" i="83" s="1"/>
  <c r="BL39" i="83"/>
  <c r="BL45" i="83" s="1"/>
  <c r="BJ83" i="83"/>
  <c r="BJ96" i="83"/>
  <c r="BJ97" i="83" s="1"/>
  <c r="BK107" i="83"/>
  <c r="BH157" i="90"/>
  <c r="BH18" i="91"/>
  <c r="BL86" i="83"/>
  <c r="BL93" i="83"/>
  <c r="BL94" i="83"/>
  <c r="BL78" i="83"/>
  <c r="BE66" i="91"/>
  <c r="BI78" i="91"/>
  <c r="BI70" i="91"/>
  <c r="BH162" i="90"/>
  <c r="BH169" i="90" s="1"/>
  <c r="BH170" i="90" s="1"/>
  <c r="BG173" i="90"/>
  <c r="BG174" i="90" s="1"/>
  <c r="BG175" i="90" s="1"/>
  <c r="BI160" i="90"/>
  <c r="BI161" i="90"/>
  <c r="BI159" i="90"/>
  <c r="BJ64" i="83"/>
  <c r="BJ65" i="83" s="1"/>
  <c r="BJ62" i="91"/>
  <c r="BJ149" i="90"/>
  <c r="BJ153" i="90" s="1"/>
  <c r="BE11" i="90"/>
  <c r="BJ77" i="93"/>
  <c r="BD79" i="91"/>
  <c r="BD80" i="91" s="1"/>
  <c r="BD82" i="91" s="1"/>
  <c r="BF12" i="91"/>
  <c r="BF26" i="91" s="1"/>
  <c r="BF64" i="91"/>
  <c r="BF71" i="91" s="1"/>
  <c r="BF72" i="91" s="1"/>
  <c r="BF74" i="91" s="1"/>
  <c r="BG10" i="91"/>
  <c r="BG12" i="91" s="1"/>
  <c r="BG73" i="83"/>
  <c r="BG74" i="83" s="1"/>
  <c r="BG15" i="91" s="1"/>
  <c r="BH68" i="83"/>
  <c r="BK30" i="83"/>
  <c r="BK32" i="83" s="1"/>
  <c r="BK21" i="91" s="1"/>
  <c r="BL25" i="83"/>
  <c r="BL28" i="83"/>
  <c r="BL24" i="83"/>
  <c r="BL27" i="83"/>
  <c r="BL26" i="83"/>
  <c r="BL29" i="83"/>
  <c r="BL62" i="83"/>
  <c r="BL72" i="83"/>
  <c r="BI68" i="83"/>
  <c r="BI155" i="90" s="1"/>
  <c r="BH86" i="91"/>
  <c r="BI25" i="90"/>
  <c r="BI85" i="91"/>
  <c r="BC37" i="90"/>
  <c r="BE28" i="90"/>
  <c r="BE30" i="90" s="1"/>
  <c r="BD33" i="90"/>
  <c r="E88" i="90" s="1"/>
  <c r="BJ24" i="91"/>
  <c r="BH29" i="90"/>
  <c r="BK17" i="90"/>
  <c r="BK69" i="91" s="1"/>
  <c r="U98" i="90"/>
  <c r="V98" i="90" s="1"/>
  <c r="BN93" i="90"/>
  <c r="BN88" i="90"/>
  <c r="BK95" i="90"/>
  <c r="BL95" i="90" s="1"/>
  <c r="Q99" i="90"/>
  <c r="BL94" i="90"/>
  <c r="BM8" i="90"/>
  <c r="BL38" i="90"/>
  <c r="BN92" i="90"/>
  <c r="K102" i="90"/>
  <c r="P100" i="90"/>
  <c r="BN91" i="90"/>
  <c r="BN90" i="90"/>
  <c r="C104" i="90"/>
  <c r="J103" i="90"/>
  <c r="AB96" i="90"/>
  <c r="V97" i="90"/>
  <c r="L101" i="90"/>
  <c r="BO45" i="90"/>
  <c r="BL87" i="83"/>
  <c r="BP4" i="91"/>
  <c r="BO6" i="91"/>
  <c r="BO5" i="91"/>
  <c r="BO4" i="90"/>
  <c r="BO89" i="90" s="1"/>
  <c r="BN6" i="90"/>
  <c r="BN21" i="90" s="1"/>
  <c r="BN5" i="90"/>
  <c r="BL48" i="83"/>
  <c r="BN4" i="83"/>
  <c r="BM5" i="83"/>
  <c r="BM6" i="83"/>
  <c r="BM80" i="83" s="1"/>
  <c r="BI157" i="90" l="1"/>
  <c r="BI14" i="90"/>
  <c r="BK96" i="83"/>
  <c r="BK97" i="83" s="1"/>
  <c r="BK89" i="83"/>
  <c r="BK90" i="83" s="1"/>
  <c r="BJ108" i="83"/>
  <c r="BJ109" i="83" s="1"/>
  <c r="BJ110" i="83" s="1"/>
  <c r="BJ18" i="91" s="1"/>
  <c r="BL82" i="83"/>
  <c r="BL83" i="83" s="1"/>
  <c r="BL44" i="83"/>
  <c r="BL51" i="83" s="1"/>
  <c r="BL55" i="83" s="1"/>
  <c r="BL41" i="83"/>
  <c r="BL22" i="91"/>
  <c r="BL118" i="83"/>
  <c r="BM47" i="83"/>
  <c r="BM117" i="83"/>
  <c r="BM23" i="91" s="1"/>
  <c r="BM116" i="83"/>
  <c r="BM36" i="83"/>
  <c r="BM37" i="83"/>
  <c r="BM100" i="83"/>
  <c r="BM102" i="83" s="1"/>
  <c r="BM104" i="83" s="1"/>
  <c r="BM39" i="83"/>
  <c r="BM45" i="83" s="1"/>
  <c r="BL107" i="83"/>
  <c r="BH14" i="90"/>
  <c r="BH63" i="91"/>
  <c r="BE79" i="91"/>
  <c r="BE80" i="91" s="1"/>
  <c r="BE82" i="91" s="1"/>
  <c r="BM86" i="83"/>
  <c r="BM93" i="83"/>
  <c r="BM94" i="83"/>
  <c r="BM78" i="83"/>
  <c r="BF66" i="91"/>
  <c r="BH173" i="90"/>
  <c r="BH174" i="90" s="1"/>
  <c r="BH175" i="90" s="1"/>
  <c r="BJ78" i="91"/>
  <c r="BJ70" i="91"/>
  <c r="BI162" i="90"/>
  <c r="BI173" i="90" s="1"/>
  <c r="BI174" i="90" s="1"/>
  <c r="BI175" i="90" s="1"/>
  <c r="BK64" i="83"/>
  <c r="BK65" i="83" s="1"/>
  <c r="BK62" i="91"/>
  <c r="BK149" i="90"/>
  <c r="BK153" i="90" s="1"/>
  <c r="BJ160" i="90"/>
  <c r="BJ159" i="90"/>
  <c r="BJ161" i="90"/>
  <c r="BK77" i="93"/>
  <c r="BH69" i="83"/>
  <c r="BH10" i="91" s="1"/>
  <c r="BH12" i="91" s="1"/>
  <c r="BH155" i="90"/>
  <c r="BF11" i="90"/>
  <c r="BG12" i="90"/>
  <c r="BL30" i="83"/>
  <c r="BL32" i="83" s="1"/>
  <c r="BL21" i="91" s="1"/>
  <c r="BM25" i="83"/>
  <c r="BM28" i="83"/>
  <c r="BM24" i="83"/>
  <c r="BM29" i="83"/>
  <c r="BM27" i="83"/>
  <c r="BM26" i="83"/>
  <c r="BM62" i="83"/>
  <c r="BI69" i="83"/>
  <c r="BG64" i="91"/>
  <c r="BG71" i="91" s="1"/>
  <c r="BG72" i="91" s="1"/>
  <c r="BG74" i="91" s="1"/>
  <c r="BG11" i="90"/>
  <c r="BG26" i="91"/>
  <c r="BJ68" i="83"/>
  <c r="BJ155" i="90" s="1"/>
  <c r="BM72" i="83"/>
  <c r="BI86" i="91"/>
  <c r="BF28" i="90"/>
  <c r="BF30" i="90" s="1"/>
  <c r="BE33" i="90"/>
  <c r="E89" i="90" s="1"/>
  <c r="BD37" i="90"/>
  <c r="BJ25" i="90"/>
  <c r="BJ85" i="91"/>
  <c r="BI29" i="90"/>
  <c r="BL17" i="90"/>
  <c r="BL69" i="91" s="1"/>
  <c r="BM94" i="90"/>
  <c r="BN94" i="90" s="1"/>
  <c r="BM95" i="90"/>
  <c r="BN95" i="90" s="1"/>
  <c r="R99" i="90"/>
  <c r="BN8" i="90"/>
  <c r="BM38" i="90"/>
  <c r="W97" i="90"/>
  <c r="L102" i="90"/>
  <c r="Q100" i="90"/>
  <c r="M101" i="90"/>
  <c r="BP45" i="90"/>
  <c r="BO93" i="90"/>
  <c r="BO88" i="90"/>
  <c r="BP88" i="90" s="1"/>
  <c r="BQ88" i="90" s="1"/>
  <c r="BR88" i="90" s="1"/>
  <c r="BS88" i="90" s="1"/>
  <c r="BT88" i="90" s="1"/>
  <c r="BU88" i="90" s="1"/>
  <c r="BV88" i="90" s="1"/>
  <c r="BW88" i="90" s="1"/>
  <c r="BX88" i="90" s="1"/>
  <c r="BY88" i="90" s="1"/>
  <c r="BZ88" i="90" s="1"/>
  <c r="CA88" i="90" s="1"/>
  <c r="CB88" i="90" s="1"/>
  <c r="CC88" i="90" s="1"/>
  <c r="CD88" i="90" s="1"/>
  <c r="CE88" i="90" s="1"/>
  <c r="CF88" i="90" s="1"/>
  <c r="CG88" i="90" s="1"/>
  <c r="CH88" i="90" s="1"/>
  <c r="CI88" i="90" s="1"/>
  <c r="CJ88" i="90" s="1"/>
  <c r="CK88" i="90" s="1"/>
  <c r="CL88" i="90" s="1"/>
  <c r="CM88" i="90" s="1"/>
  <c r="CN88" i="90" s="1"/>
  <c r="CO88" i="90" s="1"/>
  <c r="CP88" i="90" s="1"/>
  <c r="CQ88" i="90" s="1"/>
  <c r="CR88" i="90" s="1"/>
  <c r="CS88" i="90" s="1"/>
  <c r="CT88" i="90" s="1"/>
  <c r="CU88" i="90" s="1"/>
  <c r="CV88" i="90" s="1"/>
  <c r="CW88" i="90" s="1"/>
  <c r="CX88" i="90" s="1"/>
  <c r="CY88" i="90" s="1"/>
  <c r="CZ88" i="90" s="1"/>
  <c r="DA88" i="90" s="1"/>
  <c r="DB88" i="90" s="1"/>
  <c r="DC88" i="90" s="1"/>
  <c r="DD88" i="90" s="1"/>
  <c r="DE88" i="90" s="1"/>
  <c r="DF88" i="90" s="1"/>
  <c r="DG88" i="90" s="1"/>
  <c r="DH88" i="90" s="1"/>
  <c r="DI88" i="90" s="1"/>
  <c r="DJ88" i="90" s="1"/>
  <c r="DK88" i="90" s="1"/>
  <c r="DL88" i="90" s="1"/>
  <c r="DM88" i="90" s="1"/>
  <c r="K103" i="90"/>
  <c r="BO90" i="90"/>
  <c r="BO91" i="90"/>
  <c r="BO92" i="90"/>
  <c r="AC96" i="90"/>
  <c r="C105" i="90"/>
  <c r="J104" i="90"/>
  <c r="W98" i="90"/>
  <c r="X98" i="90" s="1"/>
  <c r="Y98" i="90" s="1"/>
  <c r="Z98" i="90" s="1"/>
  <c r="BM87" i="83"/>
  <c r="BQ4" i="91"/>
  <c r="BP6" i="91"/>
  <c r="BP5" i="91"/>
  <c r="BP4" i="90"/>
  <c r="BO6" i="90"/>
  <c r="BO21" i="90" s="1"/>
  <c r="BO5" i="90"/>
  <c r="BM48" i="83"/>
  <c r="BO4" i="83"/>
  <c r="BN6" i="83"/>
  <c r="BN80" i="83" s="1"/>
  <c r="BN5" i="83"/>
  <c r="BL96" i="83" l="1"/>
  <c r="BL97" i="83" s="1"/>
  <c r="BK108" i="83"/>
  <c r="BK109" i="83" s="1"/>
  <c r="BK110" i="83" s="1"/>
  <c r="BK18" i="91" s="1"/>
  <c r="BL89" i="83"/>
  <c r="BL90" i="83" s="1"/>
  <c r="BJ157" i="90"/>
  <c r="BM82" i="83"/>
  <c r="BM83" i="83" s="1"/>
  <c r="BM44" i="83"/>
  <c r="BM51" i="83" s="1"/>
  <c r="BM55" i="83" s="1"/>
  <c r="BM41" i="83"/>
  <c r="BM118" i="83"/>
  <c r="BM22" i="91"/>
  <c r="BN47" i="83"/>
  <c r="BN117" i="83"/>
  <c r="BN23" i="91" s="1"/>
  <c r="BN116" i="83"/>
  <c r="BN36" i="83"/>
  <c r="BN100" i="83"/>
  <c r="BN102" i="83" s="1"/>
  <c r="BN104" i="83" s="1"/>
  <c r="BN39" i="83"/>
  <c r="BN45" i="83" s="1"/>
  <c r="BN37" i="83"/>
  <c r="BM107" i="83"/>
  <c r="BL71" i="93"/>
  <c r="BL77" i="93" s="1"/>
  <c r="BF79" i="91"/>
  <c r="BF80" i="91" s="1"/>
  <c r="BF82" i="91" s="1"/>
  <c r="BN86" i="83"/>
  <c r="BN93" i="83"/>
  <c r="BN94" i="83"/>
  <c r="BN78" i="83"/>
  <c r="BG66" i="91"/>
  <c r="BI169" i="90"/>
  <c r="BI170" i="90" s="1"/>
  <c r="BK78" i="91"/>
  <c r="BK70" i="91"/>
  <c r="BH73" i="83"/>
  <c r="BH74" i="83" s="1"/>
  <c r="BH15" i="91" s="1"/>
  <c r="BH26" i="91" s="1"/>
  <c r="BK161" i="90"/>
  <c r="BK159" i="90"/>
  <c r="BK160" i="90"/>
  <c r="BJ162" i="90"/>
  <c r="BL64" i="83"/>
  <c r="BL65" i="83" s="1"/>
  <c r="BL149" i="90"/>
  <c r="BL153" i="90" s="1"/>
  <c r="BL62" i="91"/>
  <c r="BI10" i="91"/>
  <c r="BI12" i="91" s="1"/>
  <c r="BI11" i="90" s="1"/>
  <c r="BI73" i="83"/>
  <c r="BI74" i="83" s="1"/>
  <c r="BI15" i="91" s="1"/>
  <c r="BM30" i="83"/>
  <c r="BM32" i="83" s="1"/>
  <c r="BM21" i="91" s="1"/>
  <c r="BN27" i="83"/>
  <c r="BN25" i="83"/>
  <c r="BN26" i="83"/>
  <c r="BN28" i="83"/>
  <c r="BN24" i="83"/>
  <c r="BN29" i="83"/>
  <c r="BN62" i="83"/>
  <c r="BJ69" i="83"/>
  <c r="BH64" i="91"/>
  <c r="BH71" i="91" s="1"/>
  <c r="BH72" i="91" s="1"/>
  <c r="BH74" i="91" s="1"/>
  <c r="BH11" i="90"/>
  <c r="BK68" i="83"/>
  <c r="BK155" i="90" s="1"/>
  <c r="BN72" i="83"/>
  <c r="BJ86" i="91"/>
  <c r="BK24" i="91"/>
  <c r="BK85" i="91" s="1"/>
  <c r="BG28" i="90"/>
  <c r="BG30" i="90" s="1"/>
  <c r="BF33" i="90"/>
  <c r="E90" i="90" s="1"/>
  <c r="BJ14" i="90"/>
  <c r="BJ63" i="91"/>
  <c r="BJ29" i="90"/>
  <c r="BE37" i="90"/>
  <c r="BO95" i="90"/>
  <c r="BP95" i="90" s="1"/>
  <c r="BM17" i="90"/>
  <c r="BM69" i="91" s="1"/>
  <c r="BO94" i="90"/>
  <c r="BP94" i="90" s="1"/>
  <c r="AA98" i="90"/>
  <c r="AB98" i="90" s="1"/>
  <c r="AC98" i="90" s="1"/>
  <c r="AD98" i="90" s="1"/>
  <c r="AE98" i="90" s="1"/>
  <c r="AF98" i="90" s="1"/>
  <c r="AG98" i="90" s="1"/>
  <c r="AH98" i="90" s="1"/>
  <c r="AI98" i="90" s="1"/>
  <c r="AJ98" i="90" s="1"/>
  <c r="AK98" i="90" s="1"/>
  <c r="AL98" i="90" s="1"/>
  <c r="AM98" i="90" s="1"/>
  <c r="AN98" i="90" s="1"/>
  <c r="AO98" i="90" s="1"/>
  <c r="AP98" i="90" s="1"/>
  <c r="AQ98" i="90" s="1"/>
  <c r="AR98" i="90" s="1"/>
  <c r="AS98" i="90" s="1"/>
  <c r="AT98" i="90" s="1"/>
  <c r="AU98" i="90" s="1"/>
  <c r="AV98" i="90" s="1"/>
  <c r="AW98" i="90" s="1"/>
  <c r="AX98" i="90" s="1"/>
  <c r="AY98" i="90" s="1"/>
  <c r="AZ98" i="90" s="1"/>
  <c r="BA98" i="90" s="1"/>
  <c r="BB98" i="90" s="1"/>
  <c r="BC98" i="90" s="1"/>
  <c r="BD98" i="90" s="1"/>
  <c r="BE98" i="90" s="1"/>
  <c r="BF98" i="90" s="1"/>
  <c r="BG98" i="90" s="1"/>
  <c r="BH98" i="90" s="1"/>
  <c r="BI98" i="90" s="1"/>
  <c r="BJ98" i="90" s="1"/>
  <c r="BK98" i="90" s="1"/>
  <c r="BL98" i="90" s="1"/>
  <c r="BM98" i="90" s="1"/>
  <c r="BN98" i="90" s="1"/>
  <c r="BO98" i="90" s="1"/>
  <c r="S99" i="90"/>
  <c r="T99" i="90" s="1"/>
  <c r="U99" i="90" s="1"/>
  <c r="V99" i="90" s="1"/>
  <c r="BO8" i="90"/>
  <c r="BN38" i="90"/>
  <c r="K104" i="90"/>
  <c r="L104" i="90" s="1"/>
  <c r="M104" i="90" s="1"/>
  <c r="N104" i="90" s="1"/>
  <c r="BP90" i="90"/>
  <c r="BP89" i="90"/>
  <c r="BQ89" i="90" s="1"/>
  <c r="BR89" i="90" s="1"/>
  <c r="BS89" i="90" s="1"/>
  <c r="BT89" i="90" s="1"/>
  <c r="BU89" i="90" s="1"/>
  <c r="BV89" i="90" s="1"/>
  <c r="BW89" i="90" s="1"/>
  <c r="BX89" i="90" s="1"/>
  <c r="BY89" i="90" s="1"/>
  <c r="BZ89" i="90" s="1"/>
  <c r="CA89" i="90" s="1"/>
  <c r="CB89" i="90" s="1"/>
  <c r="CC89" i="90" s="1"/>
  <c r="CD89" i="90" s="1"/>
  <c r="CE89" i="90" s="1"/>
  <c r="CF89" i="90" s="1"/>
  <c r="CG89" i="90" s="1"/>
  <c r="CH89" i="90" s="1"/>
  <c r="CI89" i="90" s="1"/>
  <c r="CJ89" i="90" s="1"/>
  <c r="CK89" i="90" s="1"/>
  <c r="CL89" i="90" s="1"/>
  <c r="CM89" i="90" s="1"/>
  <c r="CN89" i="90" s="1"/>
  <c r="CO89" i="90" s="1"/>
  <c r="CP89" i="90" s="1"/>
  <c r="CQ89" i="90" s="1"/>
  <c r="CR89" i="90" s="1"/>
  <c r="CS89" i="90" s="1"/>
  <c r="CT89" i="90" s="1"/>
  <c r="CU89" i="90" s="1"/>
  <c r="CV89" i="90" s="1"/>
  <c r="CW89" i="90" s="1"/>
  <c r="CX89" i="90" s="1"/>
  <c r="CY89" i="90" s="1"/>
  <c r="CZ89" i="90" s="1"/>
  <c r="DA89" i="90" s="1"/>
  <c r="DB89" i="90" s="1"/>
  <c r="DC89" i="90" s="1"/>
  <c r="DD89" i="90" s="1"/>
  <c r="DE89" i="90" s="1"/>
  <c r="DF89" i="90" s="1"/>
  <c r="DG89" i="90" s="1"/>
  <c r="DH89" i="90" s="1"/>
  <c r="DI89" i="90" s="1"/>
  <c r="DJ89" i="90" s="1"/>
  <c r="DK89" i="90" s="1"/>
  <c r="DL89" i="90" s="1"/>
  <c r="DM89" i="90" s="1"/>
  <c r="BP93" i="90"/>
  <c r="AD96" i="90"/>
  <c r="BP91" i="90"/>
  <c r="L103" i="90"/>
  <c r="C106" i="90"/>
  <c r="J105" i="90"/>
  <c r="BP92" i="90"/>
  <c r="R100" i="90"/>
  <c r="S100" i="90" s="1"/>
  <c r="N101" i="90"/>
  <c r="M102" i="90"/>
  <c r="X97" i="90"/>
  <c r="BQ45" i="90"/>
  <c r="BN87" i="83"/>
  <c r="BQ6" i="91"/>
  <c r="BQ5" i="91"/>
  <c r="BR4" i="91"/>
  <c r="BP6" i="90"/>
  <c r="BP21" i="90" s="1"/>
  <c r="BP5" i="90"/>
  <c r="BQ4" i="90"/>
  <c r="BN48" i="83"/>
  <c r="BP4" i="83"/>
  <c r="BO6" i="83"/>
  <c r="BO80" i="83" s="1"/>
  <c r="BO5" i="83"/>
  <c r="BK157" i="90" l="1"/>
  <c r="BL108" i="83"/>
  <c r="BL109" i="83" s="1"/>
  <c r="BL110" i="83" s="1"/>
  <c r="BL18" i="91" s="1"/>
  <c r="BM89" i="83"/>
  <c r="BM90" i="83" s="1"/>
  <c r="BN82" i="83"/>
  <c r="BM96" i="83"/>
  <c r="BM97" i="83" s="1"/>
  <c r="BO47" i="83"/>
  <c r="BO116" i="83"/>
  <c r="BO36" i="83"/>
  <c r="BO37" i="83"/>
  <c r="BO100" i="83"/>
  <c r="BO102" i="83" s="1"/>
  <c r="BO104" i="83" s="1"/>
  <c r="BO39" i="83"/>
  <c r="BO45" i="83" s="1"/>
  <c r="BO117" i="83"/>
  <c r="BO23" i="91" s="1"/>
  <c r="BN118" i="83"/>
  <c r="BN22" i="91"/>
  <c r="BN44" i="83"/>
  <c r="BN51" i="83" s="1"/>
  <c r="BN55" i="83" s="1"/>
  <c r="BN71" i="93" s="1"/>
  <c r="BN41" i="83"/>
  <c r="BM71" i="93"/>
  <c r="BM77" i="93" s="1"/>
  <c r="BG79" i="91"/>
  <c r="BG80" i="91" s="1"/>
  <c r="BG82" i="91" s="1"/>
  <c r="BN107" i="83"/>
  <c r="BO86" i="83"/>
  <c r="BO93" i="83"/>
  <c r="BO94" i="83"/>
  <c r="BO78" i="83"/>
  <c r="BH66" i="91"/>
  <c r="BL78" i="91"/>
  <c r="BL70" i="91"/>
  <c r="BH12" i="90"/>
  <c r="BL160" i="90"/>
  <c r="BL159" i="90"/>
  <c r="BL161" i="90"/>
  <c r="BJ169" i="90"/>
  <c r="BJ170" i="90" s="1"/>
  <c r="BJ173" i="90"/>
  <c r="BJ174" i="90" s="1"/>
  <c r="BJ175" i="90" s="1"/>
  <c r="BM64" i="83"/>
  <c r="BM65" i="83" s="1"/>
  <c r="BM149" i="90"/>
  <c r="BM153" i="90" s="1"/>
  <c r="BM62" i="91"/>
  <c r="BK162" i="90"/>
  <c r="BJ10" i="91"/>
  <c r="BJ73" i="83"/>
  <c r="BJ74" i="83" s="1"/>
  <c r="BJ15" i="91" s="1"/>
  <c r="BI12" i="90"/>
  <c r="BI26" i="91"/>
  <c r="BL68" i="83"/>
  <c r="BL155" i="90" s="1"/>
  <c r="BO24" i="83"/>
  <c r="BO27" i="83"/>
  <c r="BO25" i="83"/>
  <c r="BO26" i="83"/>
  <c r="BO28" i="83"/>
  <c r="BO29" i="83"/>
  <c r="BN30" i="83"/>
  <c r="BN32" i="83" s="1"/>
  <c r="BN21" i="91" s="1"/>
  <c r="BI64" i="91"/>
  <c r="BI71" i="91" s="1"/>
  <c r="BI72" i="91" s="1"/>
  <c r="BI74" i="91" s="1"/>
  <c r="BO62" i="83"/>
  <c r="BO72" i="83"/>
  <c r="BK86" i="91"/>
  <c r="BK69" i="83"/>
  <c r="BK25" i="90"/>
  <c r="BK29" i="90" s="1"/>
  <c r="BL24" i="91"/>
  <c r="BL25" i="90" s="1"/>
  <c r="BF37" i="90"/>
  <c r="BJ64" i="91"/>
  <c r="BJ71" i="91" s="1"/>
  <c r="BJ72" i="91" s="1"/>
  <c r="BJ74" i="91" s="1"/>
  <c r="BK14" i="90"/>
  <c r="BK63" i="91"/>
  <c r="BH28" i="90"/>
  <c r="BH30" i="90" s="1"/>
  <c r="BG33" i="90"/>
  <c r="E91" i="90" s="1"/>
  <c r="BN17" i="90"/>
  <c r="BN69" i="91" s="1"/>
  <c r="BQ94" i="90"/>
  <c r="W99" i="90"/>
  <c r="X99" i="90" s="1"/>
  <c r="BP98" i="90"/>
  <c r="BQ98" i="90" s="1"/>
  <c r="BP8" i="90"/>
  <c r="BO38" i="90"/>
  <c r="O101" i="90"/>
  <c r="M103" i="90"/>
  <c r="BQ93" i="90"/>
  <c r="C107" i="90"/>
  <c r="J106" i="90"/>
  <c r="BQ91" i="90"/>
  <c r="BQ90" i="90"/>
  <c r="BR90" i="90" s="1"/>
  <c r="BS90" i="90" s="1"/>
  <c r="BT90" i="90" s="1"/>
  <c r="BU90" i="90" s="1"/>
  <c r="BV90" i="90" s="1"/>
  <c r="BW90" i="90" s="1"/>
  <c r="BX90" i="90" s="1"/>
  <c r="BY90" i="90" s="1"/>
  <c r="BZ90" i="90" s="1"/>
  <c r="CA90" i="90" s="1"/>
  <c r="CB90" i="90" s="1"/>
  <c r="CC90" i="90" s="1"/>
  <c r="CD90" i="90" s="1"/>
  <c r="CE90" i="90" s="1"/>
  <c r="CF90" i="90" s="1"/>
  <c r="CG90" i="90" s="1"/>
  <c r="CH90" i="90" s="1"/>
  <c r="CI90" i="90" s="1"/>
  <c r="CJ90" i="90" s="1"/>
  <c r="CK90" i="90" s="1"/>
  <c r="CL90" i="90" s="1"/>
  <c r="CM90" i="90" s="1"/>
  <c r="CN90" i="90" s="1"/>
  <c r="CO90" i="90" s="1"/>
  <c r="CP90" i="90" s="1"/>
  <c r="CQ90" i="90" s="1"/>
  <c r="CR90" i="90" s="1"/>
  <c r="CS90" i="90" s="1"/>
  <c r="CT90" i="90" s="1"/>
  <c r="CU90" i="90" s="1"/>
  <c r="CV90" i="90" s="1"/>
  <c r="CW90" i="90" s="1"/>
  <c r="CX90" i="90" s="1"/>
  <c r="CY90" i="90" s="1"/>
  <c r="CZ90" i="90" s="1"/>
  <c r="DA90" i="90" s="1"/>
  <c r="DB90" i="90" s="1"/>
  <c r="DC90" i="90" s="1"/>
  <c r="DD90" i="90" s="1"/>
  <c r="DE90" i="90" s="1"/>
  <c r="DF90" i="90" s="1"/>
  <c r="DG90" i="90" s="1"/>
  <c r="DH90" i="90" s="1"/>
  <c r="DI90" i="90" s="1"/>
  <c r="DJ90" i="90" s="1"/>
  <c r="DK90" i="90" s="1"/>
  <c r="DL90" i="90" s="1"/>
  <c r="DM90" i="90" s="1"/>
  <c r="O104" i="90"/>
  <c r="Y97" i="90"/>
  <c r="K105" i="90"/>
  <c r="BR45" i="90"/>
  <c r="N102" i="90"/>
  <c r="BQ92" i="90"/>
  <c r="T100" i="90"/>
  <c r="BQ95" i="90"/>
  <c r="BR95" i="90" s="1"/>
  <c r="AE96" i="90"/>
  <c r="BO87" i="83"/>
  <c r="BS4" i="91"/>
  <c r="BR6" i="91"/>
  <c r="BR5" i="91"/>
  <c r="BR4" i="90"/>
  <c r="BQ6" i="90"/>
  <c r="BQ21" i="90" s="1"/>
  <c r="BQ5" i="90"/>
  <c r="BO48" i="83"/>
  <c r="BQ4" i="83"/>
  <c r="BP6" i="83"/>
  <c r="BP80" i="83" s="1"/>
  <c r="BP5" i="83"/>
  <c r="BL157" i="90" l="1"/>
  <c r="BM108" i="83"/>
  <c r="BM109" i="83" s="1"/>
  <c r="BM110" i="83" s="1"/>
  <c r="BM18" i="91" s="1"/>
  <c r="BM63" i="91" s="1"/>
  <c r="BO82" i="83"/>
  <c r="BO83" i="83" s="1"/>
  <c r="BO44" i="83"/>
  <c r="BO51" i="83" s="1"/>
  <c r="BO55" i="83" s="1"/>
  <c r="BO71" i="93" s="1"/>
  <c r="BO41" i="83"/>
  <c r="BO22" i="91"/>
  <c r="BO118" i="83"/>
  <c r="BP47" i="83"/>
  <c r="BP116" i="83"/>
  <c r="BP36" i="83"/>
  <c r="BP37" i="83"/>
  <c r="BP100" i="83"/>
  <c r="BP102" i="83" s="1"/>
  <c r="BP104" i="83" s="1"/>
  <c r="BP39" i="83"/>
  <c r="BP45" i="83" s="1"/>
  <c r="BP117" i="83"/>
  <c r="BP23" i="91" s="1"/>
  <c r="BN96" i="83"/>
  <c r="BN97" i="83" s="1"/>
  <c r="BN89" i="83"/>
  <c r="BN90" i="83" s="1"/>
  <c r="BN83" i="83"/>
  <c r="BH79" i="91"/>
  <c r="BH80" i="91" s="1"/>
  <c r="BH82" i="91" s="1"/>
  <c r="BO107" i="83"/>
  <c r="BP86" i="83"/>
  <c r="BP93" i="83"/>
  <c r="BP94" i="83"/>
  <c r="BP78" i="83"/>
  <c r="BJ66" i="91"/>
  <c r="BI66" i="91"/>
  <c r="BM78" i="91"/>
  <c r="BM70" i="91"/>
  <c r="BM161" i="90"/>
  <c r="BM159" i="90"/>
  <c r="BM160" i="90"/>
  <c r="BN64" i="83"/>
  <c r="BN65" i="83" s="1"/>
  <c r="BN62" i="91"/>
  <c r="BN149" i="90"/>
  <c r="BN153" i="90" s="1"/>
  <c r="BL162" i="90"/>
  <c r="BK169" i="90"/>
  <c r="BK170" i="90" s="1"/>
  <c r="BK173" i="90"/>
  <c r="BK174" i="90" s="1"/>
  <c r="BK175" i="90" s="1"/>
  <c r="BJ12" i="91"/>
  <c r="BJ11" i="90" s="1"/>
  <c r="BN77" i="93"/>
  <c r="BK10" i="91"/>
  <c r="BK12" i="91" s="1"/>
  <c r="BK73" i="83"/>
  <c r="BK74" i="83" s="1"/>
  <c r="BK15" i="91" s="1"/>
  <c r="BJ12" i="90"/>
  <c r="BO30" i="83"/>
  <c r="BO32" i="83" s="1"/>
  <c r="BO21" i="91" s="1"/>
  <c r="BP29" i="83"/>
  <c r="BP24" i="83"/>
  <c r="BP27" i="83"/>
  <c r="BP25" i="83"/>
  <c r="BP26" i="83"/>
  <c r="BP28" i="83"/>
  <c r="BP62" i="83"/>
  <c r="BP72" i="83"/>
  <c r="BM68" i="83"/>
  <c r="BM155" i="90" s="1"/>
  <c r="BL69" i="83"/>
  <c r="BL85" i="91"/>
  <c r="BL86" i="91" s="1"/>
  <c r="BR94" i="90"/>
  <c r="BM24" i="91"/>
  <c r="BM85" i="91" s="1"/>
  <c r="BL14" i="90"/>
  <c r="BL63" i="91"/>
  <c r="BG37" i="90"/>
  <c r="BL29" i="90"/>
  <c r="BI28" i="90"/>
  <c r="BI30" i="90" s="1"/>
  <c r="BH33" i="90"/>
  <c r="E92" i="90" s="1"/>
  <c r="BO17" i="90"/>
  <c r="BO69" i="91" s="1"/>
  <c r="Y99" i="90"/>
  <c r="Z99" i="90" s="1"/>
  <c r="AA99" i="90" s="1"/>
  <c r="AB99" i="90" s="1"/>
  <c r="AC99" i="90" s="1"/>
  <c r="AD99" i="90" s="1"/>
  <c r="AE99" i="90" s="1"/>
  <c r="BQ8" i="90"/>
  <c r="BP38" i="90"/>
  <c r="U100" i="90"/>
  <c r="O102" i="90"/>
  <c r="BR91" i="90"/>
  <c r="BS91" i="90" s="1"/>
  <c r="BT91" i="90" s="1"/>
  <c r="BU91" i="90" s="1"/>
  <c r="BV91" i="90" s="1"/>
  <c r="BW91" i="90" s="1"/>
  <c r="BX91" i="90" s="1"/>
  <c r="BY91" i="90" s="1"/>
  <c r="BZ91" i="90" s="1"/>
  <c r="CA91" i="90" s="1"/>
  <c r="CB91" i="90" s="1"/>
  <c r="CC91" i="90" s="1"/>
  <c r="CD91" i="90" s="1"/>
  <c r="CE91" i="90" s="1"/>
  <c r="CF91" i="90" s="1"/>
  <c r="CG91" i="90" s="1"/>
  <c r="CH91" i="90" s="1"/>
  <c r="CI91" i="90" s="1"/>
  <c r="CJ91" i="90" s="1"/>
  <c r="CK91" i="90" s="1"/>
  <c r="CL91" i="90" s="1"/>
  <c r="CM91" i="90" s="1"/>
  <c r="CN91" i="90" s="1"/>
  <c r="CO91" i="90" s="1"/>
  <c r="CP91" i="90" s="1"/>
  <c r="CQ91" i="90" s="1"/>
  <c r="CR91" i="90" s="1"/>
  <c r="CS91" i="90" s="1"/>
  <c r="CT91" i="90" s="1"/>
  <c r="CU91" i="90" s="1"/>
  <c r="CV91" i="90" s="1"/>
  <c r="CW91" i="90" s="1"/>
  <c r="CX91" i="90" s="1"/>
  <c r="CY91" i="90" s="1"/>
  <c r="CZ91" i="90" s="1"/>
  <c r="DA91" i="90" s="1"/>
  <c r="DB91" i="90" s="1"/>
  <c r="DC91" i="90" s="1"/>
  <c r="DD91" i="90" s="1"/>
  <c r="DE91" i="90" s="1"/>
  <c r="DF91" i="90" s="1"/>
  <c r="DG91" i="90" s="1"/>
  <c r="DH91" i="90" s="1"/>
  <c r="DI91" i="90" s="1"/>
  <c r="DJ91" i="90" s="1"/>
  <c r="DK91" i="90" s="1"/>
  <c r="DL91" i="90" s="1"/>
  <c r="DM91" i="90" s="1"/>
  <c r="BR93" i="90"/>
  <c r="P101" i="90"/>
  <c r="C108" i="90"/>
  <c r="J107" i="90"/>
  <c r="N103" i="90"/>
  <c r="O103" i="90" s="1"/>
  <c r="AF96" i="90"/>
  <c r="BR92" i="90"/>
  <c r="BS92" i="90" s="1"/>
  <c r="BT92" i="90" s="1"/>
  <c r="BU92" i="90" s="1"/>
  <c r="BV92" i="90" s="1"/>
  <c r="BW92" i="90" s="1"/>
  <c r="BX92" i="90" s="1"/>
  <c r="BY92" i="90" s="1"/>
  <c r="BZ92" i="90" s="1"/>
  <c r="CA92" i="90" s="1"/>
  <c r="CB92" i="90" s="1"/>
  <c r="CC92" i="90" s="1"/>
  <c r="CD92" i="90" s="1"/>
  <c r="CE92" i="90" s="1"/>
  <c r="CF92" i="90" s="1"/>
  <c r="CG92" i="90" s="1"/>
  <c r="CH92" i="90" s="1"/>
  <c r="CI92" i="90" s="1"/>
  <c r="CJ92" i="90" s="1"/>
  <c r="CK92" i="90" s="1"/>
  <c r="CL92" i="90" s="1"/>
  <c r="CM92" i="90" s="1"/>
  <c r="CN92" i="90" s="1"/>
  <c r="CO92" i="90" s="1"/>
  <c r="CP92" i="90" s="1"/>
  <c r="CQ92" i="90" s="1"/>
  <c r="CR92" i="90" s="1"/>
  <c r="CS92" i="90" s="1"/>
  <c r="CT92" i="90" s="1"/>
  <c r="CU92" i="90" s="1"/>
  <c r="CV92" i="90" s="1"/>
  <c r="CW92" i="90" s="1"/>
  <c r="CX92" i="90" s="1"/>
  <c r="CY92" i="90" s="1"/>
  <c r="CZ92" i="90" s="1"/>
  <c r="DA92" i="90" s="1"/>
  <c r="DB92" i="90" s="1"/>
  <c r="DC92" i="90" s="1"/>
  <c r="DD92" i="90" s="1"/>
  <c r="DE92" i="90" s="1"/>
  <c r="DF92" i="90" s="1"/>
  <c r="DG92" i="90" s="1"/>
  <c r="DH92" i="90" s="1"/>
  <c r="DI92" i="90" s="1"/>
  <c r="DJ92" i="90" s="1"/>
  <c r="DK92" i="90" s="1"/>
  <c r="DL92" i="90" s="1"/>
  <c r="DM92" i="90" s="1"/>
  <c r="Z97" i="90"/>
  <c r="K106" i="90"/>
  <c r="L106" i="90" s="1"/>
  <c r="BS45" i="90"/>
  <c r="L105" i="90"/>
  <c r="M105" i="90" s="1"/>
  <c r="P104" i="90"/>
  <c r="BR98" i="90"/>
  <c r="BP87" i="83"/>
  <c r="BT4" i="91"/>
  <c r="BS6" i="91"/>
  <c r="BS5" i="91"/>
  <c r="BS4" i="90"/>
  <c r="BS95" i="90" s="1"/>
  <c r="BR6" i="90"/>
  <c r="BR21" i="90" s="1"/>
  <c r="BR5" i="90"/>
  <c r="BP48" i="83"/>
  <c r="BR4" i="83"/>
  <c r="BQ5" i="83"/>
  <c r="BQ6" i="83"/>
  <c r="BQ80" i="83" s="1"/>
  <c r="BM157" i="90" l="1"/>
  <c r="BO89" i="83"/>
  <c r="BO90" i="83" s="1"/>
  <c r="BM14" i="90"/>
  <c r="BP82" i="83"/>
  <c r="BO96" i="83"/>
  <c r="BO97" i="83" s="1"/>
  <c r="BN108" i="83"/>
  <c r="BN109" i="83" s="1"/>
  <c r="BN110" i="83" s="1"/>
  <c r="BN18" i="91" s="1"/>
  <c r="BN63" i="91" s="1"/>
  <c r="BP44" i="83"/>
  <c r="BP51" i="83" s="1"/>
  <c r="BP55" i="83" s="1"/>
  <c r="BP71" i="93" s="1"/>
  <c r="BP41" i="83"/>
  <c r="BP22" i="91"/>
  <c r="BP118" i="83"/>
  <c r="BQ47" i="83"/>
  <c r="BQ116" i="83"/>
  <c r="BQ37" i="83"/>
  <c r="BQ100" i="83"/>
  <c r="BQ102" i="83" s="1"/>
  <c r="BQ104" i="83" s="1"/>
  <c r="BQ117" i="83"/>
  <c r="BQ23" i="91" s="1"/>
  <c r="BQ39" i="83"/>
  <c r="BQ45" i="83" s="1"/>
  <c r="BQ36" i="83"/>
  <c r="BJ79" i="91"/>
  <c r="BJ80" i="91" s="1"/>
  <c r="BJ82" i="91" s="1"/>
  <c r="BI79" i="91"/>
  <c r="BI80" i="91" s="1"/>
  <c r="BI82" i="91" s="1"/>
  <c r="BP107" i="83"/>
  <c r="BQ86" i="83"/>
  <c r="BQ93" i="83"/>
  <c r="BQ94" i="83"/>
  <c r="BQ78" i="83"/>
  <c r="BN70" i="91"/>
  <c r="BN78" i="91"/>
  <c r="BM162" i="90"/>
  <c r="BM173" i="90" s="1"/>
  <c r="BM174" i="90" s="1"/>
  <c r="BM175" i="90" s="1"/>
  <c r="BL173" i="90"/>
  <c r="BL174" i="90" s="1"/>
  <c r="BL175" i="90" s="1"/>
  <c r="BL169" i="90"/>
  <c r="BL170" i="90" s="1"/>
  <c r="BJ26" i="91"/>
  <c r="BO64" i="83"/>
  <c r="BO65" i="83" s="1"/>
  <c r="BO62" i="91"/>
  <c r="BO149" i="90"/>
  <c r="BO153" i="90" s="1"/>
  <c r="BO77" i="93"/>
  <c r="BN160" i="90"/>
  <c r="BN161" i="90"/>
  <c r="BN159" i="90"/>
  <c r="BK26" i="91"/>
  <c r="M106" i="90"/>
  <c r="BL10" i="91"/>
  <c r="BL12" i="91" s="1"/>
  <c r="BL73" i="83"/>
  <c r="BL74" i="83" s="1"/>
  <c r="BL15" i="91" s="1"/>
  <c r="BK12" i="90"/>
  <c r="BP30" i="83"/>
  <c r="BP32" i="83" s="1"/>
  <c r="BP21" i="91" s="1"/>
  <c r="BQ26" i="83"/>
  <c r="BQ29" i="83"/>
  <c r="BQ24" i="83"/>
  <c r="BQ25" i="83"/>
  <c r="BQ27" i="83"/>
  <c r="BQ28" i="83"/>
  <c r="BQ62" i="83"/>
  <c r="BK64" i="91"/>
  <c r="BK71" i="91" s="1"/>
  <c r="BK72" i="91" s="1"/>
  <c r="BK74" i="91" s="1"/>
  <c r="BQ72" i="83"/>
  <c r="BK11" i="90"/>
  <c r="BM86" i="91"/>
  <c r="BM69" i="83"/>
  <c r="BM25" i="90"/>
  <c r="BM29" i="90" s="1"/>
  <c r="BN24" i="91"/>
  <c r="BN85" i="91" s="1"/>
  <c r="BJ28" i="90"/>
  <c r="BJ30" i="90" s="1"/>
  <c r="BI33" i="90"/>
  <c r="E93" i="90" s="1"/>
  <c r="BH37" i="90"/>
  <c r="BP17" i="90"/>
  <c r="BP69" i="91" s="1"/>
  <c r="AF99" i="90"/>
  <c r="AG99" i="90" s="1"/>
  <c r="AH99" i="90" s="1"/>
  <c r="AI99" i="90" s="1"/>
  <c r="AJ99" i="90" s="1"/>
  <c r="AK99" i="90" s="1"/>
  <c r="AL99" i="90" s="1"/>
  <c r="AM99" i="90" s="1"/>
  <c r="AN99" i="90" s="1"/>
  <c r="AO99" i="90" s="1"/>
  <c r="AP99" i="90" s="1"/>
  <c r="AQ99" i="90" s="1"/>
  <c r="AR99" i="90" s="1"/>
  <c r="AS99" i="90" s="1"/>
  <c r="AT99" i="90" s="1"/>
  <c r="AU99" i="90" s="1"/>
  <c r="AV99" i="90" s="1"/>
  <c r="AW99" i="90" s="1"/>
  <c r="AX99" i="90" s="1"/>
  <c r="AY99" i="90" s="1"/>
  <c r="AZ99" i="90" s="1"/>
  <c r="BA99" i="90" s="1"/>
  <c r="BB99" i="90" s="1"/>
  <c r="BC99" i="90" s="1"/>
  <c r="BD99" i="90" s="1"/>
  <c r="BE99" i="90" s="1"/>
  <c r="BF99" i="90" s="1"/>
  <c r="BG99" i="90" s="1"/>
  <c r="BH99" i="90" s="1"/>
  <c r="BI99" i="90" s="1"/>
  <c r="BJ99" i="90" s="1"/>
  <c r="BK99" i="90" s="1"/>
  <c r="BL99" i="90" s="1"/>
  <c r="BM99" i="90" s="1"/>
  <c r="BN99" i="90" s="1"/>
  <c r="BO99" i="90" s="1"/>
  <c r="BP99" i="90" s="1"/>
  <c r="BQ99" i="90" s="1"/>
  <c r="BR99" i="90" s="1"/>
  <c r="BR8" i="90"/>
  <c r="BQ38" i="90"/>
  <c r="P102" i="90"/>
  <c r="C109" i="90"/>
  <c r="J108" i="90"/>
  <c r="P103" i="90"/>
  <c r="Q103" i="90" s="1"/>
  <c r="Q101" i="90"/>
  <c r="V100" i="90"/>
  <c r="BS94" i="90"/>
  <c r="K107" i="90"/>
  <c r="L107" i="90" s="1"/>
  <c r="Q104" i="90"/>
  <c r="BT45" i="90"/>
  <c r="BS98" i="90"/>
  <c r="N106" i="90"/>
  <c r="O106" i="90" s="1"/>
  <c r="AA97" i="90"/>
  <c r="AG96" i="90"/>
  <c r="BS93" i="90"/>
  <c r="N105" i="90"/>
  <c r="BQ87" i="83"/>
  <c r="BU4" i="91"/>
  <c r="BT6" i="91"/>
  <c r="BT5" i="91"/>
  <c r="BT4" i="90"/>
  <c r="BT95" i="90" s="1"/>
  <c r="BS6" i="90"/>
  <c r="BS21" i="90" s="1"/>
  <c r="BS5" i="90"/>
  <c r="BS4" i="83"/>
  <c r="BR6" i="83"/>
  <c r="BR80" i="83" s="1"/>
  <c r="BR5" i="83"/>
  <c r="BQ48" i="83"/>
  <c r="BP89" i="83" l="1"/>
  <c r="BP90" i="83" s="1"/>
  <c r="BO108" i="83"/>
  <c r="BO109" i="83" s="1"/>
  <c r="BO110" i="83" s="1"/>
  <c r="BO18" i="91" s="1"/>
  <c r="BO63" i="91" s="1"/>
  <c r="BQ82" i="83"/>
  <c r="BN14" i="90"/>
  <c r="BN157" i="90"/>
  <c r="BP96" i="83"/>
  <c r="BP97" i="83" s="1"/>
  <c r="BQ44" i="83"/>
  <c r="BQ51" i="83" s="1"/>
  <c r="BQ55" i="83" s="1"/>
  <c r="BQ71" i="93" s="1"/>
  <c r="BQ41" i="83"/>
  <c r="BQ22" i="91"/>
  <c r="BQ118" i="83"/>
  <c r="BP83" i="83"/>
  <c r="BR47" i="83"/>
  <c r="BR37" i="83"/>
  <c r="BR100" i="83"/>
  <c r="BR102" i="83" s="1"/>
  <c r="BR104" i="83" s="1"/>
  <c r="BR39" i="83"/>
  <c r="BR45" i="83" s="1"/>
  <c r="BR117" i="83"/>
  <c r="BR23" i="91" s="1"/>
  <c r="BR116" i="83"/>
  <c r="BR36" i="83"/>
  <c r="BQ107" i="83"/>
  <c r="BR86" i="83"/>
  <c r="BR93" i="83"/>
  <c r="BR94" i="83"/>
  <c r="BR78" i="83"/>
  <c r="BK66" i="91"/>
  <c r="BO70" i="91"/>
  <c r="BO78" i="91"/>
  <c r="BM169" i="90"/>
  <c r="BM170" i="90" s="1"/>
  <c r="BN162" i="90"/>
  <c r="BN173" i="90" s="1"/>
  <c r="BN174" i="90" s="1"/>
  <c r="BN175" i="90" s="1"/>
  <c r="BP64" i="83"/>
  <c r="BP65" i="83" s="1"/>
  <c r="BP62" i="91"/>
  <c r="BP149" i="90"/>
  <c r="BP153" i="90" s="1"/>
  <c r="BO161" i="90"/>
  <c r="BO159" i="90"/>
  <c r="BO160" i="90"/>
  <c r="BP77" i="93"/>
  <c r="BL12" i="90"/>
  <c r="BM10" i="91"/>
  <c r="BM73" i="83"/>
  <c r="BM74" i="83" s="1"/>
  <c r="BM15" i="91" s="1"/>
  <c r="BN68" i="83"/>
  <c r="BQ30" i="83"/>
  <c r="BQ32" i="83" s="1"/>
  <c r="BQ21" i="91" s="1"/>
  <c r="BR26" i="83"/>
  <c r="BR29" i="83"/>
  <c r="BR24" i="83"/>
  <c r="BR25" i="83"/>
  <c r="BR27" i="83"/>
  <c r="BR28" i="83"/>
  <c r="BR62" i="83"/>
  <c r="BL11" i="90"/>
  <c r="BL26" i="91"/>
  <c r="BR72" i="83"/>
  <c r="BL64" i="91"/>
  <c r="BL71" i="91" s="1"/>
  <c r="BL72" i="91" s="1"/>
  <c r="BL74" i="91" s="1"/>
  <c r="BO68" i="83"/>
  <c r="BO155" i="90" s="1"/>
  <c r="BN86" i="91"/>
  <c r="BO24" i="91"/>
  <c r="BO25" i="90" s="1"/>
  <c r="BN25" i="90"/>
  <c r="BN29" i="90" s="1"/>
  <c r="BI37" i="90"/>
  <c r="BK28" i="90"/>
  <c r="BK30" i="90" s="1"/>
  <c r="BJ33" i="90"/>
  <c r="E94" i="90" s="1"/>
  <c r="BQ17" i="90"/>
  <c r="BQ69" i="91" s="1"/>
  <c r="M107" i="90"/>
  <c r="BS99" i="90"/>
  <c r="BT99" i="90" s="1"/>
  <c r="BS8" i="90"/>
  <c r="BR38" i="90"/>
  <c r="BT93" i="90"/>
  <c r="BU93" i="90" s="1"/>
  <c r="BV93" i="90" s="1"/>
  <c r="BW93" i="90" s="1"/>
  <c r="BX93" i="90" s="1"/>
  <c r="BY93" i="90" s="1"/>
  <c r="BZ93" i="90" s="1"/>
  <c r="CA93" i="90" s="1"/>
  <c r="CB93" i="90" s="1"/>
  <c r="CC93" i="90" s="1"/>
  <c r="CD93" i="90" s="1"/>
  <c r="CE93" i="90" s="1"/>
  <c r="CF93" i="90" s="1"/>
  <c r="CG93" i="90" s="1"/>
  <c r="CH93" i="90" s="1"/>
  <c r="CI93" i="90" s="1"/>
  <c r="CJ93" i="90" s="1"/>
  <c r="CK93" i="90" s="1"/>
  <c r="CL93" i="90" s="1"/>
  <c r="CM93" i="90" s="1"/>
  <c r="CN93" i="90" s="1"/>
  <c r="CO93" i="90" s="1"/>
  <c r="CP93" i="90" s="1"/>
  <c r="CQ93" i="90" s="1"/>
  <c r="CR93" i="90" s="1"/>
  <c r="CS93" i="90" s="1"/>
  <c r="CT93" i="90" s="1"/>
  <c r="CU93" i="90" s="1"/>
  <c r="CV93" i="90" s="1"/>
  <c r="CW93" i="90" s="1"/>
  <c r="CX93" i="90" s="1"/>
  <c r="CY93" i="90" s="1"/>
  <c r="CZ93" i="90" s="1"/>
  <c r="DA93" i="90" s="1"/>
  <c r="DB93" i="90" s="1"/>
  <c r="DC93" i="90" s="1"/>
  <c r="DD93" i="90" s="1"/>
  <c r="DE93" i="90" s="1"/>
  <c r="DF93" i="90" s="1"/>
  <c r="DG93" i="90" s="1"/>
  <c r="DH93" i="90" s="1"/>
  <c r="DI93" i="90" s="1"/>
  <c r="DJ93" i="90" s="1"/>
  <c r="DK93" i="90" s="1"/>
  <c r="DL93" i="90" s="1"/>
  <c r="DM93" i="90" s="1"/>
  <c r="AB97" i="90"/>
  <c r="R104" i="90"/>
  <c r="S104" i="90" s="1"/>
  <c r="T104" i="90" s="1"/>
  <c r="U104" i="90" s="1"/>
  <c r="K108" i="90"/>
  <c r="L108" i="90" s="1"/>
  <c r="O105" i="90"/>
  <c r="P105" i="90" s="1"/>
  <c r="Q105" i="90" s="1"/>
  <c r="BT94" i="90"/>
  <c r="C110" i="90"/>
  <c r="J109" i="90"/>
  <c r="Q102" i="90"/>
  <c r="P106" i="90"/>
  <c r="BU45" i="90"/>
  <c r="AH96" i="90"/>
  <c r="BT98" i="90"/>
  <c r="W100" i="90"/>
  <c r="R101" i="90"/>
  <c r="R103" i="90"/>
  <c r="S103" i="90" s="1"/>
  <c r="T103" i="90" s="1"/>
  <c r="U103" i="90" s="1"/>
  <c r="V103" i="90" s="1"/>
  <c r="W103" i="90" s="1"/>
  <c r="X103" i="90" s="1"/>
  <c r="Y103" i="90" s="1"/>
  <c r="Z103" i="90" s="1"/>
  <c r="AA103" i="90" s="1"/>
  <c r="AB103" i="90" s="1"/>
  <c r="AC103" i="90" s="1"/>
  <c r="AD103" i="90" s="1"/>
  <c r="AE103" i="90" s="1"/>
  <c r="AF103" i="90" s="1"/>
  <c r="AG103" i="90" s="1"/>
  <c r="AH103" i="90" s="1"/>
  <c r="AI103" i="90" s="1"/>
  <c r="AJ103" i="90" s="1"/>
  <c r="AK103" i="90" s="1"/>
  <c r="AL103" i="90" s="1"/>
  <c r="AM103" i="90" s="1"/>
  <c r="AN103" i="90" s="1"/>
  <c r="AO103" i="90" s="1"/>
  <c r="AP103" i="90" s="1"/>
  <c r="AQ103" i="90" s="1"/>
  <c r="AR103" i="90" s="1"/>
  <c r="AS103" i="90" s="1"/>
  <c r="AT103" i="90" s="1"/>
  <c r="AU103" i="90" s="1"/>
  <c r="AV103" i="90" s="1"/>
  <c r="AW103" i="90" s="1"/>
  <c r="AX103" i="90" s="1"/>
  <c r="AY103" i="90" s="1"/>
  <c r="AZ103" i="90" s="1"/>
  <c r="BA103" i="90" s="1"/>
  <c r="BB103" i="90" s="1"/>
  <c r="BC103" i="90" s="1"/>
  <c r="BD103" i="90" s="1"/>
  <c r="BE103" i="90" s="1"/>
  <c r="BF103" i="90" s="1"/>
  <c r="BG103" i="90" s="1"/>
  <c r="BH103" i="90" s="1"/>
  <c r="BI103" i="90" s="1"/>
  <c r="BJ103" i="90" s="1"/>
  <c r="BK103" i="90" s="1"/>
  <c r="BL103" i="90" s="1"/>
  <c r="BM103" i="90" s="1"/>
  <c r="BN103" i="90" s="1"/>
  <c r="BO103" i="90" s="1"/>
  <c r="BP103" i="90" s="1"/>
  <c r="BQ103" i="90" s="1"/>
  <c r="BR103" i="90" s="1"/>
  <c r="BS103" i="90" s="1"/>
  <c r="BT103" i="90" s="1"/>
  <c r="BU103" i="90" s="1"/>
  <c r="BR87" i="83"/>
  <c r="BU6" i="91"/>
  <c r="BU5" i="91"/>
  <c r="BV4" i="91"/>
  <c r="BT6" i="90"/>
  <c r="BT21" i="90" s="1"/>
  <c r="BT5" i="90"/>
  <c r="BU4" i="90"/>
  <c r="BU95" i="90" s="1"/>
  <c r="BR48" i="83"/>
  <c r="BT4" i="83"/>
  <c r="BS6" i="83"/>
  <c r="BS80" i="83" s="1"/>
  <c r="BS5" i="83"/>
  <c r="BR82" i="83" l="1"/>
  <c r="BQ89" i="83"/>
  <c r="BQ90" i="83" s="1"/>
  <c r="BQ96" i="83"/>
  <c r="BQ97" i="83" s="1"/>
  <c r="BS47" i="83"/>
  <c r="BS37" i="83"/>
  <c r="BS100" i="83"/>
  <c r="BS102" i="83" s="1"/>
  <c r="BS104" i="83" s="1"/>
  <c r="BS39" i="83"/>
  <c r="BS45" i="83" s="1"/>
  <c r="BS117" i="83"/>
  <c r="BS23" i="91" s="1"/>
  <c r="BS116" i="83"/>
  <c r="BS36" i="83"/>
  <c r="BR44" i="83"/>
  <c r="BR51" i="83" s="1"/>
  <c r="BR55" i="83" s="1"/>
  <c r="BR71" i="93" s="1"/>
  <c r="BR41" i="83"/>
  <c r="BP108" i="83"/>
  <c r="BP109" i="83" s="1"/>
  <c r="BP110" i="83" s="1"/>
  <c r="BP18" i="91" s="1"/>
  <c r="BP63" i="91" s="1"/>
  <c r="BR118" i="83"/>
  <c r="BR22" i="91"/>
  <c r="BQ83" i="83"/>
  <c r="BO14" i="90"/>
  <c r="BO157" i="90"/>
  <c r="BR107" i="83"/>
  <c r="BK79" i="91"/>
  <c r="BK80" i="91" s="1"/>
  <c r="BK82" i="91" s="1"/>
  <c r="BS86" i="83"/>
  <c r="BS93" i="83"/>
  <c r="BS94" i="83"/>
  <c r="BS78" i="83"/>
  <c r="BL66" i="91"/>
  <c r="BN169" i="90"/>
  <c r="BN170" i="90" s="1"/>
  <c r="BM12" i="90"/>
  <c r="BP70" i="91"/>
  <c r="BP78" i="91"/>
  <c r="BO162" i="90"/>
  <c r="BP159" i="90"/>
  <c r="BP160" i="90"/>
  <c r="BP161" i="90"/>
  <c r="BQ64" i="83"/>
  <c r="BQ65" i="83" s="1"/>
  <c r="BQ62" i="91"/>
  <c r="BQ149" i="90"/>
  <c r="BQ153" i="90" s="1"/>
  <c r="BQ77" i="93"/>
  <c r="BN69" i="83"/>
  <c r="BN10" i="91" s="1"/>
  <c r="BN155" i="90"/>
  <c r="BM12" i="91"/>
  <c r="BM11" i="90" s="1"/>
  <c r="BS28" i="83"/>
  <c r="BS26" i="83"/>
  <c r="BS29" i="83"/>
  <c r="BS25" i="83"/>
  <c r="BS27" i="83"/>
  <c r="BS24" i="83"/>
  <c r="BR30" i="83"/>
  <c r="BR32" i="83" s="1"/>
  <c r="BR21" i="91" s="1"/>
  <c r="BS62" i="83"/>
  <c r="BS72" i="83"/>
  <c r="BO85" i="91"/>
  <c r="BO86" i="91" s="1"/>
  <c r="BM64" i="91"/>
  <c r="BM71" i="91" s="1"/>
  <c r="BM72" i="91" s="1"/>
  <c r="BM74" i="91" s="1"/>
  <c r="BO69" i="83"/>
  <c r="BP24" i="91"/>
  <c r="BP85" i="91" s="1"/>
  <c r="BO29" i="90"/>
  <c r="BQ24" i="91"/>
  <c r="BL28" i="90"/>
  <c r="BL30" i="90" s="1"/>
  <c r="BK33" i="90"/>
  <c r="E95" i="90" s="1"/>
  <c r="BJ37" i="90"/>
  <c r="BR17" i="90"/>
  <c r="BR69" i="91" s="1"/>
  <c r="V104" i="90"/>
  <c r="W104" i="90" s="1"/>
  <c r="X104" i="90" s="1"/>
  <c r="Y104" i="90" s="1"/>
  <c r="Z104" i="90" s="1"/>
  <c r="AA104" i="90" s="1"/>
  <c r="AB104" i="90" s="1"/>
  <c r="AC104" i="90" s="1"/>
  <c r="AD104" i="90" s="1"/>
  <c r="AE104" i="90" s="1"/>
  <c r="AF104" i="90" s="1"/>
  <c r="AG104" i="90" s="1"/>
  <c r="AH104" i="90" s="1"/>
  <c r="AI104" i="90" s="1"/>
  <c r="AJ104" i="90" s="1"/>
  <c r="AK104" i="90" s="1"/>
  <c r="AL104" i="90" s="1"/>
  <c r="AM104" i="90" s="1"/>
  <c r="AN104" i="90" s="1"/>
  <c r="AO104" i="90" s="1"/>
  <c r="AP104" i="90" s="1"/>
  <c r="AQ104" i="90" s="1"/>
  <c r="AR104" i="90" s="1"/>
  <c r="AS104" i="90" s="1"/>
  <c r="AT104" i="90" s="1"/>
  <c r="AU104" i="90" s="1"/>
  <c r="AV104" i="90" s="1"/>
  <c r="AW104" i="90" s="1"/>
  <c r="AX104" i="90" s="1"/>
  <c r="AY104" i="90" s="1"/>
  <c r="AZ104" i="90" s="1"/>
  <c r="BA104" i="90" s="1"/>
  <c r="BB104" i="90" s="1"/>
  <c r="BC104" i="90" s="1"/>
  <c r="BD104" i="90" s="1"/>
  <c r="BE104" i="90" s="1"/>
  <c r="BF104" i="90" s="1"/>
  <c r="BG104" i="90" s="1"/>
  <c r="BH104" i="90" s="1"/>
  <c r="BI104" i="90" s="1"/>
  <c r="BJ104" i="90" s="1"/>
  <c r="BK104" i="90" s="1"/>
  <c r="BL104" i="90" s="1"/>
  <c r="BM104" i="90" s="1"/>
  <c r="BN104" i="90" s="1"/>
  <c r="BO104" i="90" s="1"/>
  <c r="BP104" i="90" s="1"/>
  <c r="BQ104" i="90" s="1"/>
  <c r="BR104" i="90" s="1"/>
  <c r="BS104" i="90" s="1"/>
  <c r="BT104" i="90" s="1"/>
  <c r="BU104" i="90" s="1"/>
  <c r="BV104" i="90" s="1"/>
  <c r="BU99" i="90"/>
  <c r="BV99" i="90" s="1"/>
  <c r="N107" i="90"/>
  <c r="O107" i="90" s="1"/>
  <c r="BT8" i="90"/>
  <c r="BS38" i="90"/>
  <c r="AI96" i="90"/>
  <c r="R102" i="90"/>
  <c r="S102" i="90" s="1"/>
  <c r="R105" i="90"/>
  <c r="S105" i="90" s="1"/>
  <c r="T105" i="90" s="1"/>
  <c r="BU98" i="90"/>
  <c r="Q106" i="90"/>
  <c r="K109" i="90"/>
  <c r="L109" i="90" s="1"/>
  <c r="M108" i="90"/>
  <c r="C111" i="90"/>
  <c r="J110" i="90"/>
  <c r="AC97" i="90"/>
  <c r="S101" i="90"/>
  <c r="T101" i="90" s="1"/>
  <c r="U101" i="90" s="1"/>
  <c r="V101" i="90" s="1"/>
  <c r="X100" i="90"/>
  <c r="BV45" i="90"/>
  <c r="BU94" i="90"/>
  <c r="BV94" i="90" s="1"/>
  <c r="BW94" i="90" s="1"/>
  <c r="BX94" i="90" s="1"/>
  <c r="BY94" i="90" s="1"/>
  <c r="BZ94" i="90" s="1"/>
  <c r="CA94" i="90" s="1"/>
  <c r="CB94" i="90" s="1"/>
  <c r="CC94" i="90" s="1"/>
  <c r="CD94" i="90" s="1"/>
  <c r="CE94" i="90" s="1"/>
  <c r="CF94" i="90" s="1"/>
  <c r="CG94" i="90" s="1"/>
  <c r="CH94" i="90" s="1"/>
  <c r="CI94" i="90" s="1"/>
  <c r="CJ94" i="90" s="1"/>
  <c r="CK94" i="90" s="1"/>
  <c r="CL94" i="90" s="1"/>
  <c r="CM94" i="90" s="1"/>
  <c r="CN94" i="90" s="1"/>
  <c r="CO94" i="90" s="1"/>
  <c r="CP94" i="90" s="1"/>
  <c r="CQ94" i="90" s="1"/>
  <c r="CR94" i="90" s="1"/>
  <c r="CS94" i="90" s="1"/>
  <c r="CT94" i="90" s="1"/>
  <c r="CU94" i="90" s="1"/>
  <c r="CV94" i="90" s="1"/>
  <c r="CW94" i="90" s="1"/>
  <c r="CX94" i="90" s="1"/>
  <c r="CY94" i="90" s="1"/>
  <c r="CZ94" i="90" s="1"/>
  <c r="DA94" i="90" s="1"/>
  <c r="DB94" i="90" s="1"/>
  <c r="DC94" i="90" s="1"/>
  <c r="DD94" i="90" s="1"/>
  <c r="DE94" i="90" s="1"/>
  <c r="DF94" i="90" s="1"/>
  <c r="DG94" i="90" s="1"/>
  <c r="DH94" i="90" s="1"/>
  <c r="DI94" i="90" s="1"/>
  <c r="DJ94" i="90" s="1"/>
  <c r="DK94" i="90" s="1"/>
  <c r="DL94" i="90" s="1"/>
  <c r="DM94" i="90" s="1"/>
  <c r="BS87" i="83"/>
  <c r="BW4" i="91"/>
  <c r="BV6" i="91"/>
  <c r="BV5" i="91"/>
  <c r="BV4" i="90"/>
  <c r="BV95" i="90" s="1"/>
  <c r="BW95" i="90" s="1"/>
  <c r="BX95" i="90" s="1"/>
  <c r="BY95" i="90" s="1"/>
  <c r="BZ95" i="90" s="1"/>
  <c r="CA95" i="90" s="1"/>
  <c r="CB95" i="90" s="1"/>
  <c r="CC95" i="90" s="1"/>
  <c r="CD95" i="90" s="1"/>
  <c r="CE95" i="90" s="1"/>
  <c r="CF95" i="90" s="1"/>
  <c r="CG95" i="90" s="1"/>
  <c r="CH95" i="90" s="1"/>
  <c r="CI95" i="90" s="1"/>
  <c r="CJ95" i="90" s="1"/>
  <c r="CK95" i="90" s="1"/>
  <c r="CL95" i="90" s="1"/>
  <c r="CM95" i="90" s="1"/>
  <c r="CN95" i="90" s="1"/>
  <c r="CO95" i="90" s="1"/>
  <c r="CP95" i="90" s="1"/>
  <c r="CQ95" i="90" s="1"/>
  <c r="CR95" i="90" s="1"/>
  <c r="CS95" i="90" s="1"/>
  <c r="CT95" i="90" s="1"/>
  <c r="CU95" i="90" s="1"/>
  <c r="CV95" i="90" s="1"/>
  <c r="CW95" i="90" s="1"/>
  <c r="CX95" i="90" s="1"/>
  <c r="CY95" i="90" s="1"/>
  <c r="CZ95" i="90" s="1"/>
  <c r="DA95" i="90" s="1"/>
  <c r="DB95" i="90" s="1"/>
  <c r="DC95" i="90" s="1"/>
  <c r="DD95" i="90" s="1"/>
  <c r="DE95" i="90" s="1"/>
  <c r="DF95" i="90" s="1"/>
  <c r="DG95" i="90" s="1"/>
  <c r="DH95" i="90" s="1"/>
  <c r="DI95" i="90" s="1"/>
  <c r="DJ95" i="90" s="1"/>
  <c r="DK95" i="90" s="1"/>
  <c r="DL95" i="90" s="1"/>
  <c r="DM95" i="90" s="1"/>
  <c r="BU6" i="90"/>
  <c r="BU21" i="90" s="1"/>
  <c r="BU5" i="90"/>
  <c r="BS48" i="83"/>
  <c r="BU4" i="83"/>
  <c r="BT6" i="83"/>
  <c r="BT80" i="83" s="1"/>
  <c r="BT5" i="83"/>
  <c r="BS82" i="83" l="1"/>
  <c r="BQ108" i="83"/>
  <c r="BQ109" i="83" s="1"/>
  <c r="BQ110" i="83" s="1"/>
  <c r="BQ18" i="91" s="1"/>
  <c r="BQ63" i="91" s="1"/>
  <c r="BR96" i="83"/>
  <c r="BR97" i="83" s="1"/>
  <c r="BR89" i="83"/>
  <c r="BR90" i="83" s="1"/>
  <c r="BP14" i="90"/>
  <c r="BP157" i="90"/>
  <c r="BS22" i="91"/>
  <c r="BS118" i="83"/>
  <c r="BS44" i="83"/>
  <c r="BS51" i="83" s="1"/>
  <c r="BS55" i="83" s="1"/>
  <c r="BS41" i="83"/>
  <c r="BT47" i="83"/>
  <c r="BT100" i="83"/>
  <c r="BT102" i="83" s="1"/>
  <c r="BT104" i="83" s="1"/>
  <c r="BT117" i="83"/>
  <c r="BT23" i="91" s="1"/>
  <c r="BT39" i="83"/>
  <c r="BT45" i="83" s="1"/>
  <c r="BT116" i="83"/>
  <c r="BT36" i="83"/>
  <c r="BT37" i="83"/>
  <c r="BR83" i="83"/>
  <c r="BL79" i="91"/>
  <c r="BL80" i="91" s="1"/>
  <c r="BL82" i="91" s="1"/>
  <c r="BS107" i="83"/>
  <c r="BT86" i="83"/>
  <c r="BT93" i="83"/>
  <c r="BT94" i="83"/>
  <c r="BT78" i="83"/>
  <c r="BM66" i="91"/>
  <c r="BQ78" i="91"/>
  <c r="BQ70" i="91"/>
  <c r="BQ160" i="90"/>
  <c r="BQ159" i="90"/>
  <c r="BQ161" i="90"/>
  <c r="BP162" i="90"/>
  <c r="BR64" i="83"/>
  <c r="BR65" i="83" s="1"/>
  <c r="BR62" i="91"/>
  <c r="BR149" i="90"/>
  <c r="BR153" i="90" s="1"/>
  <c r="BO173" i="90"/>
  <c r="BO174" i="90" s="1"/>
  <c r="BO175" i="90" s="1"/>
  <c r="BO169" i="90"/>
  <c r="BO170" i="90" s="1"/>
  <c r="BN73" i="83"/>
  <c r="BN74" i="83" s="1"/>
  <c r="BN15" i="91" s="1"/>
  <c r="BR77" i="93"/>
  <c r="BM26" i="91"/>
  <c r="BN12" i="91"/>
  <c r="BO10" i="91"/>
  <c r="BO12" i="91" s="1"/>
  <c r="BO73" i="83"/>
  <c r="BO74" i="83" s="1"/>
  <c r="BO15" i="91" s="1"/>
  <c r="BQ68" i="83"/>
  <c r="BQ155" i="90" s="1"/>
  <c r="BP68" i="83"/>
  <c r="BS30" i="83"/>
  <c r="BS32" i="83" s="1"/>
  <c r="BS21" i="91" s="1"/>
  <c r="BT25" i="83"/>
  <c r="BT28" i="83"/>
  <c r="BT24" i="83"/>
  <c r="BT27" i="83"/>
  <c r="BT26" i="83"/>
  <c r="BT29" i="83"/>
  <c r="BT62" i="83"/>
  <c r="BT72" i="83"/>
  <c r="BP86" i="91"/>
  <c r="BN64" i="91"/>
  <c r="BN71" i="91" s="1"/>
  <c r="BN72" i="91" s="1"/>
  <c r="BN74" i="91" s="1"/>
  <c r="BP25" i="90"/>
  <c r="BP29" i="90" s="1"/>
  <c r="BQ25" i="90"/>
  <c r="BQ85" i="91"/>
  <c r="BK37" i="90"/>
  <c r="BM28" i="90"/>
  <c r="BM30" i="90" s="1"/>
  <c r="BL33" i="90"/>
  <c r="BS17" i="90"/>
  <c r="BS69" i="91" s="1"/>
  <c r="T102" i="90"/>
  <c r="U102" i="90" s="1"/>
  <c r="V102" i="90" s="1"/>
  <c r="W102" i="90" s="1"/>
  <c r="X102" i="90" s="1"/>
  <c r="Y102" i="90" s="1"/>
  <c r="Z102" i="90" s="1"/>
  <c r="AA102" i="90" s="1"/>
  <c r="AB102" i="90" s="1"/>
  <c r="AC102" i="90" s="1"/>
  <c r="AD102" i="90" s="1"/>
  <c r="AE102" i="90" s="1"/>
  <c r="AF102" i="90" s="1"/>
  <c r="AG102" i="90" s="1"/>
  <c r="AH102" i="90" s="1"/>
  <c r="AI102" i="90" s="1"/>
  <c r="AJ102" i="90" s="1"/>
  <c r="AK102" i="90" s="1"/>
  <c r="AL102" i="90" s="1"/>
  <c r="AM102" i="90" s="1"/>
  <c r="AN102" i="90" s="1"/>
  <c r="AO102" i="90" s="1"/>
  <c r="AP102" i="90" s="1"/>
  <c r="AQ102" i="90" s="1"/>
  <c r="AR102" i="90" s="1"/>
  <c r="AS102" i="90" s="1"/>
  <c r="AT102" i="90" s="1"/>
  <c r="AU102" i="90" s="1"/>
  <c r="AV102" i="90" s="1"/>
  <c r="AW102" i="90" s="1"/>
  <c r="AX102" i="90" s="1"/>
  <c r="AY102" i="90" s="1"/>
  <c r="AZ102" i="90" s="1"/>
  <c r="BA102" i="90" s="1"/>
  <c r="BB102" i="90" s="1"/>
  <c r="BC102" i="90" s="1"/>
  <c r="BD102" i="90" s="1"/>
  <c r="BE102" i="90" s="1"/>
  <c r="BF102" i="90" s="1"/>
  <c r="BG102" i="90" s="1"/>
  <c r="BH102" i="90" s="1"/>
  <c r="BI102" i="90" s="1"/>
  <c r="BJ102" i="90" s="1"/>
  <c r="BK102" i="90" s="1"/>
  <c r="BL102" i="90" s="1"/>
  <c r="BM102" i="90" s="1"/>
  <c r="BN102" i="90" s="1"/>
  <c r="BO102" i="90" s="1"/>
  <c r="BP102" i="90" s="1"/>
  <c r="BQ102" i="90" s="1"/>
  <c r="BR102" i="90" s="1"/>
  <c r="BS102" i="90" s="1"/>
  <c r="BT102" i="90" s="1"/>
  <c r="BU102" i="90" s="1"/>
  <c r="BV102" i="90" s="1"/>
  <c r="U105" i="90"/>
  <c r="V105" i="90" s="1"/>
  <c r="W105" i="90" s="1"/>
  <c r="X105" i="90" s="1"/>
  <c r="Y105" i="90" s="1"/>
  <c r="Z105" i="90" s="1"/>
  <c r="AA105" i="90" s="1"/>
  <c r="AB105" i="90" s="1"/>
  <c r="AC105" i="90" s="1"/>
  <c r="AD105" i="90" s="1"/>
  <c r="AE105" i="90" s="1"/>
  <c r="AF105" i="90" s="1"/>
  <c r="AG105" i="90" s="1"/>
  <c r="AH105" i="90" s="1"/>
  <c r="AI105" i="90" s="1"/>
  <c r="AJ105" i="90" s="1"/>
  <c r="AK105" i="90" s="1"/>
  <c r="AL105" i="90" s="1"/>
  <c r="AM105" i="90" s="1"/>
  <c r="AN105" i="90" s="1"/>
  <c r="AO105" i="90" s="1"/>
  <c r="AP105" i="90" s="1"/>
  <c r="AQ105" i="90" s="1"/>
  <c r="AR105" i="90" s="1"/>
  <c r="AS105" i="90" s="1"/>
  <c r="AT105" i="90" s="1"/>
  <c r="AU105" i="90" s="1"/>
  <c r="AV105" i="90" s="1"/>
  <c r="AW105" i="90" s="1"/>
  <c r="AX105" i="90" s="1"/>
  <c r="AY105" i="90" s="1"/>
  <c r="AZ105" i="90" s="1"/>
  <c r="BA105" i="90" s="1"/>
  <c r="BB105" i="90" s="1"/>
  <c r="BC105" i="90" s="1"/>
  <c r="BD105" i="90" s="1"/>
  <c r="BE105" i="90" s="1"/>
  <c r="BF105" i="90" s="1"/>
  <c r="BG105" i="90" s="1"/>
  <c r="BH105" i="90" s="1"/>
  <c r="BI105" i="90" s="1"/>
  <c r="BJ105" i="90" s="1"/>
  <c r="BK105" i="90" s="1"/>
  <c r="BL105" i="90" s="1"/>
  <c r="BM105" i="90" s="1"/>
  <c r="BN105" i="90" s="1"/>
  <c r="BO105" i="90" s="1"/>
  <c r="BP105" i="90" s="1"/>
  <c r="BQ105" i="90" s="1"/>
  <c r="BR105" i="90" s="1"/>
  <c r="BS105" i="90" s="1"/>
  <c r="BT105" i="90" s="1"/>
  <c r="BU105" i="90" s="1"/>
  <c r="BV105" i="90" s="1"/>
  <c r="BV103" i="90"/>
  <c r="P107" i="90"/>
  <c r="BU8" i="90"/>
  <c r="BT38" i="90"/>
  <c r="C112" i="90"/>
  <c r="J111" i="90"/>
  <c r="N108" i="90"/>
  <c r="Y100" i="90"/>
  <c r="Z100" i="90" s="1"/>
  <c r="AA100" i="90" s="1"/>
  <c r="AD97" i="90"/>
  <c r="AJ96" i="90"/>
  <c r="BW45" i="90"/>
  <c r="BV98" i="90"/>
  <c r="W101" i="90"/>
  <c r="X101" i="90" s="1"/>
  <c r="Y101" i="90" s="1"/>
  <c r="Z101" i="90" s="1"/>
  <c r="AA101" i="90" s="1"/>
  <c r="AB101" i="90" s="1"/>
  <c r="AC101" i="90" s="1"/>
  <c r="AD101" i="90" s="1"/>
  <c r="AE101" i="90" s="1"/>
  <c r="AF101" i="90" s="1"/>
  <c r="AG101" i="90" s="1"/>
  <c r="AH101" i="90" s="1"/>
  <c r="AI101" i="90" s="1"/>
  <c r="AJ101" i="90" s="1"/>
  <c r="AK101" i="90" s="1"/>
  <c r="AL101" i="90" s="1"/>
  <c r="AM101" i="90" s="1"/>
  <c r="AN101" i="90" s="1"/>
  <c r="AO101" i="90" s="1"/>
  <c r="AP101" i="90" s="1"/>
  <c r="AQ101" i="90" s="1"/>
  <c r="AR101" i="90" s="1"/>
  <c r="AS101" i="90" s="1"/>
  <c r="AT101" i="90" s="1"/>
  <c r="AU101" i="90" s="1"/>
  <c r="AV101" i="90" s="1"/>
  <c r="AW101" i="90" s="1"/>
  <c r="AX101" i="90" s="1"/>
  <c r="AY101" i="90" s="1"/>
  <c r="AZ101" i="90" s="1"/>
  <c r="BA101" i="90" s="1"/>
  <c r="BB101" i="90" s="1"/>
  <c r="BC101" i="90" s="1"/>
  <c r="BD101" i="90" s="1"/>
  <c r="BE101" i="90" s="1"/>
  <c r="BF101" i="90" s="1"/>
  <c r="BG101" i="90" s="1"/>
  <c r="BH101" i="90" s="1"/>
  <c r="BI101" i="90" s="1"/>
  <c r="BJ101" i="90" s="1"/>
  <c r="BK101" i="90" s="1"/>
  <c r="BL101" i="90" s="1"/>
  <c r="BM101" i="90" s="1"/>
  <c r="BN101" i="90" s="1"/>
  <c r="BO101" i="90" s="1"/>
  <c r="BP101" i="90" s="1"/>
  <c r="BQ101" i="90" s="1"/>
  <c r="BR101" i="90" s="1"/>
  <c r="BS101" i="90" s="1"/>
  <c r="BT101" i="90" s="1"/>
  <c r="BU101" i="90" s="1"/>
  <c r="BV101" i="90" s="1"/>
  <c r="K110" i="90"/>
  <c r="L110" i="90" s="1"/>
  <c r="M109" i="90"/>
  <c r="N109" i="90" s="1"/>
  <c r="O109" i="90" s="1"/>
  <c r="R106" i="90"/>
  <c r="S106" i="90" s="1"/>
  <c r="T106" i="90" s="1"/>
  <c r="U106" i="90" s="1"/>
  <c r="V106" i="90" s="1"/>
  <c r="W106" i="90" s="1"/>
  <c r="X106" i="90" s="1"/>
  <c r="Y106" i="90" s="1"/>
  <c r="Z106" i="90" s="1"/>
  <c r="AA106" i="90" s="1"/>
  <c r="AB106" i="90" s="1"/>
  <c r="AC106" i="90" s="1"/>
  <c r="AD106" i="90" s="1"/>
  <c r="AE106" i="90" s="1"/>
  <c r="AF106" i="90" s="1"/>
  <c r="AG106" i="90" s="1"/>
  <c r="AH106" i="90" s="1"/>
  <c r="AI106" i="90" s="1"/>
  <c r="AJ106" i="90" s="1"/>
  <c r="AK106" i="90" s="1"/>
  <c r="AL106" i="90" s="1"/>
  <c r="AM106" i="90" s="1"/>
  <c r="AN106" i="90" s="1"/>
  <c r="AO106" i="90" s="1"/>
  <c r="AP106" i="90" s="1"/>
  <c r="AQ106" i="90" s="1"/>
  <c r="AR106" i="90" s="1"/>
  <c r="AS106" i="90" s="1"/>
  <c r="AT106" i="90" s="1"/>
  <c r="AU106" i="90" s="1"/>
  <c r="AV106" i="90" s="1"/>
  <c r="AW106" i="90" s="1"/>
  <c r="AX106" i="90" s="1"/>
  <c r="AY106" i="90" s="1"/>
  <c r="AZ106" i="90" s="1"/>
  <c r="BA106" i="90" s="1"/>
  <c r="BB106" i="90" s="1"/>
  <c r="BC106" i="90" s="1"/>
  <c r="BD106" i="90" s="1"/>
  <c r="BE106" i="90" s="1"/>
  <c r="BF106" i="90" s="1"/>
  <c r="BG106" i="90" s="1"/>
  <c r="BH106" i="90" s="1"/>
  <c r="BI106" i="90" s="1"/>
  <c r="BJ106" i="90" s="1"/>
  <c r="BK106" i="90" s="1"/>
  <c r="BL106" i="90" s="1"/>
  <c r="BM106" i="90" s="1"/>
  <c r="BN106" i="90" s="1"/>
  <c r="BO106" i="90" s="1"/>
  <c r="BP106" i="90" s="1"/>
  <c r="BQ106" i="90" s="1"/>
  <c r="BR106" i="90" s="1"/>
  <c r="BS106" i="90" s="1"/>
  <c r="BT106" i="90" s="1"/>
  <c r="BU106" i="90" s="1"/>
  <c r="BV106" i="90" s="1"/>
  <c r="BW106" i="90" s="1"/>
  <c r="BT87" i="83"/>
  <c r="BX4" i="91"/>
  <c r="BW6" i="91"/>
  <c r="BW5" i="91"/>
  <c r="BW4" i="90"/>
  <c r="BV6" i="90"/>
  <c r="BV21" i="90" s="1"/>
  <c r="BV5" i="90"/>
  <c r="BV4" i="83"/>
  <c r="BU5" i="83"/>
  <c r="BU6" i="83"/>
  <c r="BU80" i="83" s="1"/>
  <c r="BT48" i="83"/>
  <c r="BQ157" i="90" l="1"/>
  <c r="BQ14" i="90"/>
  <c r="BR108" i="83"/>
  <c r="BR109" i="83" s="1"/>
  <c r="BR110" i="83" s="1"/>
  <c r="BR18" i="91" s="1"/>
  <c r="BT82" i="83"/>
  <c r="BT118" i="83"/>
  <c r="BT22" i="91"/>
  <c r="BU47" i="83"/>
  <c r="BU100" i="83"/>
  <c r="BU102" i="83" s="1"/>
  <c r="BU104" i="83" s="1"/>
  <c r="BU39" i="83"/>
  <c r="BU45" i="83" s="1"/>
  <c r="BU117" i="83"/>
  <c r="BU23" i="91" s="1"/>
  <c r="BU116" i="83"/>
  <c r="BU36" i="83"/>
  <c r="BU37" i="83"/>
  <c r="BT44" i="83"/>
  <c r="BT51" i="83" s="1"/>
  <c r="BT55" i="83" s="1"/>
  <c r="BT71" i="93" s="1"/>
  <c r="BT41" i="83"/>
  <c r="BS89" i="83"/>
  <c r="BS90" i="83" s="1"/>
  <c r="BS96" i="83"/>
  <c r="BS97" i="83" s="1"/>
  <c r="BS83" i="83"/>
  <c r="BS71" i="93"/>
  <c r="BS77" i="93" s="1"/>
  <c r="BM79" i="91"/>
  <c r="BM80" i="91" s="1"/>
  <c r="BM82" i="91" s="1"/>
  <c r="BT107" i="83"/>
  <c r="BU86" i="83"/>
  <c r="BU93" i="83"/>
  <c r="BU94" i="83"/>
  <c r="BU78" i="83"/>
  <c r="BN66" i="91"/>
  <c r="BR70" i="91"/>
  <c r="BR78" i="91"/>
  <c r="BQ162" i="90"/>
  <c r="BQ173" i="90" s="1"/>
  <c r="BQ174" i="90" s="1"/>
  <c r="BQ175" i="90" s="1"/>
  <c r="BN26" i="91"/>
  <c r="BR161" i="90"/>
  <c r="BR160" i="90"/>
  <c r="BR159" i="90"/>
  <c r="BP173" i="90"/>
  <c r="BP174" i="90" s="1"/>
  <c r="BP175" i="90" s="1"/>
  <c r="BP169" i="90"/>
  <c r="BP170" i="90" s="1"/>
  <c r="BS64" i="83"/>
  <c r="BS65" i="83" s="1"/>
  <c r="BS149" i="90"/>
  <c r="BS153" i="90" s="1"/>
  <c r="BS62" i="91"/>
  <c r="BN12" i="90"/>
  <c r="BP69" i="83"/>
  <c r="BP73" i="83" s="1"/>
  <c r="BP74" i="83" s="1"/>
  <c r="BP15" i="91" s="1"/>
  <c r="BP155" i="90"/>
  <c r="BN11" i="90"/>
  <c r="BO12" i="90"/>
  <c r="BL37" i="90"/>
  <c r="BT30" i="83"/>
  <c r="BT32" i="83" s="1"/>
  <c r="BT21" i="91" s="1"/>
  <c r="BU25" i="83"/>
  <c r="BU28" i="83"/>
  <c r="BU24" i="83"/>
  <c r="BU26" i="83"/>
  <c r="BU29" i="83"/>
  <c r="BU27" i="83"/>
  <c r="BU62" i="83"/>
  <c r="BO64" i="91"/>
  <c r="BO71" i="91" s="1"/>
  <c r="BO72" i="91" s="1"/>
  <c r="BO74" i="91" s="1"/>
  <c r="BO11" i="90"/>
  <c r="BO26" i="91"/>
  <c r="BR68" i="83"/>
  <c r="BR155" i="90" s="1"/>
  <c r="BU72" i="83"/>
  <c r="BQ86" i="91"/>
  <c r="BQ69" i="83"/>
  <c r="BR24" i="91"/>
  <c r="BR25" i="90" s="1"/>
  <c r="BQ29" i="90"/>
  <c r="BN28" i="90"/>
  <c r="BN30" i="90" s="1"/>
  <c r="BM33" i="90"/>
  <c r="BT17" i="90"/>
  <c r="BT69" i="91" s="1"/>
  <c r="BW102" i="90"/>
  <c r="Q107" i="90"/>
  <c r="R107" i="90" s="1"/>
  <c r="BV8" i="90"/>
  <c r="BU38" i="90"/>
  <c r="M110" i="90"/>
  <c r="N110" i="90" s="1"/>
  <c r="O110" i="90" s="1"/>
  <c r="AK96" i="90"/>
  <c r="BW99" i="90"/>
  <c r="C113" i="90"/>
  <c r="J112" i="90"/>
  <c r="BW98" i="90"/>
  <c r="BW103" i="90"/>
  <c r="AE97" i="90"/>
  <c r="BW105" i="90"/>
  <c r="BW104" i="90"/>
  <c r="BW101" i="90"/>
  <c r="BX45" i="90"/>
  <c r="O108" i="90"/>
  <c r="K111" i="90"/>
  <c r="L111" i="90" s="1"/>
  <c r="P109" i="90"/>
  <c r="Q109" i="90" s="1"/>
  <c r="R109" i="90" s="1"/>
  <c r="S109" i="90" s="1"/>
  <c r="AB100" i="90"/>
  <c r="BU87" i="83"/>
  <c r="BY4" i="91"/>
  <c r="BX6" i="91"/>
  <c r="BX5" i="91"/>
  <c r="BX4" i="90"/>
  <c r="BX106" i="90" s="1"/>
  <c r="BW6" i="90"/>
  <c r="BW21" i="90" s="1"/>
  <c r="BW5" i="90"/>
  <c r="BU48" i="83"/>
  <c r="BW4" i="83"/>
  <c r="BV6" i="83"/>
  <c r="BV80" i="83" s="1"/>
  <c r="BV5" i="83"/>
  <c r="BR157" i="90" l="1"/>
  <c r="BU82" i="83"/>
  <c r="BU83" i="83" s="1"/>
  <c r="BS108" i="83"/>
  <c r="BS109" i="83" s="1"/>
  <c r="BS110" i="83" s="1"/>
  <c r="BS18" i="91" s="1"/>
  <c r="BT96" i="83"/>
  <c r="BT97" i="83" s="1"/>
  <c r="BU44" i="83"/>
  <c r="BU51" i="83" s="1"/>
  <c r="BU55" i="83" s="1"/>
  <c r="BU41" i="83"/>
  <c r="BU118" i="83"/>
  <c r="BU22" i="91"/>
  <c r="BV47" i="83"/>
  <c r="BV39" i="83"/>
  <c r="BV45" i="83" s="1"/>
  <c r="BV117" i="83"/>
  <c r="BV23" i="91" s="1"/>
  <c r="BV116" i="83"/>
  <c r="BV36" i="83"/>
  <c r="BV100" i="83"/>
  <c r="BV102" i="83" s="1"/>
  <c r="BV104" i="83" s="1"/>
  <c r="BV37" i="83"/>
  <c r="BT89" i="83"/>
  <c r="BT90" i="83" s="1"/>
  <c r="BT83" i="83"/>
  <c r="BU107" i="83"/>
  <c r="BN79" i="91"/>
  <c r="BN80" i="91" s="1"/>
  <c r="BN82" i="91" s="1"/>
  <c r="BV86" i="83"/>
  <c r="BV93" i="83"/>
  <c r="BV94" i="83"/>
  <c r="BV78" i="83"/>
  <c r="BO66" i="91"/>
  <c r="BS78" i="91"/>
  <c r="BS70" i="91"/>
  <c r="BP10" i="91"/>
  <c r="BP12" i="91" s="1"/>
  <c r="BP26" i="91" s="1"/>
  <c r="BQ169" i="90"/>
  <c r="BQ170" i="90" s="1"/>
  <c r="BR162" i="90"/>
  <c r="BR173" i="90" s="1"/>
  <c r="BR174" i="90" s="1"/>
  <c r="BR175" i="90" s="1"/>
  <c r="BS161" i="90"/>
  <c r="BS160" i="90"/>
  <c r="BS159" i="90"/>
  <c r="BT64" i="83"/>
  <c r="BT65" i="83" s="1"/>
  <c r="BT149" i="90"/>
  <c r="BT153" i="90" s="1"/>
  <c r="BT62" i="91"/>
  <c r="BT77" i="93"/>
  <c r="BP12" i="90"/>
  <c r="BQ10" i="91"/>
  <c r="BQ12" i="91" s="1"/>
  <c r="BQ73" i="83"/>
  <c r="BQ74" i="83" s="1"/>
  <c r="BQ15" i="91" s="1"/>
  <c r="BM37" i="90"/>
  <c r="BU30" i="83"/>
  <c r="BU32" i="83" s="1"/>
  <c r="BU21" i="91" s="1"/>
  <c r="BV27" i="83"/>
  <c r="BV25" i="83"/>
  <c r="BV26" i="83"/>
  <c r="BV24" i="83"/>
  <c r="BV28" i="83"/>
  <c r="BV29" i="83"/>
  <c r="BV62" i="83"/>
  <c r="BR69" i="83"/>
  <c r="BV72" i="83"/>
  <c r="BS68" i="83"/>
  <c r="BS155" i="90" s="1"/>
  <c r="BP64" i="91"/>
  <c r="BP71" i="91" s="1"/>
  <c r="BP72" i="91" s="1"/>
  <c r="BP74" i="91" s="1"/>
  <c r="BR85" i="91"/>
  <c r="BR86" i="91" s="1"/>
  <c r="BR14" i="90"/>
  <c r="BR63" i="91"/>
  <c r="BR29" i="90"/>
  <c r="BS24" i="91"/>
  <c r="BO28" i="90"/>
  <c r="BO30" i="90" s="1"/>
  <c r="BN33" i="90"/>
  <c r="BN37" i="90" s="1"/>
  <c r="BU17" i="90"/>
  <c r="BU69" i="91" s="1"/>
  <c r="S107" i="90"/>
  <c r="T107" i="90" s="1"/>
  <c r="BW8" i="90"/>
  <c r="BV38" i="90"/>
  <c r="AC100" i="90"/>
  <c r="BY45" i="90"/>
  <c r="BX104" i="90"/>
  <c r="BY104" i="90" s="1"/>
  <c r="C114" i="90"/>
  <c r="J113" i="90"/>
  <c r="T109" i="90"/>
  <c r="U109" i="90" s="1"/>
  <c r="V109" i="90" s="1"/>
  <c r="W109" i="90" s="1"/>
  <c r="BX101" i="90"/>
  <c r="BX105" i="90"/>
  <c r="AF97" i="90"/>
  <c r="BX99" i="90"/>
  <c r="BX102" i="90"/>
  <c r="BY102" i="90" s="1"/>
  <c r="P110" i="90"/>
  <c r="Q110" i="90" s="1"/>
  <c r="P108" i="90"/>
  <c r="Q108" i="90" s="1"/>
  <c r="R108" i="90" s="1"/>
  <c r="S108" i="90" s="1"/>
  <c r="T108" i="90" s="1"/>
  <c r="U108" i="90" s="1"/>
  <c r="V108" i="90" s="1"/>
  <c r="W108" i="90" s="1"/>
  <c r="X108" i="90" s="1"/>
  <c r="Y108" i="90" s="1"/>
  <c r="Z108" i="90" s="1"/>
  <c r="AA108" i="90" s="1"/>
  <c r="AB108" i="90" s="1"/>
  <c r="AC108" i="90" s="1"/>
  <c r="AD108" i="90" s="1"/>
  <c r="AE108" i="90" s="1"/>
  <c r="AF108" i="90" s="1"/>
  <c r="AG108" i="90" s="1"/>
  <c r="AH108" i="90" s="1"/>
  <c r="AI108" i="90" s="1"/>
  <c r="AJ108" i="90" s="1"/>
  <c r="AK108" i="90" s="1"/>
  <c r="AL108" i="90" s="1"/>
  <c r="AM108" i="90" s="1"/>
  <c r="AN108" i="90" s="1"/>
  <c r="AO108" i="90" s="1"/>
  <c r="AP108" i="90" s="1"/>
  <c r="AQ108" i="90" s="1"/>
  <c r="AR108" i="90" s="1"/>
  <c r="AS108" i="90" s="1"/>
  <c r="AT108" i="90" s="1"/>
  <c r="AU108" i="90" s="1"/>
  <c r="AV108" i="90" s="1"/>
  <c r="AW108" i="90" s="1"/>
  <c r="AX108" i="90" s="1"/>
  <c r="AY108" i="90" s="1"/>
  <c r="AZ108" i="90" s="1"/>
  <c r="BA108" i="90" s="1"/>
  <c r="BB108" i="90" s="1"/>
  <c r="BC108" i="90" s="1"/>
  <c r="BD108" i="90" s="1"/>
  <c r="BE108" i="90" s="1"/>
  <c r="BF108" i="90" s="1"/>
  <c r="BG108" i="90" s="1"/>
  <c r="BH108" i="90" s="1"/>
  <c r="BI108" i="90" s="1"/>
  <c r="BJ108" i="90" s="1"/>
  <c r="BK108" i="90" s="1"/>
  <c r="BL108" i="90" s="1"/>
  <c r="BM108" i="90" s="1"/>
  <c r="BN108" i="90" s="1"/>
  <c r="BO108" i="90" s="1"/>
  <c r="BP108" i="90" s="1"/>
  <c r="BQ108" i="90" s="1"/>
  <c r="BR108" i="90" s="1"/>
  <c r="BS108" i="90" s="1"/>
  <c r="BT108" i="90" s="1"/>
  <c r="BU108" i="90" s="1"/>
  <c r="BV108" i="90" s="1"/>
  <c r="BW108" i="90" s="1"/>
  <c r="BX108" i="90" s="1"/>
  <c r="BY108" i="90" s="1"/>
  <c r="BX103" i="90"/>
  <c r="M111" i="90"/>
  <c r="BX98" i="90"/>
  <c r="K112" i="90"/>
  <c r="L112" i="90" s="1"/>
  <c r="AL96" i="90"/>
  <c r="BV87" i="83"/>
  <c r="BY6" i="91"/>
  <c r="BY5" i="91"/>
  <c r="BZ4" i="91"/>
  <c r="BX6" i="90"/>
  <c r="BX21" i="90" s="1"/>
  <c r="BX5" i="90"/>
  <c r="BY4" i="90"/>
  <c r="BY106" i="90" s="1"/>
  <c r="BV48" i="83"/>
  <c r="BX4" i="83"/>
  <c r="BW6" i="83"/>
  <c r="BW80" i="83" s="1"/>
  <c r="BW5" i="83"/>
  <c r="BS157" i="90" l="1"/>
  <c r="BU89" i="83"/>
  <c r="BU90" i="83" s="1"/>
  <c r="BV82" i="83"/>
  <c r="BT108" i="83"/>
  <c r="BT109" i="83" s="1"/>
  <c r="BT110" i="83" s="1"/>
  <c r="BT18" i="91" s="1"/>
  <c r="BT63" i="91" s="1"/>
  <c r="BV118" i="83"/>
  <c r="BV22" i="91"/>
  <c r="BU96" i="83"/>
  <c r="BU97" i="83" s="1"/>
  <c r="BV107" i="83"/>
  <c r="BW47" i="83"/>
  <c r="BW116" i="83"/>
  <c r="BW117" i="83"/>
  <c r="BW23" i="91" s="1"/>
  <c r="BW37" i="83"/>
  <c r="BW100" i="83"/>
  <c r="BW102" i="83" s="1"/>
  <c r="BW104" i="83" s="1"/>
  <c r="BW39" i="83"/>
  <c r="BW45" i="83" s="1"/>
  <c r="BW36" i="83"/>
  <c r="BV44" i="83"/>
  <c r="BV51" i="83" s="1"/>
  <c r="BV55" i="83" s="1"/>
  <c r="BV71" i="93" s="1"/>
  <c r="BV41" i="83"/>
  <c r="BU71" i="93"/>
  <c r="BU77" i="93" s="1"/>
  <c r="BO79" i="91"/>
  <c r="BO80" i="91" s="1"/>
  <c r="BO82" i="91" s="1"/>
  <c r="BW86" i="83"/>
  <c r="BW93" i="83"/>
  <c r="BP11" i="90"/>
  <c r="BW94" i="83"/>
  <c r="BW78" i="83"/>
  <c r="BP66" i="91"/>
  <c r="BQ12" i="90"/>
  <c r="BT78" i="91"/>
  <c r="BT70" i="91"/>
  <c r="BR169" i="90"/>
  <c r="BR170" i="90" s="1"/>
  <c r="BS162" i="90"/>
  <c r="BS173" i="90" s="1"/>
  <c r="BS174" i="90" s="1"/>
  <c r="BS175" i="90" s="1"/>
  <c r="BU64" i="83"/>
  <c r="BU65" i="83" s="1"/>
  <c r="BU149" i="90"/>
  <c r="BU153" i="90" s="1"/>
  <c r="BU62" i="91"/>
  <c r="BT161" i="90"/>
  <c r="BT159" i="90"/>
  <c r="BT160" i="90"/>
  <c r="BQ26" i="91"/>
  <c r="BQ11" i="90"/>
  <c r="BR10" i="91"/>
  <c r="BR12" i="91" s="1"/>
  <c r="BR11" i="90" s="1"/>
  <c r="BR73" i="83"/>
  <c r="BR74" i="83" s="1"/>
  <c r="BR15" i="91" s="1"/>
  <c r="BW24" i="83"/>
  <c r="BW27" i="83"/>
  <c r="BW25" i="83"/>
  <c r="BW26" i="83"/>
  <c r="BW28" i="83"/>
  <c r="BW29" i="83"/>
  <c r="BV30" i="83"/>
  <c r="BV32" i="83" s="1"/>
  <c r="BV21" i="91" s="1"/>
  <c r="BW62" i="83"/>
  <c r="BW72" i="83"/>
  <c r="BT68" i="83"/>
  <c r="BT155" i="90" s="1"/>
  <c r="BS69" i="83"/>
  <c r="BT24" i="91"/>
  <c r="BT25" i="90" s="1"/>
  <c r="BP28" i="90"/>
  <c r="BP30" i="90" s="1"/>
  <c r="BO33" i="90"/>
  <c r="BO37" i="90" s="1"/>
  <c r="BS14" i="90"/>
  <c r="BS63" i="91"/>
  <c r="BU24" i="91"/>
  <c r="BS25" i="90"/>
  <c r="BS85" i="91"/>
  <c r="BS86" i="91" s="1"/>
  <c r="BV17" i="90"/>
  <c r="BV69" i="91" s="1"/>
  <c r="U107" i="90"/>
  <c r="V107" i="90" s="1"/>
  <c r="W107" i="90" s="1"/>
  <c r="X107" i="90" s="1"/>
  <c r="Y107" i="90" s="1"/>
  <c r="Z107" i="90" s="1"/>
  <c r="AA107" i="90" s="1"/>
  <c r="AB107" i="90" s="1"/>
  <c r="AC107" i="90" s="1"/>
  <c r="AD107" i="90" s="1"/>
  <c r="AE107" i="90" s="1"/>
  <c r="AF107" i="90" s="1"/>
  <c r="AG107" i="90" s="1"/>
  <c r="AH107" i="90" s="1"/>
  <c r="AI107" i="90" s="1"/>
  <c r="AJ107" i="90" s="1"/>
  <c r="AK107" i="90" s="1"/>
  <c r="AL107" i="90" s="1"/>
  <c r="AM107" i="90" s="1"/>
  <c r="AN107" i="90" s="1"/>
  <c r="AO107" i="90" s="1"/>
  <c r="AP107" i="90" s="1"/>
  <c r="AQ107" i="90" s="1"/>
  <c r="AR107" i="90" s="1"/>
  <c r="AS107" i="90" s="1"/>
  <c r="AT107" i="90" s="1"/>
  <c r="AU107" i="90" s="1"/>
  <c r="AV107" i="90" s="1"/>
  <c r="AW107" i="90" s="1"/>
  <c r="AX107" i="90" s="1"/>
  <c r="AY107" i="90" s="1"/>
  <c r="AZ107" i="90" s="1"/>
  <c r="BA107" i="90" s="1"/>
  <c r="BB107" i="90" s="1"/>
  <c r="BC107" i="90" s="1"/>
  <c r="BD107" i="90" s="1"/>
  <c r="BE107" i="90" s="1"/>
  <c r="BF107" i="90" s="1"/>
  <c r="BG107" i="90" s="1"/>
  <c r="BH107" i="90" s="1"/>
  <c r="BI107" i="90" s="1"/>
  <c r="BJ107" i="90" s="1"/>
  <c r="BK107" i="90" s="1"/>
  <c r="BL107" i="90" s="1"/>
  <c r="BM107" i="90" s="1"/>
  <c r="BN107" i="90" s="1"/>
  <c r="BO107" i="90" s="1"/>
  <c r="BP107" i="90" s="1"/>
  <c r="BQ107" i="90" s="1"/>
  <c r="BR107" i="90" s="1"/>
  <c r="BS107" i="90" s="1"/>
  <c r="BT107" i="90" s="1"/>
  <c r="BU107" i="90" s="1"/>
  <c r="BV107" i="90" s="1"/>
  <c r="BW107" i="90" s="1"/>
  <c r="M112" i="90"/>
  <c r="N112" i="90" s="1"/>
  <c r="O112" i="90" s="1"/>
  <c r="BX8" i="90"/>
  <c r="BW38" i="90"/>
  <c r="N111" i="90"/>
  <c r="O111" i="90" s="1"/>
  <c r="P111" i="90" s="1"/>
  <c r="AD100" i="90"/>
  <c r="BY103" i="90"/>
  <c r="X109" i="90"/>
  <c r="Y109" i="90" s="1"/>
  <c r="Z109" i="90" s="1"/>
  <c r="AA109" i="90" s="1"/>
  <c r="AB109" i="90" s="1"/>
  <c r="AC109" i="90" s="1"/>
  <c r="AD109" i="90" s="1"/>
  <c r="AE109" i="90" s="1"/>
  <c r="AF109" i="90" s="1"/>
  <c r="AG109" i="90" s="1"/>
  <c r="AH109" i="90" s="1"/>
  <c r="AI109" i="90" s="1"/>
  <c r="AJ109" i="90" s="1"/>
  <c r="AK109" i="90" s="1"/>
  <c r="AL109" i="90" s="1"/>
  <c r="AM109" i="90" s="1"/>
  <c r="AN109" i="90" s="1"/>
  <c r="AO109" i="90" s="1"/>
  <c r="AP109" i="90" s="1"/>
  <c r="AQ109" i="90" s="1"/>
  <c r="AR109" i="90" s="1"/>
  <c r="AS109" i="90" s="1"/>
  <c r="AT109" i="90" s="1"/>
  <c r="AU109" i="90" s="1"/>
  <c r="AV109" i="90" s="1"/>
  <c r="AW109" i="90" s="1"/>
  <c r="AX109" i="90" s="1"/>
  <c r="AY109" i="90" s="1"/>
  <c r="AZ109" i="90" s="1"/>
  <c r="BA109" i="90" s="1"/>
  <c r="BB109" i="90" s="1"/>
  <c r="BC109" i="90" s="1"/>
  <c r="BD109" i="90" s="1"/>
  <c r="BE109" i="90" s="1"/>
  <c r="BF109" i="90" s="1"/>
  <c r="BG109" i="90" s="1"/>
  <c r="BH109" i="90" s="1"/>
  <c r="BI109" i="90" s="1"/>
  <c r="BJ109" i="90" s="1"/>
  <c r="BK109" i="90" s="1"/>
  <c r="BL109" i="90" s="1"/>
  <c r="BM109" i="90" s="1"/>
  <c r="BN109" i="90" s="1"/>
  <c r="BO109" i="90" s="1"/>
  <c r="BP109" i="90" s="1"/>
  <c r="BQ109" i="90" s="1"/>
  <c r="BR109" i="90" s="1"/>
  <c r="BS109" i="90" s="1"/>
  <c r="BT109" i="90" s="1"/>
  <c r="BU109" i="90" s="1"/>
  <c r="BV109" i="90" s="1"/>
  <c r="BW109" i="90" s="1"/>
  <c r="BX109" i="90" s="1"/>
  <c r="BY109" i="90" s="1"/>
  <c r="AG97" i="90"/>
  <c r="K113" i="90"/>
  <c r="L113" i="90" s="1"/>
  <c r="BY98" i="90"/>
  <c r="BZ98" i="90" s="1"/>
  <c r="CA98" i="90" s="1"/>
  <c r="CB98" i="90" s="1"/>
  <c r="CC98" i="90" s="1"/>
  <c r="CD98" i="90" s="1"/>
  <c r="CE98" i="90" s="1"/>
  <c r="CF98" i="90" s="1"/>
  <c r="CG98" i="90" s="1"/>
  <c r="CH98" i="90" s="1"/>
  <c r="CI98" i="90" s="1"/>
  <c r="CJ98" i="90" s="1"/>
  <c r="CK98" i="90" s="1"/>
  <c r="CL98" i="90" s="1"/>
  <c r="CM98" i="90" s="1"/>
  <c r="CN98" i="90" s="1"/>
  <c r="CO98" i="90" s="1"/>
  <c r="CP98" i="90" s="1"/>
  <c r="CQ98" i="90" s="1"/>
  <c r="CR98" i="90" s="1"/>
  <c r="CS98" i="90" s="1"/>
  <c r="CT98" i="90" s="1"/>
  <c r="CU98" i="90" s="1"/>
  <c r="CV98" i="90" s="1"/>
  <c r="CW98" i="90" s="1"/>
  <c r="CX98" i="90" s="1"/>
  <c r="CY98" i="90" s="1"/>
  <c r="CZ98" i="90" s="1"/>
  <c r="DA98" i="90" s="1"/>
  <c r="DB98" i="90" s="1"/>
  <c r="DC98" i="90" s="1"/>
  <c r="DD98" i="90" s="1"/>
  <c r="DE98" i="90" s="1"/>
  <c r="DF98" i="90" s="1"/>
  <c r="DG98" i="90" s="1"/>
  <c r="DH98" i="90" s="1"/>
  <c r="DI98" i="90" s="1"/>
  <c r="DJ98" i="90" s="1"/>
  <c r="DK98" i="90" s="1"/>
  <c r="DL98" i="90" s="1"/>
  <c r="DM98" i="90" s="1"/>
  <c r="BY99" i="90"/>
  <c r="BY105" i="90"/>
  <c r="BZ45" i="90"/>
  <c r="AM96" i="90"/>
  <c r="R110" i="90"/>
  <c r="BY101" i="90"/>
  <c r="C115" i="90"/>
  <c r="J114" i="90"/>
  <c r="BW87" i="83"/>
  <c r="CA4" i="91"/>
  <c r="BZ6" i="91"/>
  <c r="BZ5" i="91"/>
  <c r="BZ4" i="90"/>
  <c r="BZ108" i="90" s="1"/>
  <c r="BY6" i="90"/>
  <c r="BY21" i="90" s="1"/>
  <c r="BY5" i="90"/>
  <c r="BW48" i="83"/>
  <c r="BY4" i="83"/>
  <c r="BX5" i="83"/>
  <c r="BX6" i="83"/>
  <c r="BX80" i="83" s="1"/>
  <c r="BT157" i="90" l="1"/>
  <c r="BW82" i="83"/>
  <c r="BU108" i="83"/>
  <c r="BU109" i="83" s="1"/>
  <c r="BU110" i="83" s="1"/>
  <c r="BU18" i="91" s="1"/>
  <c r="BU14" i="90" s="1"/>
  <c r="BV89" i="83"/>
  <c r="BV90" i="83" s="1"/>
  <c r="BW118" i="83"/>
  <c r="BW22" i="91"/>
  <c r="BW44" i="83"/>
  <c r="BW51" i="83" s="1"/>
  <c r="BW55" i="83" s="1"/>
  <c r="BW71" i="93" s="1"/>
  <c r="BW41" i="83"/>
  <c r="BV83" i="83"/>
  <c r="BX47" i="83"/>
  <c r="BX117" i="83"/>
  <c r="BX23" i="91" s="1"/>
  <c r="BX116" i="83"/>
  <c r="BX36" i="83"/>
  <c r="BX37" i="83"/>
  <c r="BX100" i="83"/>
  <c r="BX102" i="83" s="1"/>
  <c r="BX104" i="83" s="1"/>
  <c r="BX39" i="83"/>
  <c r="BX45" i="83" s="1"/>
  <c r="BV96" i="83"/>
  <c r="BV97" i="83" s="1"/>
  <c r="BT14" i="90"/>
  <c r="BP79" i="91"/>
  <c r="BP80" i="91" s="1"/>
  <c r="BP82" i="91" s="1"/>
  <c r="BW107" i="83"/>
  <c r="BX86" i="83"/>
  <c r="BX93" i="83"/>
  <c r="BX94" i="83"/>
  <c r="BX78" i="83"/>
  <c r="BU70" i="91"/>
  <c r="BU78" i="91"/>
  <c r="BR12" i="90"/>
  <c r="BS169" i="90"/>
  <c r="BS170" i="90" s="1"/>
  <c r="BT162" i="90"/>
  <c r="BV64" i="83"/>
  <c r="BV65" i="83" s="1"/>
  <c r="BV149" i="90"/>
  <c r="BV153" i="90" s="1"/>
  <c r="BV62" i="91"/>
  <c r="BU161" i="90"/>
  <c r="BU160" i="90"/>
  <c r="BU159" i="90"/>
  <c r="BV77" i="93"/>
  <c r="BQ64" i="91"/>
  <c r="BQ71" i="91" s="1"/>
  <c r="BQ72" i="91" s="1"/>
  <c r="BQ74" i="91" s="1"/>
  <c r="BR26" i="91"/>
  <c r="BS10" i="91"/>
  <c r="BS12" i="91" s="1"/>
  <c r="BS73" i="83"/>
  <c r="BS74" i="83" s="1"/>
  <c r="BS15" i="91" s="1"/>
  <c r="BW30" i="83"/>
  <c r="BW32" i="83" s="1"/>
  <c r="BW21" i="91" s="1"/>
  <c r="BX29" i="83"/>
  <c r="BX24" i="83"/>
  <c r="BX27" i="83"/>
  <c r="BX28" i="83"/>
  <c r="BX25" i="83"/>
  <c r="BX26" i="83"/>
  <c r="BR64" i="91"/>
  <c r="BR71" i="91" s="1"/>
  <c r="BR72" i="91" s="1"/>
  <c r="BR74" i="91" s="1"/>
  <c r="BX62" i="83"/>
  <c r="BX72" i="83"/>
  <c r="BU68" i="83"/>
  <c r="BU155" i="90" s="1"/>
  <c r="BT69" i="83"/>
  <c r="BT85" i="91"/>
  <c r="BT86" i="91" s="1"/>
  <c r="BU25" i="90"/>
  <c r="BU85" i="91"/>
  <c r="BS29" i="90"/>
  <c r="BQ28" i="90"/>
  <c r="BQ30" i="90" s="1"/>
  <c r="BP33" i="90"/>
  <c r="BP37" i="90" s="1"/>
  <c r="BT29" i="90"/>
  <c r="BW17" i="90"/>
  <c r="BW69" i="91" s="1"/>
  <c r="BZ106" i="90"/>
  <c r="M113" i="90"/>
  <c r="BZ102" i="90"/>
  <c r="BX107" i="90"/>
  <c r="BY107" i="90" s="1"/>
  <c r="BY8" i="90"/>
  <c r="BX38" i="90"/>
  <c r="K114" i="90"/>
  <c r="L114" i="90" s="1"/>
  <c r="M114" i="90" s="1"/>
  <c r="C116" i="90"/>
  <c r="J115" i="90"/>
  <c r="S110" i="90"/>
  <c r="AN96" i="90"/>
  <c r="BZ105" i="90"/>
  <c r="BZ103" i="90"/>
  <c r="AE100" i="90"/>
  <c r="BZ99" i="90"/>
  <c r="CA99" i="90" s="1"/>
  <c r="CB99" i="90" s="1"/>
  <c r="CC99" i="90" s="1"/>
  <c r="CD99" i="90" s="1"/>
  <c r="CE99" i="90" s="1"/>
  <c r="CF99" i="90" s="1"/>
  <c r="CG99" i="90" s="1"/>
  <c r="CH99" i="90" s="1"/>
  <c r="CI99" i="90" s="1"/>
  <c r="CJ99" i="90" s="1"/>
  <c r="CK99" i="90" s="1"/>
  <c r="CL99" i="90" s="1"/>
  <c r="CM99" i="90" s="1"/>
  <c r="CN99" i="90" s="1"/>
  <c r="CO99" i="90" s="1"/>
  <c r="CP99" i="90" s="1"/>
  <c r="CQ99" i="90" s="1"/>
  <c r="CR99" i="90" s="1"/>
  <c r="CS99" i="90" s="1"/>
  <c r="CT99" i="90" s="1"/>
  <c r="CU99" i="90" s="1"/>
  <c r="CV99" i="90" s="1"/>
  <c r="CW99" i="90" s="1"/>
  <c r="CX99" i="90" s="1"/>
  <c r="CY99" i="90" s="1"/>
  <c r="CZ99" i="90" s="1"/>
  <c r="DA99" i="90" s="1"/>
  <c r="DB99" i="90" s="1"/>
  <c r="DC99" i="90" s="1"/>
  <c r="DD99" i="90" s="1"/>
  <c r="DE99" i="90" s="1"/>
  <c r="DF99" i="90" s="1"/>
  <c r="DG99" i="90" s="1"/>
  <c r="DH99" i="90" s="1"/>
  <c r="DI99" i="90" s="1"/>
  <c r="DJ99" i="90" s="1"/>
  <c r="DK99" i="90" s="1"/>
  <c r="DL99" i="90" s="1"/>
  <c r="DM99" i="90" s="1"/>
  <c r="AH97" i="90"/>
  <c r="BZ104" i="90"/>
  <c r="P112" i="90"/>
  <c r="Q112" i="90" s="1"/>
  <c r="BZ101" i="90"/>
  <c r="CA45" i="90"/>
  <c r="BZ109" i="90"/>
  <c r="Q111" i="90"/>
  <c r="BX87" i="83"/>
  <c r="CB4" i="91"/>
  <c r="CA6" i="91"/>
  <c r="CA5" i="91"/>
  <c r="CA4" i="90"/>
  <c r="CA108" i="90" s="1"/>
  <c r="BZ6" i="90"/>
  <c r="BZ21" i="90" s="1"/>
  <c r="BZ5" i="90"/>
  <c r="BZ4" i="83"/>
  <c r="BY5" i="83"/>
  <c r="BY6" i="83"/>
  <c r="BY80" i="83" s="1"/>
  <c r="BX48" i="83"/>
  <c r="BU63" i="91" l="1"/>
  <c r="BU157" i="90"/>
  <c r="BX82" i="83"/>
  <c r="BV108" i="83"/>
  <c r="BV109" i="83" s="1"/>
  <c r="BV110" i="83" s="1"/>
  <c r="BV18" i="91" s="1"/>
  <c r="BV14" i="90" s="1"/>
  <c r="BW89" i="83"/>
  <c r="BW90" i="83" s="1"/>
  <c r="BX44" i="83"/>
  <c r="BX51" i="83" s="1"/>
  <c r="BX55" i="83" s="1"/>
  <c r="BX41" i="83"/>
  <c r="BX22" i="91"/>
  <c r="BX118" i="83"/>
  <c r="BY47" i="83"/>
  <c r="BY117" i="83"/>
  <c r="BY23" i="91" s="1"/>
  <c r="BY116" i="83"/>
  <c r="BY36" i="83"/>
  <c r="BY37" i="83"/>
  <c r="BY100" i="83"/>
  <c r="BY102" i="83" s="1"/>
  <c r="BY104" i="83" s="1"/>
  <c r="BY39" i="83"/>
  <c r="BY45" i="83" s="1"/>
  <c r="BW96" i="83"/>
  <c r="BW97" i="83" s="1"/>
  <c r="BW83" i="83"/>
  <c r="BX107" i="83"/>
  <c r="BY86" i="83"/>
  <c r="BY93" i="83"/>
  <c r="BY94" i="83"/>
  <c r="BY78" i="83"/>
  <c r="BR66" i="91"/>
  <c r="BQ66" i="91"/>
  <c r="BV78" i="91"/>
  <c r="BV70" i="91"/>
  <c r="BS12" i="90"/>
  <c r="BU162" i="90"/>
  <c r="BU169" i="90" s="1"/>
  <c r="BU170" i="90" s="1"/>
  <c r="BS26" i="91"/>
  <c r="BT169" i="90"/>
  <c r="BT170" i="90" s="1"/>
  <c r="BT173" i="90"/>
  <c r="BT174" i="90" s="1"/>
  <c r="BT175" i="90" s="1"/>
  <c r="BV160" i="90"/>
  <c r="BV161" i="90"/>
  <c r="BV159" i="90"/>
  <c r="BW64" i="83"/>
  <c r="BW65" i="83" s="1"/>
  <c r="BW149" i="90"/>
  <c r="BW153" i="90" s="1"/>
  <c r="BW62" i="91"/>
  <c r="BW77" i="93"/>
  <c r="BT10" i="91"/>
  <c r="BT12" i="91" s="1"/>
  <c r="BT73" i="83"/>
  <c r="BT74" i="83" s="1"/>
  <c r="BT15" i="91" s="1"/>
  <c r="BX30" i="83"/>
  <c r="BX32" i="83" s="1"/>
  <c r="BX21" i="91" s="1"/>
  <c r="BY26" i="83"/>
  <c r="BY29" i="83"/>
  <c r="BY24" i="83"/>
  <c r="BY25" i="83"/>
  <c r="BY28" i="83"/>
  <c r="BY27" i="83"/>
  <c r="BY62" i="83"/>
  <c r="BU69" i="83"/>
  <c r="BS64" i="91"/>
  <c r="BS71" i="91" s="1"/>
  <c r="BS72" i="91" s="1"/>
  <c r="BS74" i="91" s="1"/>
  <c r="BY72" i="83"/>
  <c r="BS11" i="90"/>
  <c r="BV68" i="83"/>
  <c r="BV155" i="90" s="1"/>
  <c r="BU86" i="91"/>
  <c r="BV24" i="91"/>
  <c r="BV85" i="91" s="1"/>
  <c r="BU29" i="90"/>
  <c r="BR28" i="90"/>
  <c r="BR30" i="90" s="1"/>
  <c r="BQ33" i="90"/>
  <c r="BQ37" i="90" s="1"/>
  <c r="BX17" i="90"/>
  <c r="BX69" i="91" s="1"/>
  <c r="CA103" i="90"/>
  <c r="CA105" i="90"/>
  <c r="CA101" i="90"/>
  <c r="BZ107" i="90"/>
  <c r="CA107" i="90" s="1"/>
  <c r="CA106" i="90"/>
  <c r="N113" i="90"/>
  <c r="BZ8" i="90"/>
  <c r="BY38" i="90"/>
  <c r="R111" i="90"/>
  <c r="S111" i="90" s="1"/>
  <c r="T111" i="90" s="1"/>
  <c r="U111" i="90" s="1"/>
  <c r="C117" i="90"/>
  <c r="J116" i="90"/>
  <c r="T110" i="90"/>
  <c r="CA109" i="90"/>
  <c r="CB45" i="90"/>
  <c r="AI97" i="90"/>
  <c r="CA102" i="90"/>
  <c r="N114" i="90"/>
  <c r="O114" i="90" s="1"/>
  <c r="R112" i="90"/>
  <c r="S112" i="90" s="1"/>
  <c r="T112" i="90" s="1"/>
  <c r="U112" i="90" s="1"/>
  <c r="V112" i="90" s="1"/>
  <c r="W112" i="90" s="1"/>
  <c r="X112" i="90" s="1"/>
  <c r="Y112" i="90" s="1"/>
  <c r="Z112" i="90" s="1"/>
  <c r="AA112" i="90" s="1"/>
  <c r="AB112" i="90" s="1"/>
  <c r="AC112" i="90" s="1"/>
  <c r="AD112" i="90" s="1"/>
  <c r="AE112" i="90" s="1"/>
  <c r="AF112" i="90" s="1"/>
  <c r="AG112" i="90" s="1"/>
  <c r="AH112" i="90" s="1"/>
  <c r="AI112" i="90" s="1"/>
  <c r="AJ112" i="90" s="1"/>
  <c r="AK112" i="90" s="1"/>
  <c r="AL112" i="90" s="1"/>
  <c r="AM112" i="90" s="1"/>
  <c r="AN112" i="90" s="1"/>
  <c r="AO112" i="90" s="1"/>
  <c r="AP112" i="90" s="1"/>
  <c r="AQ112" i="90" s="1"/>
  <c r="AR112" i="90" s="1"/>
  <c r="AS112" i="90" s="1"/>
  <c r="AT112" i="90" s="1"/>
  <c r="AU112" i="90" s="1"/>
  <c r="AV112" i="90" s="1"/>
  <c r="AW112" i="90" s="1"/>
  <c r="AX112" i="90" s="1"/>
  <c r="AY112" i="90" s="1"/>
  <c r="AZ112" i="90" s="1"/>
  <c r="BA112" i="90" s="1"/>
  <c r="BB112" i="90" s="1"/>
  <c r="BC112" i="90" s="1"/>
  <c r="BD112" i="90" s="1"/>
  <c r="BE112" i="90" s="1"/>
  <c r="BF112" i="90" s="1"/>
  <c r="BG112" i="90" s="1"/>
  <c r="BH112" i="90" s="1"/>
  <c r="BI112" i="90" s="1"/>
  <c r="BJ112" i="90" s="1"/>
  <c r="BK112" i="90" s="1"/>
  <c r="BL112" i="90" s="1"/>
  <c r="BM112" i="90" s="1"/>
  <c r="BN112" i="90" s="1"/>
  <c r="BO112" i="90" s="1"/>
  <c r="BP112" i="90" s="1"/>
  <c r="BQ112" i="90" s="1"/>
  <c r="BR112" i="90" s="1"/>
  <c r="BS112" i="90" s="1"/>
  <c r="BT112" i="90" s="1"/>
  <c r="BU112" i="90" s="1"/>
  <c r="BV112" i="90" s="1"/>
  <c r="BW112" i="90" s="1"/>
  <c r="BX112" i="90" s="1"/>
  <c r="BY112" i="90" s="1"/>
  <c r="BZ112" i="90" s="1"/>
  <c r="CA112" i="90" s="1"/>
  <c r="CA104" i="90"/>
  <c r="AF100" i="90"/>
  <c r="AO96" i="90"/>
  <c r="K115" i="90"/>
  <c r="L115" i="90" s="1"/>
  <c r="BY87" i="83"/>
  <c r="CC4" i="91"/>
  <c r="CB6" i="91"/>
  <c r="CB5" i="91"/>
  <c r="CB4" i="90"/>
  <c r="CA6" i="90"/>
  <c r="CA21" i="90" s="1"/>
  <c r="CA5" i="90"/>
  <c r="BY48" i="83"/>
  <c r="CA4" i="83"/>
  <c r="BZ6" i="83"/>
  <c r="BZ80" i="83" s="1"/>
  <c r="BZ5" i="83"/>
  <c r="BV63" i="91" l="1"/>
  <c r="BX89" i="83"/>
  <c r="BX90" i="83" s="1"/>
  <c r="BY82" i="83"/>
  <c r="BV157" i="90"/>
  <c r="BW108" i="83"/>
  <c r="BW109" i="83" s="1"/>
  <c r="BW110" i="83" s="1"/>
  <c r="BW18" i="91" s="1"/>
  <c r="BX83" i="83"/>
  <c r="BX96" i="83"/>
  <c r="BX97" i="83" s="1"/>
  <c r="BY107" i="83"/>
  <c r="BY44" i="83"/>
  <c r="BY51" i="83" s="1"/>
  <c r="BY55" i="83" s="1"/>
  <c r="BY41" i="83"/>
  <c r="BY22" i="91"/>
  <c r="BY118" i="83"/>
  <c r="BZ47" i="83"/>
  <c r="BZ117" i="83"/>
  <c r="BZ23" i="91" s="1"/>
  <c r="BZ116" i="83"/>
  <c r="BZ36" i="83"/>
  <c r="BZ100" i="83"/>
  <c r="BZ102" i="83" s="1"/>
  <c r="BZ104" i="83" s="1"/>
  <c r="BZ39" i="83"/>
  <c r="BZ45" i="83" s="1"/>
  <c r="BZ37" i="83"/>
  <c r="BX71" i="93"/>
  <c r="BX77" i="93" s="1"/>
  <c r="BR79" i="91"/>
  <c r="BR80" i="91" s="1"/>
  <c r="BR82" i="91" s="1"/>
  <c r="BQ79" i="91"/>
  <c r="BQ80" i="91" s="1"/>
  <c r="BQ82" i="91" s="1"/>
  <c r="BZ86" i="83"/>
  <c r="BZ93" i="83"/>
  <c r="BZ94" i="83"/>
  <c r="BZ78" i="83"/>
  <c r="BS66" i="91"/>
  <c r="BU173" i="90"/>
  <c r="BU174" i="90" s="1"/>
  <c r="BU175" i="90" s="1"/>
  <c r="BW78" i="91"/>
  <c r="BW70" i="91"/>
  <c r="BV162" i="90"/>
  <c r="BV173" i="90" s="1"/>
  <c r="BV174" i="90" s="1"/>
  <c r="BV175" i="90" s="1"/>
  <c r="BW161" i="90"/>
  <c r="BW159" i="90"/>
  <c r="BW160" i="90"/>
  <c r="BX64" i="83"/>
  <c r="BX65" i="83" s="1"/>
  <c r="BX149" i="90"/>
  <c r="BX153" i="90" s="1"/>
  <c r="BX62" i="91"/>
  <c r="CB112" i="90"/>
  <c r="BU10" i="91"/>
  <c r="BU73" i="83"/>
  <c r="BU74" i="83" s="1"/>
  <c r="BU15" i="91" s="1"/>
  <c r="BT12" i="90"/>
  <c r="BY30" i="83"/>
  <c r="BY32" i="83" s="1"/>
  <c r="BY21" i="91" s="1"/>
  <c r="BZ26" i="83"/>
  <c r="BZ29" i="83"/>
  <c r="BZ24" i="83"/>
  <c r="BZ25" i="83"/>
  <c r="BZ28" i="83"/>
  <c r="BZ27" i="83"/>
  <c r="BZ62" i="83"/>
  <c r="BT11" i="90"/>
  <c r="BT26" i="91"/>
  <c r="BT64" i="91"/>
  <c r="BT71" i="91" s="1"/>
  <c r="BT72" i="91" s="1"/>
  <c r="BT74" i="91" s="1"/>
  <c r="BZ72" i="83"/>
  <c r="BW68" i="83"/>
  <c r="BW155" i="90" s="1"/>
  <c r="BV69" i="83"/>
  <c r="BV86" i="91"/>
  <c r="CB103" i="90"/>
  <c r="BV25" i="90"/>
  <c r="BV29" i="90" s="1"/>
  <c r="BX24" i="91"/>
  <c r="BS28" i="90"/>
  <c r="BS30" i="90" s="1"/>
  <c r="BR33" i="90"/>
  <c r="BR37" i="90" s="1"/>
  <c r="BW24" i="91"/>
  <c r="BY17" i="90"/>
  <c r="BY69" i="91" s="1"/>
  <c r="O113" i="90"/>
  <c r="P113" i="90" s="1"/>
  <c r="Q113" i="90" s="1"/>
  <c r="P114" i="90"/>
  <c r="Q114" i="90" s="1"/>
  <c r="CA8" i="90"/>
  <c r="BZ38" i="90"/>
  <c r="AP96" i="90"/>
  <c r="CB106" i="90"/>
  <c r="K116" i="90"/>
  <c r="L116" i="90" s="1"/>
  <c r="CB107" i="90"/>
  <c r="AG100" i="90"/>
  <c r="CC45" i="90"/>
  <c r="U110" i="90"/>
  <c r="V110" i="90" s="1"/>
  <c r="C118" i="90"/>
  <c r="J117" i="90"/>
  <c r="CB101" i="90"/>
  <c r="CC101" i="90" s="1"/>
  <c r="CD101" i="90" s="1"/>
  <c r="CE101" i="90" s="1"/>
  <c r="CF101" i="90" s="1"/>
  <c r="CG101" i="90" s="1"/>
  <c r="CH101" i="90" s="1"/>
  <c r="CI101" i="90" s="1"/>
  <c r="CJ101" i="90" s="1"/>
  <c r="CK101" i="90" s="1"/>
  <c r="CL101" i="90" s="1"/>
  <c r="CM101" i="90" s="1"/>
  <c r="CN101" i="90" s="1"/>
  <c r="CO101" i="90" s="1"/>
  <c r="CP101" i="90" s="1"/>
  <c r="CQ101" i="90" s="1"/>
  <c r="CR101" i="90" s="1"/>
  <c r="CS101" i="90" s="1"/>
  <c r="CT101" i="90" s="1"/>
  <c r="CU101" i="90" s="1"/>
  <c r="CV101" i="90" s="1"/>
  <c r="CW101" i="90" s="1"/>
  <c r="CX101" i="90" s="1"/>
  <c r="CY101" i="90" s="1"/>
  <c r="CZ101" i="90" s="1"/>
  <c r="DA101" i="90" s="1"/>
  <c r="DB101" i="90" s="1"/>
  <c r="DC101" i="90" s="1"/>
  <c r="DD101" i="90" s="1"/>
  <c r="DE101" i="90" s="1"/>
  <c r="DF101" i="90" s="1"/>
  <c r="DG101" i="90" s="1"/>
  <c r="DH101" i="90" s="1"/>
  <c r="DI101" i="90" s="1"/>
  <c r="DJ101" i="90" s="1"/>
  <c r="DK101" i="90" s="1"/>
  <c r="DL101" i="90" s="1"/>
  <c r="DM101" i="90" s="1"/>
  <c r="CB108" i="90"/>
  <c r="CB102" i="90"/>
  <c r="M115" i="90"/>
  <c r="CB104" i="90"/>
  <c r="AJ97" i="90"/>
  <c r="CB109" i="90"/>
  <c r="CB105" i="90"/>
  <c r="CC105" i="90" s="1"/>
  <c r="V111" i="90"/>
  <c r="W111" i="90" s="1"/>
  <c r="X111" i="90" s="1"/>
  <c r="BZ87" i="83"/>
  <c r="CC6" i="91"/>
  <c r="CC5" i="91"/>
  <c r="CD4" i="91"/>
  <c r="CB6" i="90"/>
  <c r="CB21" i="90" s="1"/>
  <c r="CB5" i="90"/>
  <c r="CC4" i="90"/>
  <c r="BZ48" i="83"/>
  <c r="CB4" i="83"/>
  <c r="CA6" i="83"/>
  <c r="CA80" i="83" s="1"/>
  <c r="CA5" i="83"/>
  <c r="BW157" i="90" l="1"/>
  <c r="BY89" i="83"/>
  <c r="BY90" i="83" s="1"/>
  <c r="BX108" i="83"/>
  <c r="BX109" i="83" s="1"/>
  <c r="BX110" i="83" s="1"/>
  <c r="BX18" i="91" s="1"/>
  <c r="BX14" i="90" s="1"/>
  <c r="BZ82" i="83"/>
  <c r="BZ83" i="83" s="1"/>
  <c r="BY96" i="83"/>
  <c r="BY97" i="83" s="1"/>
  <c r="BY83" i="83"/>
  <c r="BZ44" i="83"/>
  <c r="BZ51" i="83" s="1"/>
  <c r="BZ55" i="83" s="1"/>
  <c r="BZ41" i="83"/>
  <c r="BZ118" i="83"/>
  <c r="BZ22" i="91"/>
  <c r="CA47" i="83"/>
  <c r="CA116" i="83"/>
  <c r="CA36" i="83"/>
  <c r="CA100" i="83"/>
  <c r="CA102" i="83" s="1"/>
  <c r="CA104" i="83" s="1"/>
  <c r="CA37" i="83"/>
  <c r="CA39" i="83"/>
  <c r="CA45" i="83" s="1"/>
  <c r="CA117" i="83"/>
  <c r="CA23" i="91" s="1"/>
  <c r="BZ107" i="83"/>
  <c r="BY71" i="93"/>
  <c r="BY77" i="93" s="1"/>
  <c r="BS79" i="91"/>
  <c r="BS80" i="91" s="1"/>
  <c r="BS82" i="91" s="1"/>
  <c r="CA86" i="83"/>
  <c r="CA93" i="83"/>
  <c r="BV169" i="90"/>
  <c r="BV170" i="90" s="1"/>
  <c r="CA94" i="83"/>
  <c r="CA78" i="83"/>
  <c r="BT66" i="91"/>
  <c r="BX78" i="91"/>
  <c r="BX70" i="91"/>
  <c r="BU12" i="90"/>
  <c r="BW162" i="90"/>
  <c r="BW169" i="90" s="1"/>
  <c r="BW170" i="90" s="1"/>
  <c r="BY64" i="83"/>
  <c r="BY65" i="83" s="1"/>
  <c r="BY149" i="90"/>
  <c r="BY153" i="90" s="1"/>
  <c r="BY62" i="91"/>
  <c r="BX161" i="90"/>
  <c r="BX160" i="90"/>
  <c r="BX159" i="90"/>
  <c r="CC112" i="90"/>
  <c r="BU12" i="91"/>
  <c r="BU26" i="91" s="1"/>
  <c r="BU64" i="91"/>
  <c r="BU71" i="91" s="1"/>
  <c r="BU72" i="91" s="1"/>
  <c r="BU74" i="91" s="1"/>
  <c r="BV10" i="91"/>
  <c r="BV12" i="91" s="1"/>
  <c r="BV73" i="83"/>
  <c r="BV74" i="83" s="1"/>
  <c r="BV15" i="91" s="1"/>
  <c r="BZ30" i="83"/>
  <c r="BZ32" i="83" s="1"/>
  <c r="BZ21" i="91" s="1"/>
  <c r="CA28" i="83"/>
  <c r="CA26" i="83"/>
  <c r="CA24" i="83"/>
  <c r="CA25" i="83"/>
  <c r="CA29" i="83"/>
  <c r="CA27" i="83"/>
  <c r="CA62" i="83"/>
  <c r="CA72" i="83"/>
  <c r="BX68" i="83"/>
  <c r="BX155" i="90" s="1"/>
  <c r="BW69" i="83"/>
  <c r="BX25" i="90"/>
  <c r="BX85" i="91"/>
  <c r="BY24" i="91"/>
  <c r="BT28" i="90"/>
  <c r="BT30" i="90" s="1"/>
  <c r="BS33" i="90"/>
  <c r="BS37" i="90" s="1"/>
  <c r="BW14" i="90"/>
  <c r="BW63" i="91"/>
  <c r="BW25" i="90"/>
  <c r="BW85" i="91"/>
  <c r="BW86" i="91" s="1"/>
  <c r="R114" i="90"/>
  <c r="S114" i="90" s="1"/>
  <c r="BZ17" i="90"/>
  <c r="BZ69" i="91" s="1"/>
  <c r="Y111" i="90"/>
  <c r="Z111" i="90" s="1"/>
  <c r="AA111" i="90" s="1"/>
  <c r="AB111" i="90" s="1"/>
  <c r="AC111" i="90" s="1"/>
  <c r="AD111" i="90" s="1"/>
  <c r="AE111" i="90" s="1"/>
  <c r="AF111" i="90" s="1"/>
  <c r="AG111" i="90" s="1"/>
  <c r="AH111" i="90" s="1"/>
  <c r="AI111" i="90" s="1"/>
  <c r="AJ111" i="90" s="1"/>
  <c r="AK111" i="90" s="1"/>
  <c r="AL111" i="90" s="1"/>
  <c r="AM111" i="90" s="1"/>
  <c r="AN111" i="90" s="1"/>
  <c r="AO111" i="90" s="1"/>
  <c r="AP111" i="90" s="1"/>
  <c r="AQ111" i="90" s="1"/>
  <c r="AR111" i="90" s="1"/>
  <c r="AS111" i="90" s="1"/>
  <c r="AT111" i="90" s="1"/>
  <c r="AU111" i="90" s="1"/>
  <c r="AV111" i="90" s="1"/>
  <c r="AW111" i="90" s="1"/>
  <c r="AX111" i="90" s="1"/>
  <c r="AY111" i="90" s="1"/>
  <c r="AZ111" i="90" s="1"/>
  <c r="BA111" i="90" s="1"/>
  <c r="BB111" i="90" s="1"/>
  <c r="BC111" i="90" s="1"/>
  <c r="BD111" i="90" s="1"/>
  <c r="BE111" i="90" s="1"/>
  <c r="BF111" i="90" s="1"/>
  <c r="BG111" i="90" s="1"/>
  <c r="BH111" i="90" s="1"/>
  <c r="BI111" i="90" s="1"/>
  <c r="BJ111" i="90" s="1"/>
  <c r="BK111" i="90" s="1"/>
  <c r="BL111" i="90" s="1"/>
  <c r="BM111" i="90" s="1"/>
  <c r="BN111" i="90" s="1"/>
  <c r="BO111" i="90" s="1"/>
  <c r="BP111" i="90" s="1"/>
  <c r="BQ111" i="90" s="1"/>
  <c r="BR111" i="90" s="1"/>
  <c r="BS111" i="90" s="1"/>
  <c r="BT111" i="90" s="1"/>
  <c r="BU111" i="90" s="1"/>
  <c r="BV111" i="90" s="1"/>
  <c r="BW111" i="90" s="1"/>
  <c r="BX111" i="90" s="1"/>
  <c r="BY111" i="90" s="1"/>
  <c r="BZ111" i="90" s="1"/>
  <c r="CA111" i="90" s="1"/>
  <c r="CB111" i="90" s="1"/>
  <c r="CC111" i="90" s="1"/>
  <c r="W110" i="90"/>
  <c r="X110" i="90" s="1"/>
  <c r="Y110" i="90" s="1"/>
  <c r="Z110" i="90" s="1"/>
  <c r="AA110" i="90" s="1"/>
  <c r="AB110" i="90" s="1"/>
  <c r="AC110" i="90" s="1"/>
  <c r="AD110" i="90" s="1"/>
  <c r="AE110" i="90" s="1"/>
  <c r="AF110" i="90" s="1"/>
  <c r="AG110" i="90" s="1"/>
  <c r="AH110" i="90" s="1"/>
  <c r="AI110" i="90" s="1"/>
  <c r="AJ110" i="90" s="1"/>
  <c r="AK110" i="90" s="1"/>
  <c r="AL110" i="90" s="1"/>
  <c r="AM110" i="90" s="1"/>
  <c r="AN110" i="90" s="1"/>
  <c r="AO110" i="90" s="1"/>
  <c r="AP110" i="90" s="1"/>
  <c r="AQ110" i="90" s="1"/>
  <c r="AR110" i="90" s="1"/>
  <c r="AS110" i="90" s="1"/>
  <c r="AT110" i="90" s="1"/>
  <c r="AU110" i="90" s="1"/>
  <c r="AV110" i="90" s="1"/>
  <c r="AW110" i="90" s="1"/>
  <c r="AX110" i="90" s="1"/>
  <c r="AY110" i="90" s="1"/>
  <c r="AZ110" i="90" s="1"/>
  <c r="BA110" i="90" s="1"/>
  <c r="BB110" i="90" s="1"/>
  <c r="BC110" i="90" s="1"/>
  <c r="BD110" i="90" s="1"/>
  <c r="BE110" i="90" s="1"/>
  <c r="BF110" i="90" s="1"/>
  <c r="BG110" i="90" s="1"/>
  <c r="BH110" i="90" s="1"/>
  <c r="BI110" i="90" s="1"/>
  <c r="BJ110" i="90" s="1"/>
  <c r="BK110" i="90" s="1"/>
  <c r="BL110" i="90" s="1"/>
  <c r="BM110" i="90" s="1"/>
  <c r="BN110" i="90" s="1"/>
  <c r="BO110" i="90" s="1"/>
  <c r="BP110" i="90" s="1"/>
  <c r="BQ110" i="90" s="1"/>
  <c r="BR110" i="90" s="1"/>
  <c r="BS110" i="90" s="1"/>
  <c r="BT110" i="90" s="1"/>
  <c r="BU110" i="90" s="1"/>
  <c r="BV110" i="90" s="1"/>
  <c r="BW110" i="90" s="1"/>
  <c r="BX110" i="90" s="1"/>
  <c r="BY110" i="90" s="1"/>
  <c r="BZ110" i="90" s="1"/>
  <c r="CA110" i="90" s="1"/>
  <c r="CB110" i="90" s="1"/>
  <c r="CC110" i="90" s="1"/>
  <c r="R113" i="90"/>
  <c r="S113" i="90" s="1"/>
  <c r="CB8" i="90"/>
  <c r="CA38" i="90"/>
  <c r="M116" i="90"/>
  <c r="N116" i="90" s="1"/>
  <c r="AK97" i="90"/>
  <c r="C119" i="90"/>
  <c r="J118" i="90"/>
  <c r="CD45" i="90"/>
  <c r="CC107" i="90"/>
  <c r="AQ96" i="90"/>
  <c r="CC109" i="90"/>
  <c r="CC104" i="90"/>
  <c r="CC102" i="90"/>
  <c r="CD102" i="90" s="1"/>
  <c r="CE102" i="90" s="1"/>
  <c r="CF102" i="90" s="1"/>
  <c r="CG102" i="90" s="1"/>
  <c r="CH102" i="90" s="1"/>
  <c r="CI102" i="90" s="1"/>
  <c r="CJ102" i="90" s="1"/>
  <c r="CK102" i="90" s="1"/>
  <c r="CL102" i="90" s="1"/>
  <c r="CM102" i="90" s="1"/>
  <c r="CN102" i="90" s="1"/>
  <c r="CO102" i="90" s="1"/>
  <c r="CP102" i="90" s="1"/>
  <c r="CQ102" i="90" s="1"/>
  <c r="CR102" i="90" s="1"/>
  <c r="CS102" i="90" s="1"/>
  <c r="CT102" i="90" s="1"/>
  <c r="CU102" i="90" s="1"/>
  <c r="CV102" i="90" s="1"/>
  <c r="CW102" i="90" s="1"/>
  <c r="CX102" i="90" s="1"/>
  <c r="CY102" i="90" s="1"/>
  <c r="CZ102" i="90" s="1"/>
  <c r="DA102" i="90" s="1"/>
  <c r="DB102" i="90" s="1"/>
  <c r="DC102" i="90" s="1"/>
  <c r="DD102" i="90" s="1"/>
  <c r="DE102" i="90" s="1"/>
  <c r="DF102" i="90" s="1"/>
  <c r="DG102" i="90" s="1"/>
  <c r="DH102" i="90" s="1"/>
  <c r="DI102" i="90" s="1"/>
  <c r="DJ102" i="90" s="1"/>
  <c r="DK102" i="90" s="1"/>
  <c r="DL102" i="90" s="1"/>
  <c r="DM102" i="90" s="1"/>
  <c r="K117" i="90"/>
  <c r="L117" i="90" s="1"/>
  <c r="M117" i="90" s="1"/>
  <c r="AH100" i="90"/>
  <c r="CC103" i="90"/>
  <c r="N115" i="90"/>
  <c r="O115" i="90" s="1"/>
  <c r="CC108" i="90"/>
  <c r="CC106" i="90"/>
  <c r="CA87" i="83"/>
  <c r="CE4" i="91"/>
  <c r="CD6" i="91"/>
  <c r="CD5" i="91"/>
  <c r="CD4" i="90"/>
  <c r="CC6" i="90"/>
  <c r="CC21" i="90" s="1"/>
  <c r="CC5" i="90"/>
  <c r="CC4" i="83"/>
  <c r="CB6" i="83"/>
  <c r="CB80" i="83" s="1"/>
  <c r="CB5" i="83"/>
  <c r="CA48" i="83"/>
  <c r="BX63" i="91" l="1"/>
  <c r="BX157" i="90"/>
  <c r="BZ89" i="83"/>
  <c r="BZ90" i="83" s="1"/>
  <c r="BY108" i="83"/>
  <c r="BY109" i="83" s="1"/>
  <c r="BY110" i="83" s="1"/>
  <c r="BY18" i="91" s="1"/>
  <c r="CA82" i="83"/>
  <c r="CA44" i="83"/>
  <c r="CA51" i="83" s="1"/>
  <c r="CA55" i="83" s="1"/>
  <c r="CA71" i="93" s="1"/>
  <c r="CA41" i="83"/>
  <c r="CA118" i="83"/>
  <c r="CA22" i="91"/>
  <c r="CB47" i="83"/>
  <c r="CB116" i="83"/>
  <c r="CB36" i="83"/>
  <c r="CB37" i="83"/>
  <c r="CB100" i="83"/>
  <c r="CB102" i="83" s="1"/>
  <c r="CB104" i="83" s="1"/>
  <c r="CB39" i="83"/>
  <c r="CB45" i="83" s="1"/>
  <c r="CB117" i="83"/>
  <c r="CB23" i="91" s="1"/>
  <c r="BZ96" i="83"/>
  <c r="BZ97" i="83" s="1"/>
  <c r="BZ71" i="93"/>
  <c r="BZ77" i="93" s="1"/>
  <c r="CA107" i="83"/>
  <c r="BT79" i="91"/>
  <c r="BT80" i="91" s="1"/>
  <c r="BT82" i="91" s="1"/>
  <c r="CB86" i="83"/>
  <c r="CB93" i="83"/>
  <c r="CB94" i="83"/>
  <c r="CB78" i="83"/>
  <c r="BU66" i="91"/>
  <c r="BY78" i="91"/>
  <c r="BY70" i="91"/>
  <c r="BX162" i="90"/>
  <c r="BX169" i="90" s="1"/>
  <c r="BX170" i="90" s="1"/>
  <c r="BW173" i="90"/>
  <c r="BW174" i="90" s="1"/>
  <c r="BW175" i="90" s="1"/>
  <c r="BZ64" i="83"/>
  <c r="BZ65" i="83" s="1"/>
  <c r="BZ62" i="91"/>
  <c r="BZ149" i="90"/>
  <c r="BZ153" i="90" s="1"/>
  <c r="BY161" i="90"/>
  <c r="BY160" i="90"/>
  <c r="BY159" i="90"/>
  <c r="BU11" i="90"/>
  <c r="BW10" i="91"/>
  <c r="BW12" i="91" s="1"/>
  <c r="BW73" i="83"/>
  <c r="BW74" i="83" s="1"/>
  <c r="BW15" i="91" s="1"/>
  <c r="BV12" i="90"/>
  <c r="CA30" i="83"/>
  <c r="CA32" i="83" s="1"/>
  <c r="CA21" i="91" s="1"/>
  <c r="CB25" i="83"/>
  <c r="CB28" i="83"/>
  <c r="CB24" i="83"/>
  <c r="CB27" i="83"/>
  <c r="CB26" i="83"/>
  <c r="CB29" i="83"/>
  <c r="CB62" i="83"/>
  <c r="BV11" i="90"/>
  <c r="BV26" i="91"/>
  <c r="CB72" i="83"/>
  <c r="BY68" i="83"/>
  <c r="BY155" i="90" s="1"/>
  <c r="BV64" i="91"/>
  <c r="BV71" i="91" s="1"/>
  <c r="BV72" i="91" s="1"/>
  <c r="BV74" i="91" s="1"/>
  <c r="BX69" i="83"/>
  <c r="T114" i="90"/>
  <c r="U114" i="90" s="1"/>
  <c r="BU28" i="90"/>
  <c r="BU30" i="90" s="1"/>
  <c r="BT33" i="90"/>
  <c r="BT37" i="90" s="1"/>
  <c r="BX86" i="91"/>
  <c r="BX29" i="90"/>
  <c r="BZ24" i="91"/>
  <c r="BW29" i="90"/>
  <c r="BY25" i="90"/>
  <c r="BY85" i="91"/>
  <c r="CA17" i="90"/>
  <c r="CA69" i="91" s="1"/>
  <c r="CD111" i="90"/>
  <c r="T113" i="90"/>
  <c r="U113" i="90" s="1"/>
  <c r="V113" i="90" s="1"/>
  <c r="W113" i="90" s="1"/>
  <c r="X113" i="90" s="1"/>
  <c r="P115" i="90"/>
  <c r="Q115" i="90" s="1"/>
  <c r="R115" i="90" s="1"/>
  <c r="CC8" i="90"/>
  <c r="CB38" i="90"/>
  <c r="N117" i="90"/>
  <c r="O117" i="90" s="1"/>
  <c r="O116" i="90"/>
  <c r="P116" i="90" s="1"/>
  <c r="CD106" i="90"/>
  <c r="CD108" i="90"/>
  <c r="AI100" i="90"/>
  <c r="CD109" i="90"/>
  <c r="CE45" i="90"/>
  <c r="C120" i="90"/>
  <c r="J119" i="90"/>
  <c r="CD103" i="90"/>
  <c r="CE103" i="90" s="1"/>
  <c r="CF103" i="90" s="1"/>
  <c r="CG103" i="90" s="1"/>
  <c r="CH103" i="90" s="1"/>
  <c r="CI103" i="90" s="1"/>
  <c r="CJ103" i="90" s="1"/>
  <c r="CK103" i="90" s="1"/>
  <c r="CL103" i="90" s="1"/>
  <c r="CM103" i="90" s="1"/>
  <c r="CN103" i="90" s="1"/>
  <c r="CO103" i="90" s="1"/>
  <c r="CP103" i="90" s="1"/>
  <c r="CQ103" i="90" s="1"/>
  <c r="CR103" i="90" s="1"/>
  <c r="CS103" i="90" s="1"/>
  <c r="CT103" i="90" s="1"/>
  <c r="CU103" i="90" s="1"/>
  <c r="CV103" i="90" s="1"/>
  <c r="CW103" i="90" s="1"/>
  <c r="CX103" i="90" s="1"/>
  <c r="CY103" i="90" s="1"/>
  <c r="CZ103" i="90" s="1"/>
  <c r="DA103" i="90" s="1"/>
  <c r="DB103" i="90" s="1"/>
  <c r="DC103" i="90" s="1"/>
  <c r="DD103" i="90" s="1"/>
  <c r="DE103" i="90" s="1"/>
  <c r="DF103" i="90" s="1"/>
  <c r="DG103" i="90" s="1"/>
  <c r="DH103" i="90" s="1"/>
  <c r="DI103" i="90" s="1"/>
  <c r="DJ103" i="90" s="1"/>
  <c r="DK103" i="90" s="1"/>
  <c r="DL103" i="90" s="1"/>
  <c r="DM103" i="90" s="1"/>
  <c r="CD110" i="90"/>
  <c r="CD112" i="90"/>
  <c r="CD107" i="90"/>
  <c r="AL97" i="90"/>
  <c r="CD104" i="90"/>
  <c r="CE104" i="90" s="1"/>
  <c r="CF104" i="90" s="1"/>
  <c r="CG104" i="90" s="1"/>
  <c r="CH104" i="90" s="1"/>
  <c r="CI104" i="90" s="1"/>
  <c r="CJ104" i="90" s="1"/>
  <c r="CK104" i="90" s="1"/>
  <c r="CL104" i="90" s="1"/>
  <c r="CM104" i="90" s="1"/>
  <c r="CN104" i="90" s="1"/>
  <c r="CO104" i="90" s="1"/>
  <c r="CP104" i="90" s="1"/>
  <c r="CQ104" i="90" s="1"/>
  <c r="CR104" i="90" s="1"/>
  <c r="CS104" i="90" s="1"/>
  <c r="CT104" i="90" s="1"/>
  <c r="CU104" i="90" s="1"/>
  <c r="CV104" i="90" s="1"/>
  <c r="CW104" i="90" s="1"/>
  <c r="CX104" i="90" s="1"/>
  <c r="CY104" i="90" s="1"/>
  <c r="CZ104" i="90" s="1"/>
  <c r="DA104" i="90" s="1"/>
  <c r="DB104" i="90" s="1"/>
  <c r="DC104" i="90" s="1"/>
  <c r="DD104" i="90" s="1"/>
  <c r="DE104" i="90" s="1"/>
  <c r="DF104" i="90" s="1"/>
  <c r="DG104" i="90" s="1"/>
  <c r="DH104" i="90" s="1"/>
  <c r="DI104" i="90" s="1"/>
  <c r="DJ104" i="90" s="1"/>
  <c r="DK104" i="90" s="1"/>
  <c r="DL104" i="90" s="1"/>
  <c r="DM104" i="90" s="1"/>
  <c r="AR96" i="90"/>
  <c r="K118" i="90"/>
  <c r="L118" i="90" s="1"/>
  <c r="CD105" i="90"/>
  <c r="CB87" i="83"/>
  <c r="CF4" i="91"/>
  <c r="CE6" i="91"/>
  <c r="CE5" i="91"/>
  <c r="CE4" i="90"/>
  <c r="CD6" i="90"/>
  <c r="CD21" i="90" s="1"/>
  <c r="CD5" i="90"/>
  <c r="CB48" i="83"/>
  <c r="CD4" i="83"/>
  <c r="CC5" i="83"/>
  <c r="CC6" i="83"/>
  <c r="CC80" i="83" s="1"/>
  <c r="CA89" i="83" l="1"/>
  <c r="CA90" i="83" s="1"/>
  <c r="BY157" i="90"/>
  <c r="BZ108" i="83"/>
  <c r="BZ109" i="83" s="1"/>
  <c r="BZ110" i="83" s="1"/>
  <c r="BZ18" i="91" s="1"/>
  <c r="BZ63" i="91" s="1"/>
  <c r="CB82" i="83"/>
  <c r="CB83" i="83" s="1"/>
  <c r="CA83" i="83"/>
  <c r="CA96" i="83"/>
  <c r="CA97" i="83" s="1"/>
  <c r="CB44" i="83"/>
  <c r="CB51" i="83" s="1"/>
  <c r="CB55" i="83" s="1"/>
  <c r="CB71" i="93" s="1"/>
  <c r="CB41" i="83"/>
  <c r="CB22" i="91"/>
  <c r="CB118" i="83"/>
  <c r="CC47" i="83"/>
  <c r="CC116" i="83"/>
  <c r="CC37" i="83"/>
  <c r="CC100" i="83"/>
  <c r="CC102" i="83" s="1"/>
  <c r="CC104" i="83" s="1"/>
  <c r="CC117" i="83"/>
  <c r="CC23" i="91" s="1"/>
  <c r="CC36" i="83"/>
  <c r="CC39" i="83"/>
  <c r="CC45" i="83" s="1"/>
  <c r="CA77" i="93"/>
  <c r="CB107" i="83"/>
  <c r="BU79" i="91"/>
  <c r="BU80" i="91" s="1"/>
  <c r="BU82" i="91" s="1"/>
  <c r="CC86" i="83"/>
  <c r="CC93" i="83"/>
  <c r="CC94" i="83"/>
  <c r="CC78" i="83"/>
  <c r="BV66" i="91"/>
  <c r="BZ78" i="91"/>
  <c r="BZ70" i="91"/>
  <c r="BX173" i="90"/>
  <c r="BX174" i="90" s="1"/>
  <c r="BX175" i="90" s="1"/>
  <c r="BY162" i="90"/>
  <c r="BY173" i="90" s="1"/>
  <c r="BY174" i="90" s="1"/>
  <c r="BY175" i="90" s="1"/>
  <c r="CA64" i="83"/>
  <c r="CA65" i="83" s="1"/>
  <c r="CA62" i="91"/>
  <c r="CA149" i="90"/>
  <c r="CA153" i="90" s="1"/>
  <c r="BZ159" i="90"/>
  <c r="BZ160" i="90"/>
  <c r="BZ161" i="90"/>
  <c r="BW12" i="90"/>
  <c r="BX10" i="91"/>
  <c r="BX12" i="91" s="1"/>
  <c r="BX73" i="83"/>
  <c r="BX74" i="83" s="1"/>
  <c r="BX15" i="91" s="1"/>
  <c r="BZ68" i="83"/>
  <c r="BZ155" i="90" s="1"/>
  <c r="CB30" i="83"/>
  <c r="CB32" i="83" s="1"/>
  <c r="CB21" i="91" s="1"/>
  <c r="CC25" i="83"/>
  <c r="CC28" i="83"/>
  <c r="CC24" i="83"/>
  <c r="CC27" i="83"/>
  <c r="CC26" i="83"/>
  <c r="CC29" i="83"/>
  <c r="CC62" i="83"/>
  <c r="BW11" i="90"/>
  <c r="BW26" i="91"/>
  <c r="CC72" i="83"/>
  <c r="BW64" i="91"/>
  <c r="BW71" i="91" s="1"/>
  <c r="BW72" i="91" s="1"/>
  <c r="BW74" i="91" s="1"/>
  <c r="BY69" i="83"/>
  <c r="V114" i="90"/>
  <c r="W114" i="90" s="1"/>
  <c r="BZ25" i="90"/>
  <c r="BZ85" i="91"/>
  <c r="BV28" i="90"/>
  <c r="BV30" i="90" s="1"/>
  <c r="BU33" i="90"/>
  <c r="BU37" i="90" s="1"/>
  <c r="BY14" i="90"/>
  <c r="BY63" i="91"/>
  <c r="BY86" i="91"/>
  <c r="BY29" i="90"/>
  <c r="CE111" i="90"/>
  <c r="CB17" i="90"/>
  <c r="CB69" i="91" s="1"/>
  <c r="Y113" i="90"/>
  <c r="Z113" i="90" s="1"/>
  <c r="AA113" i="90" s="1"/>
  <c r="AB113" i="90" s="1"/>
  <c r="AC113" i="90" s="1"/>
  <c r="AD113" i="90" s="1"/>
  <c r="AE113" i="90" s="1"/>
  <c r="AF113" i="90" s="1"/>
  <c r="AG113" i="90" s="1"/>
  <c r="AH113" i="90" s="1"/>
  <c r="AI113" i="90" s="1"/>
  <c r="AJ113" i="90" s="1"/>
  <c r="AK113" i="90" s="1"/>
  <c r="AL113" i="90" s="1"/>
  <c r="AM113" i="90" s="1"/>
  <c r="AN113" i="90" s="1"/>
  <c r="AO113" i="90" s="1"/>
  <c r="AP113" i="90" s="1"/>
  <c r="AQ113" i="90" s="1"/>
  <c r="AR113" i="90" s="1"/>
  <c r="AS113" i="90" s="1"/>
  <c r="AT113" i="90" s="1"/>
  <c r="AU113" i="90" s="1"/>
  <c r="AV113" i="90" s="1"/>
  <c r="AW113" i="90" s="1"/>
  <c r="AX113" i="90" s="1"/>
  <c r="AY113" i="90" s="1"/>
  <c r="AZ113" i="90" s="1"/>
  <c r="BA113" i="90" s="1"/>
  <c r="BB113" i="90" s="1"/>
  <c r="BC113" i="90" s="1"/>
  <c r="BD113" i="90" s="1"/>
  <c r="BE113" i="90" s="1"/>
  <c r="BF113" i="90" s="1"/>
  <c r="BG113" i="90" s="1"/>
  <c r="BH113" i="90" s="1"/>
  <c r="BI113" i="90" s="1"/>
  <c r="BJ113" i="90" s="1"/>
  <c r="BK113" i="90" s="1"/>
  <c r="BL113" i="90" s="1"/>
  <c r="BM113" i="90" s="1"/>
  <c r="BN113" i="90" s="1"/>
  <c r="BO113" i="90" s="1"/>
  <c r="BP113" i="90" s="1"/>
  <c r="BQ113" i="90" s="1"/>
  <c r="BR113" i="90" s="1"/>
  <c r="BS113" i="90" s="1"/>
  <c r="BT113" i="90" s="1"/>
  <c r="BU113" i="90" s="1"/>
  <c r="BV113" i="90" s="1"/>
  <c r="BW113" i="90" s="1"/>
  <c r="BX113" i="90" s="1"/>
  <c r="BY113" i="90" s="1"/>
  <c r="BZ113" i="90" s="1"/>
  <c r="CA113" i="90" s="1"/>
  <c r="CB113" i="90" s="1"/>
  <c r="CC113" i="90" s="1"/>
  <c r="CD113" i="90" s="1"/>
  <c r="S115" i="90"/>
  <c r="CE105" i="90"/>
  <c r="Q116" i="90"/>
  <c r="M118" i="90"/>
  <c r="CE110" i="90"/>
  <c r="CD8" i="90"/>
  <c r="CC38" i="90"/>
  <c r="CF45" i="90"/>
  <c r="AJ100" i="90"/>
  <c r="CE106" i="90"/>
  <c r="AM97" i="90"/>
  <c r="CE107" i="90"/>
  <c r="K119" i="90"/>
  <c r="L119" i="90" s="1"/>
  <c r="CE109" i="90"/>
  <c r="AS96" i="90"/>
  <c r="CE112" i="90"/>
  <c r="C121" i="90"/>
  <c r="J120" i="90"/>
  <c r="P117" i="90"/>
  <c r="Q117" i="90" s="1"/>
  <c r="CE108" i="90"/>
  <c r="CC87" i="83"/>
  <c r="CG4" i="91"/>
  <c r="CF6" i="91"/>
  <c r="CF5" i="91"/>
  <c r="CF4" i="90"/>
  <c r="CE6" i="90"/>
  <c r="CE21" i="90" s="1"/>
  <c r="CE5" i="90"/>
  <c r="CE4" i="83"/>
  <c r="CD6" i="83"/>
  <c r="CD80" i="83" s="1"/>
  <c r="CD5" i="83"/>
  <c r="CC48" i="83"/>
  <c r="BZ14" i="90" l="1"/>
  <c r="BZ157" i="90"/>
  <c r="CB96" i="83"/>
  <c r="CB97" i="83" s="1"/>
  <c r="CB89" i="83"/>
  <c r="CB90" i="83" s="1"/>
  <c r="CC82" i="83"/>
  <c r="CA108" i="83"/>
  <c r="CA109" i="83" s="1"/>
  <c r="CA110" i="83" s="1"/>
  <c r="CA18" i="91" s="1"/>
  <c r="CC22" i="91"/>
  <c r="CC118" i="83"/>
  <c r="CC44" i="83"/>
  <c r="CC51" i="83" s="1"/>
  <c r="CC55" i="83" s="1"/>
  <c r="CC41" i="83"/>
  <c r="CD47" i="83"/>
  <c r="CD37" i="83"/>
  <c r="CD100" i="83"/>
  <c r="CD102" i="83" s="1"/>
  <c r="CD104" i="83" s="1"/>
  <c r="CD39" i="83"/>
  <c r="CD45" i="83" s="1"/>
  <c r="CD117" i="83"/>
  <c r="CD23" i="91" s="1"/>
  <c r="CD36" i="83"/>
  <c r="CD116" i="83"/>
  <c r="CC107" i="83"/>
  <c r="BV79" i="91"/>
  <c r="BV80" i="91" s="1"/>
  <c r="BV82" i="91" s="1"/>
  <c r="CD86" i="83"/>
  <c r="CD93" i="83"/>
  <c r="CD94" i="83"/>
  <c r="CD78" i="83"/>
  <c r="BW66" i="91"/>
  <c r="CA78" i="91"/>
  <c r="CA70" i="91"/>
  <c r="BY169" i="90"/>
  <c r="BY170" i="90" s="1"/>
  <c r="CB64" i="83"/>
  <c r="CB65" i="83" s="1"/>
  <c r="CB62" i="91"/>
  <c r="CB149" i="90"/>
  <c r="CB153" i="90" s="1"/>
  <c r="BZ162" i="90"/>
  <c r="CA160" i="90"/>
  <c r="CA159" i="90"/>
  <c r="CA161" i="90"/>
  <c r="CB77" i="93"/>
  <c r="X114" i="90"/>
  <c r="Y114" i="90" s="1"/>
  <c r="Z114" i="90" s="1"/>
  <c r="AA114" i="90" s="1"/>
  <c r="AB114" i="90" s="1"/>
  <c r="AC114" i="90" s="1"/>
  <c r="AD114" i="90" s="1"/>
  <c r="AE114" i="90" s="1"/>
  <c r="AF114" i="90" s="1"/>
  <c r="AG114" i="90" s="1"/>
  <c r="AH114" i="90" s="1"/>
  <c r="AI114" i="90" s="1"/>
  <c r="AJ114" i="90" s="1"/>
  <c r="AK114" i="90" s="1"/>
  <c r="AL114" i="90" s="1"/>
  <c r="AM114" i="90" s="1"/>
  <c r="AN114" i="90" s="1"/>
  <c r="AO114" i="90" s="1"/>
  <c r="AP114" i="90" s="1"/>
  <c r="AQ114" i="90" s="1"/>
  <c r="AR114" i="90" s="1"/>
  <c r="AS114" i="90" s="1"/>
  <c r="AT114" i="90" s="1"/>
  <c r="AU114" i="90" s="1"/>
  <c r="AV114" i="90" s="1"/>
  <c r="AW114" i="90" s="1"/>
  <c r="AX114" i="90" s="1"/>
  <c r="AY114" i="90" s="1"/>
  <c r="AZ114" i="90" s="1"/>
  <c r="BA114" i="90" s="1"/>
  <c r="BB114" i="90" s="1"/>
  <c r="BC114" i="90" s="1"/>
  <c r="BD114" i="90" s="1"/>
  <c r="BE114" i="90" s="1"/>
  <c r="BF114" i="90" s="1"/>
  <c r="BG114" i="90" s="1"/>
  <c r="BH114" i="90" s="1"/>
  <c r="BI114" i="90" s="1"/>
  <c r="BJ114" i="90" s="1"/>
  <c r="BK114" i="90" s="1"/>
  <c r="BL114" i="90" s="1"/>
  <c r="BM114" i="90" s="1"/>
  <c r="BN114" i="90" s="1"/>
  <c r="BO114" i="90" s="1"/>
  <c r="BP114" i="90" s="1"/>
  <c r="BQ114" i="90" s="1"/>
  <c r="BR114" i="90" s="1"/>
  <c r="BS114" i="90" s="1"/>
  <c r="BT114" i="90" s="1"/>
  <c r="BU114" i="90" s="1"/>
  <c r="BV114" i="90" s="1"/>
  <c r="BW114" i="90" s="1"/>
  <c r="BX114" i="90" s="1"/>
  <c r="BY114" i="90" s="1"/>
  <c r="BZ114" i="90" s="1"/>
  <c r="CA114" i="90" s="1"/>
  <c r="CB114" i="90" s="1"/>
  <c r="CC114" i="90" s="1"/>
  <c r="CD114" i="90" s="1"/>
  <c r="CE114" i="90" s="1"/>
  <c r="BX12" i="90"/>
  <c r="BY10" i="91"/>
  <c r="BY73" i="83"/>
  <c r="BY74" i="83" s="1"/>
  <c r="BY15" i="91" s="1"/>
  <c r="BX64" i="91"/>
  <c r="BX71" i="91" s="1"/>
  <c r="BX72" i="91" s="1"/>
  <c r="BX74" i="91" s="1"/>
  <c r="CC30" i="83"/>
  <c r="CC32" i="83" s="1"/>
  <c r="CC21" i="91" s="1"/>
  <c r="CD27" i="83"/>
  <c r="CD25" i="83"/>
  <c r="CD26" i="83"/>
  <c r="CD29" i="83"/>
  <c r="CD24" i="83"/>
  <c r="CD28" i="83"/>
  <c r="CA68" i="83"/>
  <c r="CA155" i="90" s="1"/>
  <c r="CD62" i="83"/>
  <c r="BX11" i="90"/>
  <c r="BX26" i="91"/>
  <c r="CD72" i="83"/>
  <c r="BZ69" i="83"/>
  <c r="BZ86" i="91"/>
  <c r="CB24" i="91"/>
  <c r="CA24" i="91"/>
  <c r="BW28" i="90"/>
  <c r="BW30" i="90" s="1"/>
  <c r="BV33" i="90"/>
  <c r="BV37" i="90" s="1"/>
  <c r="BZ29" i="90"/>
  <c r="CC17" i="90"/>
  <c r="CC69" i="91" s="1"/>
  <c r="R116" i="90"/>
  <c r="S116" i="90" s="1"/>
  <c r="CE113" i="90"/>
  <c r="CF113" i="90" s="1"/>
  <c r="T115" i="90"/>
  <c r="N118" i="90"/>
  <c r="CE8" i="90"/>
  <c r="CD38" i="90"/>
  <c r="M119" i="90"/>
  <c r="N119" i="90" s="1"/>
  <c r="O119" i="90" s="1"/>
  <c r="P119" i="90" s="1"/>
  <c r="CF112" i="90"/>
  <c r="CF105" i="90"/>
  <c r="CG105" i="90" s="1"/>
  <c r="CH105" i="90" s="1"/>
  <c r="CI105" i="90" s="1"/>
  <c r="CJ105" i="90" s="1"/>
  <c r="CK105" i="90" s="1"/>
  <c r="CL105" i="90" s="1"/>
  <c r="CM105" i="90" s="1"/>
  <c r="CN105" i="90" s="1"/>
  <c r="CO105" i="90" s="1"/>
  <c r="CP105" i="90" s="1"/>
  <c r="CQ105" i="90" s="1"/>
  <c r="CR105" i="90" s="1"/>
  <c r="CS105" i="90" s="1"/>
  <c r="CT105" i="90" s="1"/>
  <c r="CU105" i="90" s="1"/>
  <c r="CV105" i="90" s="1"/>
  <c r="CW105" i="90" s="1"/>
  <c r="CX105" i="90" s="1"/>
  <c r="CY105" i="90" s="1"/>
  <c r="CZ105" i="90" s="1"/>
  <c r="DA105" i="90" s="1"/>
  <c r="DB105" i="90" s="1"/>
  <c r="DC105" i="90" s="1"/>
  <c r="DD105" i="90" s="1"/>
  <c r="DE105" i="90" s="1"/>
  <c r="DF105" i="90" s="1"/>
  <c r="DG105" i="90" s="1"/>
  <c r="DH105" i="90" s="1"/>
  <c r="DI105" i="90" s="1"/>
  <c r="DJ105" i="90" s="1"/>
  <c r="DK105" i="90" s="1"/>
  <c r="DL105" i="90" s="1"/>
  <c r="DM105" i="90" s="1"/>
  <c r="CF108" i="90"/>
  <c r="CF107" i="90"/>
  <c r="AN97" i="90"/>
  <c r="AK100" i="90"/>
  <c r="R117" i="90"/>
  <c r="K120" i="90"/>
  <c r="L120" i="90" s="1"/>
  <c r="CF111" i="90"/>
  <c r="CF110" i="90"/>
  <c r="C122" i="90"/>
  <c r="J121" i="90"/>
  <c r="AT96" i="90"/>
  <c r="CF109" i="90"/>
  <c r="CF106" i="90"/>
  <c r="CG45" i="90"/>
  <c r="CD87" i="83"/>
  <c r="CG6" i="91"/>
  <c r="CG5" i="91"/>
  <c r="CH4" i="91"/>
  <c r="CF6" i="90"/>
  <c r="CF21" i="90" s="1"/>
  <c r="CF5" i="90"/>
  <c r="CG4" i="90"/>
  <c r="CD48" i="83"/>
  <c r="CF4" i="83"/>
  <c r="CE6" i="83"/>
  <c r="CE80" i="83" s="1"/>
  <c r="CE5" i="83"/>
  <c r="CB108" i="83" l="1"/>
  <c r="CB109" i="83" s="1"/>
  <c r="CB110" i="83" s="1"/>
  <c r="CB18" i="91" s="1"/>
  <c r="CC89" i="83"/>
  <c r="CC90" i="83" s="1"/>
  <c r="CA157" i="90"/>
  <c r="CD82" i="83"/>
  <c r="CC96" i="83"/>
  <c r="CC97" i="83" s="1"/>
  <c r="CE47" i="83"/>
  <c r="CE37" i="83"/>
  <c r="CE100" i="83"/>
  <c r="CE102" i="83" s="1"/>
  <c r="CE104" i="83" s="1"/>
  <c r="CE39" i="83"/>
  <c r="CE45" i="83" s="1"/>
  <c r="CE117" i="83"/>
  <c r="CE23" i="91" s="1"/>
  <c r="CE116" i="83"/>
  <c r="CE36" i="83"/>
  <c r="CD44" i="83"/>
  <c r="CD51" i="83" s="1"/>
  <c r="CD55" i="83" s="1"/>
  <c r="CD71" i="93" s="1"/>
  <c r="CD41" i="83"/>
  <c r="CC83" i="83"/>
  <c r="CD118" i="83"/>
  <c r="CD22" i="91"/>
  <c r="CD107" i="83"/>
  <c r="CC71" i="93"/>
  <c r="CC77" i="93" s="1"/>
  <c r="BW79" i="91"/>
  <c r="BW80" i="91" s="1"/>
  <c r="BW82" i="91" s="1"/>
  <c r="CE86" i="83"/>
  <c r="CE93" i="83"/>
  <c r="CE94" i="83"/>
  <c r="CE78" i="83"/>
  <c r="BX66" i="91"/>
  <c r="CB70" i="91"/>
  <c r="CB78" i="91"/>
  <c r="BY12" i="90"/>
  <c r="CA162" i="90"/>
  <c r="CB159" i="90"/>
  <c r="CB160" i="90"/>
  <c r="CB161" i="90"/>
  <c r="BZ169" i="90"/>
  <c r="BZ170" i="90" s="1"/>
  <c r="BZ173" i="90"/>
  <c r="BZ174" i="90" s="1"/>
  <c r="BZ175" i="90" s="1"/>
  <c r="CC64" i="83"/>
  <c r="CC65" i="83" s="1"/>
  <c r="CC62" i="91"/>
  <c r="CC149" i="90"/>
  <c r="CC153" i="90" s="1"/>
  <c r="CF114" i="90"/>
  <c r="CG114" i="90"/>
  <c r="BY12" i="91"/>
  <c r="BY26" i="91" s="1"/>
  <c r="BZ10" i="91"/>
  <c r="BZ73" i="83"/>
  <c r="BZ74" i="83" s="1"/>
  <c r="BZ15" i="91" s="1"/>
  <c r="CE24" i="83"/>
  <c r="CE27" i="83"/>
  <c r="CE26" i="83"/>
  <c r="CE29" i="83"/>
  <c r="CE28" i="83"/>
  <c r="CE25" i="83"/>
  <c r="CD30" i="83"/>
  <c r="CD32" i="83" s="1"/>
  <c r="CD21" i="91" s="1"/>
  <c r="CE62" i="83"/>
  <c r="CE72" i="83"/>
  <c r="CA69" i="83"/>
  <c r="CB68" i="83"/>
  <c r="CB155" i="90" s="1"/>
  <c r="BY64" i="91"/>
  <c r="BY71" i="91" s="1"/>
  <c r="BY72" i="91" s="1"/>
  <c r="BY74" i="91" s="1"/>
  <c r="CB25" i="90"/>
  <c r="CB85" i="91"/>
  <c r="BX28" i="90"/>
  <c r="BX30" i="90" s="1"/>
  <c r="BW33" i="90"/>
  <c r="BW37" i="90" s="1"/>
  <c r="CA14" i="90"/>
  <c r="CA63" i="91"/>
  <c r="CA25" i="90"/>
  <c r="CA85" i="91"/>
  <c r="CA86" i="91" s="1"/>
  <c r="CC24" i="91"/>
  <c r="M120" i="90"/>
  <c r="N120" i="90" s="1"/>
  <c r="O120" i="90" s="1"/>
  <c r="CD17" i="90"/>
  <c r="CD69" i="91" s="1"/>
  <c r="T116" i="90"/>
  <c r="U116" i="90" s="1"/>
  <c r="V116" i="90" s="1"/>
  <c r="O118" i="90"/>
  <c r="U115" i="90"/>
  <c r="CF8" i="90"/>
  <c r="CE38" i="90"/>
  <c r="CG113" i="90"/>
  <c r="CG109" i="90"/>
  <c r="K121" i="90"/>
  <c r="L121" i="90" s="1"/>
  <c r="S117" i="90"/>
  <c r="T117" i="90" s="1"/>
  <c r="U117" i="90" s="1"/>
  <c r="V117" i="90" s="1"/>
  <c r="W117" i="90" s="1"/>
  <c r="X117" i="90" s="1"/>
  <c r="Y117" i="90" s="1"/>
  <c r="Z117" i="90" s="1"/>
  <c r="AA117" i="90" s="1"/>
  <c r="AB117" i="90" s="1"/>
  <c r="AC117" i="90" s="1"/>
  <c r="AD117" i="90" s="1"/>
  <c r="AE117" i="90" s="1"/>
  <c r="AF117" i="90" s="1"/>
  <c r="AG117" i="90" s="1"/>
  <c r="AH117" i="90" s="1"/>
  <c r="AI117" i="90" s="1"/>
  <c r="AJ117" i="90" s="1"/>
  <c r="AK117" i="90" s="1"/>
  <c r="AL117" i="90" s="1"/>
  <c r="AM117" i="90" s="1"/>
  <c r="AN117" i="90" s="1"/>
  <c r="AO117" i="90" s="1"/>
  <c r="AP117" i="90" s="1"/>
  <c r="AQ117" i="90" s="1"/>
  <c r="AR117" i="90" s="1"/>
  <c r="AS117" i="90" s="1"/>
  <c r="AT117" i="90" s="1"/>
  <c r="AU117" i="90" s="1"/>
  <c r="AV117" i="90" s="1"/>
  <c r="AW117" i="90" s="1"/>
  <c r="AX117" i="90" s="1"/>
  <c r="AY117" i="90" s="1"/>
  <c r="AZ117" i="90" s="1"/>
  <c r="BA117" i="90" s="1"/>
  <c r="BB117" i="90" s="1"/>
  <c r="BC117" i="90" s="1"/>
  <c r="BD117" i="90" s="1"/>
  <c r="BE117" i="90" s="1"/>
  <c r="BF117" i="90" s="1"/>
  <c r="BG117" i="90" s="1"/>
  <c r="BH117" i="90" s="1"/>
  <c r="BI117" i="90" s="1"/>
  <c r="BJ117" i="90" s="1"/>
  <c r="BK117" i="90" s="1"/>
  <c r="BL117" i="90" s="1"/>
  <c r="BM117" i="90" s="1"/>
  <c r="BN117" i="90" s="1"/>
  <c r="BO117" i="90" s="1"/>
  <c r="BP117" i="90" s="1"/>
  <c r="BQ117" i="90" s="1"/>
  <c r="BR117" i="90" s="1"/>
  <c r="BS117" i="90" s="1"/>
  <c r="BT117" i="90" s="1"/>
  <c r="BU117" i="90" s="1"/>
  <c r="BV117" i="90" s="1"/>
  <c r="BW117" i="90" s="1"/>
  <c r="BX117" i="90" s="1"/>
  <c r="BY117" i="90" s="1"/>
  <c r="BZ117" i="90" s="1"/>
  <c r="CA117" i="90" s="1"/>
  <c r="CB117" i="90" s="1"/>
  <c r="CC117" i="90" s="1"/>
  <c r="CD117" i="90" s="1"/>
  <c r="CE117" i="90" s="1"/>
  <c r="CF117" i="90" s="1"/>
  <c r="CG117" i="90" s="1"/>
  <c r="CH117" i="90" s="1"/>
  <c r="Q119" i="90"/>
  <c r="CG110" i="90"/>
  <c r="CH45" i="90"/>
  <c r="CG107" i="90"/>
  <c r="CG111" i="90"/>
  <c r="AO97" i="90"/>
  <c r="CG106" i="90"/>
  <c r="CH106" i="90" s="1"/>
  <c r="CI106" i="90" s="1"/>
  <c r="CJ106" i="90" s="1"/>
  <c r="CK106" i="90" s="1"/>
  <c r="CL106" i="90" s="1"/>
  <c r="CM106" i="90" s="1"/>
  <c r="CN106" i="90" s="1"/>
  <c r="CO106" i="90" s="1"/>
  <c r="CP106" i="90" s="1"/>
  <c r="CQ106" i="90" s="1"/>
  <c r="CR106" i="90" s="1"/>
  <c r="CS106" i="90" s="1"/>
  <c r="CT106" i="90" s="1"/>
  <c r="CU106" i="90" s="1"/>
  <c r="CV106" i="90" s="1"/>
  <c r="CW106" i="90" s="1"/>
  <c r="CX106" i="90" s="1"/>
  <c r="CY106" i="90" s="1"/>
  <c r="CZ106" i="90" s="1"/>
  <c r="DA106" i="90" s="1"/>
  <c r="DB106" i="90" s="1"/>
  <c r="DC106" i="90" s="1"/>
  <c r="DD106" i="90" s="1"/>
  <c r="DE106" i="90" s="1"/>
  <c r="DF106" i="90" s="1"/>
  <c r="DG106" i="90" s="1"/>
  <c r="DH106" i="90" s="1"/>
  <c r="DI106" i="90" s="1"/>
  <c r="DJ106" i="90" s="1"/>
  <c r="DK106" i="90" s="1"/>
  <c r="DL106" i="90" s="1"/>
  <c r="DM106" i="90" s="1"/>
  <c r="AU96" i="90"/>
  <c r="C123" i="90"/>
  <c r="J122" i="90"/>
  <c r="AL100" i="90"/>
  <c r="CG108" i="90"/>
  <c r="CG112" i="90"/>
  <c r="CH112" i="90" s="1"/>
  <c r="CE87" i="83"/>
  <c r="CI4" i="91"/>
  <c r="CH6" i="91"/>
  <c r="CH5" i="91"/>
  <c r="CH4" i="90"/>
  <c r="CG6" i="90"/>
  <c r="CG21" i="90" s="1"/>
  <c r="CG5" i="90"/>
  <c r="CE48" i="83"/>
  <c r="CG4" i="83"/>
  <c r="CF6" i="83"/>
  <c r="CF80" i="83" s="1"/>
  <c r="CF5" i="83"/>
  <c r="CB157" i="90" l="1"/>
  <c r="CE82" i="83"/>
  <c r="CD89" i="83"/>
  <c r="CD90" i="83" s="1"/>
  <c r="CD96" i="83"/>
  <c r="CD97" i="83" s="1"/>
  <c r="CC108" i="83"/>
  <c r="CC109" i="83" s="1"/>
  <c r="CC110" i="83" s="1"/>
  <c r="CC18" i="91" s="1"/>
  <c r="CD83" i="83"/>
  <c r="CE22" i="91"/>
  <c r="CE118" i="83"/>
  <c r="CF47" i="83"/>
  <c r="CF100" i="83"/>
  <c r="CF102" i="83" s="1"/>
  <c r="CF104" i="83" s="1"/>
  <c r="CF39" i="83"/>
  <c r="CF45" i="83" s="1"/>
  <c r="CF117" i="83"/>
  <c r="CF23" i="91" s="1"/>
  <c r="CF116" i="83"/>
  <c r="CF36" i="83"/>
  <c r="CF37" i="83"/>
  <c r="CE44" i="83"/>
  <c r="CE51" i="83" s="1"/>
  <c r="CE55" i="83" s="1"/>
  <c r="CE71" i="93" s="1"/>
  <c r="CE41" i="83"/>
  <c r="BX79" i="91"/>
  <c r="BX80" i="91" s="1"/>
  <c r="BX82" i="91" s="1"/>
  <c r="CE107" i="83"/>
  <c r="CF86" i="83"/>
  <c r="CF93" i="83"/>
  <c r="CF94" i="83"/>
  <c r="CF78" i="83"/>
  <c r="BY66" i="91"/>
  <c r="CC78" i="91"/>
  <c r="CC70" i="91"/>
  <c r="BZ12" i="90"/>
  <c r="CD64" i="83"/>
  <c r="CD65" i="83" s="1"/>
  <c r="CD62" i="91"/>
  <c r="CD149" i="90"/>
  <c r="CD153" i="90" s="1"/>
  <c r="CB162" i="90"/>
  <c r="CD77" i="93"/>
  <c r="CC160" i="90"/>
  <c r="CC159" i="90"/>
  <c r="CC161" i="90"/>
  <c r="CA169" i="90"/>
  <c r="CA170" i="90" s="1"/>
  <c r="CA173" i="90"/>
  <c r="CA174" i="90" s="1"/>
  <c r="CA175" i="90" s="1"/>
  <c r="BY11" i="90"/>
  <c r="CA10" i="91"/>
  <c r="CA12" i="91" s="1"/>
  <c r="CA73" i="83"/>
  <c r="CA74" i="83" s="1"/>
  <c r="CA15" i="91" s="1"/>
  <c r="BZ64" i="91"/>
  <c r="BZ71" i="91" s="1"/>
  <c r="BZ72" i="91" s="1"/>
  <c r="BZ74" i="91" s="1"/>
  <c r="BZ12" i="91"/>
  <c r="BZ11" i="90" s="1"/>
  <c r="CF29" i="83"/>
  <c r="CF24" i="83"/>
  <c r="CF27" i="83"/>
  <c r="CF25" i="83"/>
  <c r="CF26" i="83"/>
  <c r="CF28" i="83"/>
  <c r="CE30" i="83"/>
  <c r="CE32" i="83" s="1"/>
  <c r="CE21" i="91" s="1"/>
  <c r="CF62" i="83"/>
  <c r="CF72" i="83"/>
  <c r="CC68" i="83"/>
  <c r="CC155" i="90" s="1"/>
  <c r="CB69" i="83"/>
  <c r="CB86" i="91"/>
  <c r="CB14" i="90"/>
  <c r="CB63" i="91"/>
  <c r="CA29" i="90"/>
  <c r="BY28" i="90"/>
  <c r="BY30" i="90" s="1"/>
  <c r="BX33" i="90"/>
  <c r="BX37" i="90" s="1"/>
  <c r="CC25" i="90"/>
  <c r="CC85" i="91"/>
  <c r="CD24" i="91"/>
  <c r="CB29" i="90"/>
  <c r="CE17" i="90"/>
  <c r="CE69" i="91" s="1"/>
  <c r="W116" i="90"/>
  <c r="X116" i="90" s="1"/>
  <c r="Y116" i="90" s="1"/>
  <c r="Z116" i="90" s="1"/>
  <c r="AA116" i="90" s="1"/>
  <c r="AB116" i="90" s="1"/>
  <c r="AC116" i="90" s="1"/>
  <c r="AD116" i="90" s="1"/>
  <c r="AE116" i="90" s="1"/>
  <c r="AF116" i="90" s="1"/>
  <c r="AG116" i="90" s="1"/>
  <c r="AH116" i="90" s="1"/>
  <c r="AI116" i="90" s="1"/>
  <c r="AJ116" i="90" s="1"/>
  <c r="AK116" i="90" s="1"/>
  <c r="AL116" i="90" s="1"/>
  <c r="AM116" i="90" s="1"/>
  <c r="AN116" i="90" s="1"/>
  <c r="AO116" i="90" s="1"/>
  <c r="AP116" i="90" s="1"/>
  <c r="AQ116" i="90" s="1"/>
  <c r="AR116" i="90" s="1"/>
  <c r="AS116" i="90" s="1"/>
  <c r="AT116" i="90" s="1"/>
  <c r="AU116" i="90" s="1"/>
  <c r="AV116" i="90" s="1"/>
  <c r="AW116" i="90" s="1"/>
  <c r="AX116" i="90" s="1"/>
  <c r="AY116" i="90" s="1"/>
  <c r="AZ116" i="90" s="1"/>
  <c r="BA116" i="90" s="1"/>
  <c r="BB116" i="90" s="1"/>
  <c r="BC116" i="90" s="1"/>
  <c r="BD116" i="90" s="1"/>
  <c r="BE116" i="90" s="1"/>
  <c r="BF116" i="90" s="1"/>
  <c r="BG116" i="90" s="1"/>
  <c r="BH116" i="90" s="1"/>
  <c r="BI116" i="90" s="1"/>
  <c r="BJ116" i="90" s="1"/>
  <c r="BK116" i="90" s="1"/>
  <c r="BL116" i="90" s="1"/>
  <c r="BM116" i="90" s="1"/>
  <c r="BN116" i="90" s="1"/>
  <c r="BO116" i="90" s="1"/>
  <c r="BP116" i="90" s="1"/>
  <c r="BQ116" i="90" s="1"/>
  <c r="BR116" i="90" s="1"/>
  <c r="BS116" i="90" s="1"/>
  <c r="BT116" i="90" s="1"/>
  <c r="BU116" i="90" s="1"/>
  <c r="BV116" i="90" s="1"/>
  <c r="BW116" i="90" s="1"/>
  <c r="BX116" i="90" s="1"/>
  <c r="BY116" i="90" s="1"/>
  <c r="BZ116" i="90" s="1"/>
  <c r="CA116" i="90" s="1"/>
  <c r="CB116" i="90" s="1"/>
  <c r="CC116" i="90" s="1"/>
  <c r="CD116" i="90" s="1"/>
  <c r="CE116" i="90" s="1"/>
  <c r="CF116" i="90" s="1"/>
  <c r="CG116" i="90" s="1"/>
  <c r="P120" i="90"/>
  <c r="Q120" i="90" s="1"/>
  <c r="CH110" i="90"/>
  <c r="P118" i="90"/>
  <c r="CH114" i="90"/>
  <c r="V115" i="90"/>
  <c r="CG8" i="90"/>
  <c r="CF38" i="90"/>
  <c r="K122" i="90"/>
  <c r="L122" i="90" s="1"/>
  <c r="M122" i="90" s="1"/>
  <c r="CH111" i="90"/>
  <c r="CI45" i="90"/>
  <c r="CH109" i="90"/>
  <c r="C124" i="90"/>
  <c r="J123" i="90"/>
  <c r="CH113" i="90"/>
  <c r="CI113" i="90" s="1"/>
  <c r="AV96" i="90"/>
  <c r="CH108" i="90"/>
  <c r="AM100" i="90"/>
  <c r="AP97" i="90"/>
  <c r="CH107" i="90"/>
  <c r="CI107" i="90" s="1"/>
  <c r="CJ107" i="90" s="1"/>
  <c r="CK107" i="90" s="1"/>
  <c r="CL107" i="90" s="1"/>
  <c r="CM107" i="90" s="1"/>
  <c r="CN107" i="90" s="1"/>
  <c r="CO107" i="90" s="1"/>
  <c r="CP107" i="90" s="1"/>
  <c r="CQ107" i="90" s="1"/>
  <c r="CR107" i="90" s="1"/>
  <c r="CS107" i="90" s="1"/>
  <c r="CT107" i="90" s="1"/>
  <c r="CU107" i="90" s="1"/>
  <c r="CV107" i="90" s="1"/>
  <c r="CW107" i="90" s="1"/>
  <c r="CX107" i="90" s="1"/>
  <c r="CY107" i="90" s="1"/>
  <c r="CZ107" i="90" s="1"/>
  <c r="DA107" i="90" s="1"/>
  <c r="DB107" i="90" s="1"/>
  <c r="DC107" i="90" s="1"/>
  <c r="DD107" i="90" s="1"/>
  <c r="DE107" i="90" s="1"/>
  <c r="DF107" i="90" s="1"/>
  <c r="DG107" i="90" s="1"/>
  <c r="DH107" i="90" s="1"/>
  <c r="DI107" i="90" s="1"/>
  <c r="DJ107" i="90" s="1"/>
  <c r="DK107" i="90" s="1"/>
  <c r="DL107" i="90" s="1"/>
  <c r="DM107" i="90" s="1"/>
  <c r="M121" i="90"/>
  <c r="R119" i="90"/>
  <c r="CF87" i="83"/>
  <c r="CJ4" i="91"/>
  <c r="CI6" i="91"/>
  <c r="CI5" i="91"/>
  <c r="CI4" i="90"/>
  <c r="CH6" i="90"/>
  <c r="CH21" i="90" s="1"/>
  <c r="CH5" i="90"/>
  <c r="CF48" i="83"/>
  <c r="CH4" i="83"/>
  <c r="CG5" i="83"/>
  <c r="CG6" i="83"/>
  <c r="CG80" i="83" s="1"/>
  <c r="CD108" i="83" l="1"/>
  <c r="CD109" i="83" s="1"/>
  <c r="CD110" i="83" s="1"/>
  <c r="CD18" i="91" s="1"/>
  <c r="CD14" i="90" s="1"/>
  <c r="CF82" i="83"/>
  <c r="CE96" i="83"/>
  <c r="CE97" i="83" s="1"/>
  <c r="CE89" i="83"/>
  <c r="CE90" i="83" s="1"/>
  <c r="CE83" i="83"/>
  <c r="CC157" i="90"/>
  <c r="CG47" i="83"/>
  <c r="CG100" i="83"/>
  <c r="CG102" i="83" s="1"/>
  <c r="CG104" i="83" s="1"/>
  <c r="CG39" i="83"/>
  <c r="CG45" i="83" s="1"/>
  <c r="CG117" i="83"/>
  <c r="CG23" i="91" s="1"/>
  <c r="CG116" i="83"/>
  <c r="CG36" i="83"/>
  <c r="CG37" i="83"/>
  <c r="CF44" i="83"/>
  <c r="CF51" i="83" s="1"/>
  <c r="CF55" i="83" s="1"/>
  <c r="CF41" i="83"/>
  <c r="CF118" i="83"/>
  <c r="CF22" i="91"/>
  <c r="CF107" i="83"/>
  <c r="BY79" i="91"/>
  <c r="BY80" i="91" s="1"/>
  <c r="BY82" i="91" s="1"/>
  <c r="CG86" i="83"/>
  <c r="CG93" i="83"/>
  <c r="CG94" i="83"/>
  <c r="CG78" i="83"/>
  <c r="BZ66" i="91"/>
  <c r="CD78" i="91"/>
  <c r="CD70" i="91"/>
  <c r="CD160" i="90"/>
  <c r="CD161" i="90"/>
  <c r="CD159" i="90"/>
  <c r="CE64" i="83"/>
  <c r="CE65" i="83" s="1"/>
  <c r="CE62" i="91"/>
  <c r="CE149" i="90"/>
  <c r="CE153" i="90" s="1"/>
  <c r="CC162" i="90"/>
  <c r="CE77" i="93"/>
  <c r="CB173" i="90"/>
  <c r="CB174" i="90" s="1"/>
  <c r="CB175" i="90" s="1"/>
  <c r="CB169" i="90"/>
  <c r="CB170" i="90" s="1"/>
  <c r="CA26" i="91"/>
  <c r="BZ26" i="91"/>
  <c r="CB10" i="91"/>
  <c r="CB73" i="83"/>
  <c r="CB74" i="83" s="1"/>
  <c r="CB15" i="91" s="1"/>
  <c r="CA12" i="90"/>
  <c r="CD68" i="83"/>
  <c r="CD155" i="90" s="1"/>
  <c r="CG26" i="83"/>
  <c r="CG29" i="83"/>
  <c r="CG24" i="83"/>
  <c r="CG25" i="83"/>
  <c r="CG27" i="83"/>
  <c r="CG28" i="83"/>
  <c r="CF30" i="83"/>
  <c r="CF32" i="83" s="1"/>
  <c r="CF21" i="91" s="1"/>
  <c r="CG62" i="83"/>
  <c r="CA64" i="91"/>
  <c r="CA71" i="91" s="1"/>
  <c r="CA72" i="91" s="1"/>
  <c r="CA74" i="91" s="1"/>
  <c r="CA11" i="90"/>
  <c r="CG72" i="83"/>
  <c r="CC86" i="91"/>
  <c r="CC69" i="83"/>
  <c r="CD25" i="90"/>
  <c r="CD85" i="91"/>
  <c r="CC14" i="90"/>
  <c r="CC63" i="91"/>
  <c r="CE24" i="91"/>
  <c r="BZ28" i="90"/>
  <c r="BZ30" i="90" s="1"/>
  <c r="BY33" i="90"/>
  <c r="BY37" i="90" s="1"/>
  <c r="CC29" i="90"/>
  <c r="R120" i="90"/>
  <c r="S120" i="90" s="1"/>
  <c r="T120" i="90" s="1"/>
  <c r="CF17" i="90"/>
  <c r="CF69" i="91" s="1"/>
  <c r="CH116" i="90"/>
  <c r="CI116" i="90" s="1"/>
  <c r="CI117" i="90"/>
  <c r="W115" i="90"/>
  <c r="X115" i="90" s="1"/>
  <c r="Y115" i="90" s="1"/>
  <c r="Z115" i="90" s="1"/>
  <c r="AA115" i="90" s="1"/>
  <c r="AB115" i="90" s="1"/>
  <c r="AC115" i="90" s="1"/>
  <c r="AD115" i="90" s="1"/>
  <c r="AE115" i="90" s="1"/>
  <c r="AF115" i="90" s="1"/>
  <c r="AG115" i="90" s="1"/>
  <c r="AH115" i="90" s="1"/>
  <c r="AI115" i="90" s="1"/>
  <c r="Q118" i="90"/>
  <c r="CI110" i="90"/>
  <c r="CH8" i="90"/>
  <c r="CG38" i="90"/>
  <c r="N122" i="90"/>
  <c r="O122" i="90" s="1"/>
  <c r="AQ97" i="90"/>
  <c r="AN100" i="90"/>
  <c r="N121" i="90"/>
  <c r="K123" i="90"/>
  <c r="L123" i="90" s="1"/>
  <c r="M123" i="90" s="1"/>
  <c r="CJ45" i="90"/>
  <c r="CI108" i="90"/>
  <c r="CJ108" i="90" s="1"/>
  <c r="CK108" i="90" s="1"/>
  <c r="CL108" i="90" s="1"/>
  <c r="CM108" i="90" s="1"/>
  <c r="CN108" i="90" s="1"/>
  <c r="CO108" i="90" s="1"/>
  <c r="CP108" i="90" s="1"/>
  <c r="CQ108" i="90" s="1"/>
  <c r="CR108" i="90" s="1"/>
  <c r="CS108" i="90" s="1"/>
  <c r="CT108" i="90" s="1"/>
  <c r="CU108" i="90" s="1"/>
  <c r="CV108" i="90" s="1"/>
  <c r="CW108" i="90" s="1"/>
  <c r="CX108" i="90" s="1"/>
  <c r="CY108" i="90" s="1"/>
  <c r="CZ108" i="90" s="1"/>
  <c r="DA108" i="90" s="1"/>
  <c r="DB108" i="90" s="1"/>
  <c r="DC108" i="90" s="1"/>
  <c r="DD108" i="90" s="1"/>
  <c r="DE108" i="90" s="1"/>
  <c r="DF108" i="90" s="1"/>
  <c r="DG108" i="90" s="1"/>
  <c r="DH108" i="90" s="1"/>
  <c r="DI108" i="90" s="1"/>
  <c r="DJ108" i="90" s="1"/>
  <c r="DK108" i="90" s="1"/>
  <c r="DL108" i="90" s="1"/>
  <c r="DM108" i="90" s="1"/>
  <c r="AW96" i="90"/>
  <c r="C125" i="90"/>
  <c r="J124" i="90"/>
  <c r="CI111" i="90"/>
  <c r="CJ111" i="90" s="1"/>
  <c r="CI114" i="90"/>
  <c r="CI112" i="90"/>
  <c r="CJ112" i="90" s="1"/>
  <c r="CI109" i="90"/>
  <c r="S119" i="90"/>
  <c r="CG87" i="83"/>
  <c r="CK4" i="91"/>
  <c r="CJ6" i="91"/>
  <c r="CJ5" i="91"/>
  <c r="CJ4" i="90"/>
  <c r="CI6" i="90"/>
  <c r="CI21" i="90" s="1"/>
  <c r="CI5" i="90"/>
  <c r="CI4" i="83"/>
  <c r="CH6" i="83"/>
  <c r="CH80" i="83" s="1"/>
  <c r="CH5" i="83"/>
  <c r="CG48" i="83"/>
  <c r="CE108" i="83" l="1"/>
  <c r="CE109" i="83" s="1"/>
  <c r="CE110" i="83" s="1"/>
  <c r="CE18" i="91" s="1"/>
  <c r="CD63" i="91"/>
  <c r="CD157" i="90"/>
  <c r="CG82" i="83"/>
  <c r="CF83" i="83"/>
  <c r="CG44" i="83"/>
  <c r="CG51" i="83" s="1"/>
  <c r="CG55" i="83" s="1"/>
  <c r="CG71" i="93" s="1"/>
  <c r="CG41" i="83"/>
  <c r="CF89" i="83"/>
  <c r="CF90" i="83" s="1"/>
  <c r="CH47" i="83"/>
  <c r="CH39" i="83"/>
  <c r="CH45" i="83" s="1"/>
  <c r="CH117" i="83"/>
  <c r="CH23" i="91" s="1"/>
  <c r="CH116" i="83"/>
  <c r="CH36" i="83"/>
  <c r="CH100" i="83"/>
  <c r="CH102" i="83" s="1"/>
  <c r="CH104" i="83" s="1"/>
  <c r="CH37" i="83"/>
  <c r="CG118" i="83"/>
  <c r="CG22" i="91"/>
  <c r="CF96" i="83"/>
  <c r="CF97" i="83" s="1"/>
  <c r="CF71" i="93"/>
  <c r="CF77" i="93" s="1"/>
  <c r="CG107" i="83"/>
  <c r="BZ79" i="91"/>
  <c r="BZ80" i="91" s="1"/>
  <c r="BZ82" i="91" s="1"/>
  <c r="CH86" i="83"/>
  <c r="CH93" i="83"/>
  <c r="CH94" i="83"/>
  <c r="CH78" i="83"/>
  <c r="CA66" i="91"/>
  <c r="CE70" i="91"/>
  <c r="CE78" i="91"/>
  <c r="CF64" i="83"/>
  <c r="CF65" i="83" s="1"/>
  <c r="CF149" i="90"/>
  <c r="CF153" i="90" s="1"/>
  <c r="CF62" i="91"/>
  <c r="CC169" i="90"/>
  <c r="CC170" i="90" s="1"/>
  <c r="CC173" i="90"/>
  <c r="CC174" i="90" s="1"/>
  <c r="CC175" i="90" s="1"/>
  <c r="CD162" i="90"/>
  <c r="CE160" i="90"/>
  <c r="CE161" i="90"/>
  <c r="CE159" i="90"/>
  <c r="CB12" i="91"/>
  <c r="CB26" i="91" s="1"/>
  <c r="CB12" i="90"/>
  <c r="CC10" i="91"/>
  <c r="CC73" i="83"/>
  <c r="CC74" i="83" s="1"/>
  <c r="CC15" i="91" s="1"/>
  <c r="CH26" i="83"/>
  <c r="CH29" i="83"/>
  <c r="CH24" i="83"/>
  <c r="CH25" i="83"/>
  <c r="CH28" i="83"/>
  <c r="CH27" i="83"/>
  <c r="CG30" i="83"/>
  <c r="CG32" i="83" s="1"/>
  <c r="CG21" i="91" s="1"/>
  <c r="CH62" i="83"/>
  <c r="CE68" i="83"/>
  <c r="CE155" i="90" s="1"/>
  <c r="CH72" i="83"/>
  <c r="CD86" i="91"/>
  <c r="CB64" i="91"/>
  <c r="CB71" i="91" s="1"/>
  <c r="CB72" i="91" s="1"/>
  <c r="CB74" i="91" s="1"/>
  <c r="CD69" i="83"/>
  <c r="CA28" i="90"/>
  <c r="CA30" i="90" s="1"/>
  <c r="BZ33" i="90"/>
  <c r="BZ37" i="90" s="1"/>
  <c r="CE157" i="90"/>
  <c r="CD29" i="90"/>
  <c r="CE25" i="90"/>
  <c r="CE85" i="91"/>
  <c r="CG17" i="90"/>
  <c r="CG69" i="91" s="1"/>
  <c r="CJ116" i="90"/>
  <c r="R118" i="90"/>
  <c r="AJ115" i="90"/>
  <c r="AK115" i="90" s="1"/>
  <c r="AL115" i="90" s="1"/>
  <c r="AM115" i="90" s="1"/>
  <c r="AN115" i="90" s="1"/>
  <c r="AO115" i="90" s="1"/>
  <c r="AP115" i="90" s="1"/>
  <c r="AQ115" i="90" s="1"/>
  <c r="AR115" i="90" s="1"/>
  <c r="AS115" i="90" s="1"/>
  <c r="AT115" i="90" s="1"/>
  <c r="AU115" i="90" s="1"/>
  <c r="AV115" i="90" s="1"/>
  <c r="AW115" i="90" s="1"/>
  <c r="AX115" i="90" s="1"/>
  <c r="AY115" i="90" s="1"/>
  <c r="AZ115" i="90" s="1"/>
  <c r="BA115" i="90" s="1"/>
  <c r="BB115" i="90" s="1"/>
  <c r="BC115" i="90" s="1"/>
  <c r="BD115" i="90" s="1"/>
  <c r="BE115" i="90" s="1"/>
  <c r="BF115" i="90" s="1"/>
  <c r="BG115" i="90" s="1"/>
  <c r="BH115" i="90" s="1"/>
  <c r="BI115" i="90" s="1"/>
  <c r="BJ115" i="90" s="1"/>
  <c r="BK115" i="90" s="1"/>
  <c r="BL115" i="90" s="1"/>
  <c r="BM115" i="90" s="1"/>
  <c r="BN115" i="90" s="1"/>
  <c r="BO115" i="90" s="1"/>
  <c r="BP115" i="90" s="1"/>
  <c r="BQ115" i="90" s="1"/>
  <c r="BR115" i="90" s="1"/>
  <c r="BS115" i="90" s="1"/>
  <c r="BT115" i="90" s="1"/>
  <c r="BU115" i="90" s="1"/>
  <c r="BV115" i="90" s="1"/>
  <c r="BW115" i="90" s="1"/>
  <c r="BX115" i="90" s="1"/>
  <c r="BY115" i="90" s="1"/>
  <c r="BZ115" i="90" s="1"/>
  <c r="CA115" i="90" s="1"/>
  <c r="CB115" i="90" s="1"/>
  <c r="CC115" i="90" s="1"/>
  <c r="CD115" i="90" s="1"/>
  <c r="CE115" i="90" s="1"/>
  <c r="CF115" i="90" s="1"/>
  <c r="U120" i="90"/>
  <c r="CI8" i="90"/>
  <c r="CH38" i="90"/>
  <c r="P122" i="90"/>
  <c r="Q122" i="90" s="1"/>
  <c r="C126" i="90"/>
  <c r="J125" i="90"/>
  <c r="CJ114" i="90"/>
  <c r="T119" i="90"/>
  <c r="U119" i="90" s="1"/>
  <c r="V119" i="90" s="1"/>
  <c r="W119" i="90" s="1"/>
  <c r="X119" i="90" s="1"/>
  <c r="Y119" i="90" s="1"/>
  <c r="Z119" i="90" s="1"/>
  <c r="AA119" i="90" s="1"/>
  <c r="AB119" i="90" s="1"/>
  <c r="AC119" i="90" s="1"/>
  <c r="AD119" i="90" s="1"/>
  <c r="AE119" i="90" s="1"/>
  <c r="AF119" i="90" s="1"/>
  <c r="AG119" i="90" s="1"/>
  <c r="AH119" i="90" s="1"/>
  <c r="AI119" i="90" s="1"/>
  <c r="AJ119" i="90" s="1"/>
  <c r="AK119" i="90" s="1"/>
  <c r="AL119" i="90" s="1"/>
  <c r="AM119" i="90" s="1"/>
  <c r="AN119" i="90" s="1"/>
  <c r="AO119" i="90" s="1"/>
  <c r="AP119" i="90" s="1"/>
  <c r="AQ119" i="90" s="1"/>
  <c r="AR119" i="90" s="1"/>
  <c r="AS119" i="90" s="1"/>
  <c r="AT119" i="90" s="1"/>
  <c r="AU119" i="90" s="1"/>
  <c r="AV119" i="90" s="1"/>
  <c r="AW119" i="90" s="1"/>
  <c r="AX119" i="90" s="1"/>
  <c r="AY119" i="90" s="1"/>
  <c r="AZ119" i="90" s="1"/>
  <c r="BA119" i="90" s="1"/>
  <c r="BB119" i="90" s="1"/>
  <c r="BC119" i="90" s="1"/>
  <c r="BD119" i="90" s="1"/>
  <c r="BE119" i="90" s="1"/>
  <c r="BF119" i="90" s="1"/>
  <c r="BG119" i="90" s="1"/>
  <c r="BH119" i="90" s="1"/>
  <c r="BI119" i="90" s="1"/>
  <c r="BJ119" i="90" s="1"/>
  <c r="BK119" i="90" s="1"/>
  <c r="BL119" i="90" s="1"/>
  <c r="BM119" i="90" s="1"/>
  <c r="BN119" i="90" s="1"/>
  <c r="BO119" i="90" s="1"/>
  <c r="BP119" i="90" s="1"/>
  <c r="BQ119" i="90" s="1"/>
  <c r="BR119" i="90" s="1"/>
  <c r="BS119" i="90" s="1"/>
  <c r="BT119" i="90" s="1"/>
  <c r="BU119" i="90" s="1"/>
  <c r="BV119" i="90" s="1"/>
  <c r="BW119" i="90" s="1"/>
  <c r="BX119" i="90" s="1"/>
  <c r="BY119" i="90" s="1"/>
  <c r="BZ119" i="90" s="1"/>
  <c r="CA119" i="90" s="1"/>
  <c r="CB119" i="90" s="1"/>
  <c r="CC119" i="90" s="1"/>
  <c r="CD119" i="90" s="1"/>
  <c r="CE119" i="90" s="1"/>
  <c r="CF119" i="90" s="1"/>
  <c r="CG119" i="90" s="1"/>
  <c r="CH119" i="90" s="1"/>
  <c r="CI119" i="90" s="1"/>
  <c r="CJ119" i="90" s="1"/>
  <c r="CK119" i="90" s="1"/>
  <c r="N123" i="90"/>
  <c r="O123" i="90" s="1"/>
  <c r="AO100" i="90"/>
  <c r="O121" i="90"/>
  <c r="CJ109" i="90"/>
  <c r="CK109" i="90" s="1"/>
  <c r="CL109" i="90" s="1"/>
  <c r="CM109" i="90" s="1"/>
  <c r="CN109" i="90" s="1"/>
  <c r="CO109" i="90" s="1"/>
  <c r="CP109" i="90" s="1"/>
  <c r="CQ109" i="90" s="1"/>
  <c r="CR109" i="90" s="1"/>
  <c r="CS109" i="90" s="1"/>
  <c r="CT109" i="90" s="1"/>
  <c r="CU109" i="90" s="1"/>
  <c r="CV109" i="90" s="1"/>
  <c r="CW109" i="90" s="1"/>
  <c r="CX109" i="90" s="1"/>
  <c r="CY109" i="90" s="1"/>
  <c r="CZ109" i="90" s="1"/>
  <c r="DA109" i="90" s="1"/>
  <c r="DB109" i="90" s="1"/>
  <c r="DC109" i="90" s="1"/>
  <c r="DD109" i="90" s="1"/>
  <c r="DE109" i="90" s="1"/>
  <c r="DF109" i="90" s="1"/>
  <c r="DG109" i="90" s="1"/>
  <c r="DH109" i="90" s="1"/>
  <c r="DI109" i="90" s="1"/>
  <c r="DJ109" i="90" s="1"/>
  <c r="DK109" i="90" s="1"/>
  <c r="DL109" i="90" s="1"/>
  <c r="DM109" i="90" s="1"/>
  <c r="AX96" i="90"/>
  <c r="CK45" i="90"/>
  <c r="CJ113" i="90"/>
  <c r="K124" i="90"/>
  <c r="L124" i="90" s="1"/>
  <c r="CJ117" i="90"/>
  <c r="AR97" i="90"/>
  <c r="CJ110" i="90"/>
  <c r="CH87" i="83"/>
  <c r="CK6" i="91"/>
  <c r="CK5" i="91"/>
  <c r="CL4" i="91"/>
  <c r="CJ6" i="90"/>
  <c r="CJ21" i="90" s="1"/>
  <c r="CJ5" i="90"/>
  <c r="CK4" i="90"/>
  <c r="CJ4" i="83"/>
  <c r="CI6" i="83"/>
  <c r="CI80" i="83" s="1"/>
  <c r="CI5" i="83"/>
  <c r="CH48" i="83"/>
  <c r="CG89" i="83" l="1"/>
  <c r="CG90" i="83" s="1"/>
  <c r="CH82" i="83"/>
  <c r="CF108" i="83"/>
  <c r="CF109" i="83" s="1"/>
  <c r="CF110" i="83" s="1"/>
  <c r="CF18" i="91" s="1"/>
  <c r="CF63" i="91" s="1"/>
  <c r="CG83" i="83"/>
  <c r="CH22" i="91"/>
  <c r="CH118" i="83"/>
  <c r="CI47" i="83"/>
  <c r="CI116" i="83"/>
  <c r="CI117" i="83"/>
  <c r="CI23" i="91" s="1"/>
  <c r="CI100" i="83"/>
  <c r="CI102" i="83" s="1"/>
  <c r="CI104" i="83" s="1"/>
  <c r="CI37" i="83"/>
  <c r="CI36" i="83"/>
  <c r="CI39" i="83"/>
  <c r="CI45" i="83" s="1"/>
  <c r="CH44" i="83"/>
  <c r="CH51" i="83" s="1"/>
  <c r="CH55" i="83" s="1"/>
  <c r="CH41" i="83"/>
  <c r="CG96" i="83"/>
  <c r="CG97" i="83" s="1"/>
  <c r="CG77" i="93"/>
  <c r="CH107" i="83"/>
  <c r="CA79" i="91"/>
  <c r="CA80" i="91" s="1"/>
  <c r="CA82" i="91" s="1"/>
  <c r="CI86" i="83"/>
  <c r="CI93" i="83"/>
  <c r="CI94" i="83"/>
  <c r="CI78" i="83"/>
  <c r="CB66" i="91"/>
  <c r="CF78" i="91"/>
  <c r="CF70" i="91"/>
  <c r="CE162" i="90"/>
  <c r="CE173" i="90" s="1"/>
  <c r="CE174" i="90" s="1"/>
  <c r="CE175" i="90" s="1"/>
  <c r="CG64" i="83"/>
  <c r="CG65" i="83" s="1"/>
  <c r="CG62" i="91"/>
  <c r="CG149" i="90"/>
  <c r="CG153" i="90" s="1"/>
  <c r="CF160" i="90"/>
  <c r="CF159" i="90"/>
  <c r="CF161" i="90"/>
  <c r="CD169" i="90"/>
  <c r="CD170" i="90" s="1"/>
  <c r="CD173" i="90"/>
  <c r="CD174" i="90" s="1"/>
  <c r="CD175" i="90" s="1"/>
  <c r="CC12" i="90"/>
  <c r="CC12" i="91"/>
  <c r="CC26" i="91" s="1"/>
  <c r="CB11" i="90"/>
  <c r="CD10" i="91"/>
  <c r="CD12" i="91" s="1"/>
  <c r="CD73" i="83"/>
  <c r="CD74" i="83" s="1"/>
  <c r="CD15" i="91" s="1"/>
  <c r="CF68" i="83"/>
  <c r="CF155" i="90" s="1"/>
  <c r="CH30" i="83"/>
  <c r="CH32" i="83" s="1"/>
  <c r="CH21" i="91" s="1"/>
  <c r="CI28" i="83"/>
  <c r="CI26" i="83"/>
  <c r="CI24" i="83"/>
  <c r="CI27" i="83"/>
  <c r="CI29" i="83"/>
  <c r="CI25" i="83"/>
  <c r="CI62" i="83"/>
  <c r="CE69" i="83"/>
  <c r="CC64" i="91"/>
  <c r="CC71" i="91" s="1"/>
  <c r="CC72" i="91" s="1"/>
  <c r="CC74" i="91" s="1"/>
  <c r="CI72" i="83"/>
  <c r="CE86" i="91"/>
  <c r="CB28" i="90"/>
  <c r="CB30" i="90" s="1"/>
  <c r="CA33" i="90"/>
  <c r="CA37" i="90" s="1"/>
  <c r="CE29" i="90"/>
  <c r="CF24" i="91"/>
  <c r="CE63" i="91"/>
  <c r="CE14" i="90"/>
  <c r="CK116" i="90"/>
  <c r="CH17" i="90"/>
  <c r="CH69" i="91" s="1"/>
  <c r="S118" i="90"/>
  <c r="T118" i="90" s="1"/>
  <c r="U118" i="90" s="1"/>
  <c r="M124" i="90"/>
  <c r="N124" i="90" s="1"/>
  <c r="O124" i="90" s="1"/>
  <c r="V120" i="90"/>
  <c r="W120" i="90" s="1"/>
  <c r="X120" i="90" s="1"/>
  <c r="Y120" i="90" s="1"/>
  <c r="Z120" i="90" s="1"/>
  <c r="AA120" i="90" s="1"/>
  <c r="AB120" i="90" s="1"/>
  <c r="AC120" i="90" s="1"/>
  <c r="AD120" i="90" s="1"/>
  <c r="AE120" i="90" s="1"/>
  <c r="AF120" i="90" s="1"/>
  <c r="AG120" i="90" s="1"/>
  <c r="AH120" i="90" s="1"/>
  <c r="AI120" i="90" s="1"/>
  <c r="AJ120" i="90" s="1"/>
  <c r="AK120" i="90" s="1"/>
  <c r="AL120" i="90" s="1"/>
  <c r="AM120" i="90" s="1"/>
  <c r="AN120" i="90" s="1"/>
  <c r="AO120" i="90" s="1"/>
  <c r="AP120" i="90" s="1"/>
  <c r="AQ120" i="90" s="1"/>
  <c r="AR120" i="90" s="1"/>
  <c r="AS120" i="90" s="1"/>
  <c r="AT120" i="90" s="1"/>
  <c r="AU120" i="90" s="1"/>
  <c r="AV120" i="90" s="1"/>
  <c r="AW120" i="90" s="1"/>
  <c r="AX120" i="90" s="1"/>
  <c r="AY120" i="90" s="1"/>
  <c r="AZ120" i="90" s="1"/>
  <c r="BA120" i="90" s="1"/>
  <c r="BB120" i="90" s="1"/>
  <c r="BC120" i="90" s="1"/>
  <c r="BD120" i="90" s="1"/>
  <c r="BE120" i="90" s="1"/>
  <c r="BF120" i="90" s="1"/>
  <c r="BG120" i="90" s="1"/>
  <c r="BH120" i="90" s="1"/>
  <c r="BI120" i="90" s="1"/>
  <c r="BJ120" i="90" s="1"/>
  <c r="BK120" i="90" s="1"/>
  <c r="BL120" i="90" s="1"/>
  <c r="BM120" i="90" s="1"/>
  <c r="BN120" i="90" s="1"/>
  <c r="BO120" i="90" s="1"/>
  <c r="BP120" i="90" s="1"/>
  <c r="BQ120" i="90" s="1"/>
  <c r="BR120" i="90" s="1"/>
  <c r="BS120" i="90" s="1"/>
  <c r="BT120" i="90" s="1"/>
  <c r="BU120" i="90" s="1"/>
  <c r="BV120" i="90" s="1"/>
  <c r="BW120" i="90" s="1"/>
  <c r="BX120" i="90" s="1"/>
  <c r="BY120" i="90" s="1"/>
  <c r="BZ120" i="90" s="1"/>
  <c r="CA120" i="90" s="1"/>
  <c r="CB120" i="90" s="1"/>
  <c r="CC120" i="90" s="1"/>
  <c r="CD120" i="90" s="1"/>
  <c r="CE120" i="90" s="1"/>
  <c r="CF120" i="90" s="1"/>
  <c r="CG120" i="90" s="1"/>
  <c r="CH120" i="90" s="1"/>
  <c r="CG115" i="90"/>
  <c r="CH115" i="90" s="1"/>
  <c r="CJ8" i="90"/>
  <c r="CI38" i="90"/>
  <c r="P123" i="90"/>
  <c r="Q123" i="90" s="1"/>
  <c r="R122" i="90"/>
  <c r="CK110" i="90"/>
  <c r="CL110" i="90" s="1"/>
  <c r="CM110" i="90" s="1"/>
  <c r="CN110" i="90" s="1"/>
  <c r="CO110" i="90" s="1"/>
  <c r="CP110" i="90" s="1"/>
  <c r="CQ110" i="90" s="1"/>
  <c r="CR110" i="90" s="1"/>
  <c r="CS110" i="90" s="1"/>
  <c r="CT110" i="90" s="1"/>
  <c r="CU110" i="90" s="1"/>
  <c r="CV110" i="90" s="1"/>
  <c r="CW110" i="90" s="1"/>
  <c r="CX110" i="90" s="1"/>
  <c r="CY110" i="90" s="1"/>
  <c r="CZ110" i="90" s="1"/>
  <c r="DA110" i="90" s="1"/>
  <c r="DB110" i="90" s="1"/>
  <c r="DC110" i="90" s="1"/>
  <c r="DD110" i="90" s="1"/>
  <c r="DE110" i="90" s="1"/>
  <c r="DF110" i="90" s="1"/>
  <c r="DG110" i="90" s="1"/>
  <c r="DH110" i="90" s="1"/>
  <c r="DI110" i="90" s="1"/>
  <c r="DJ110" i="90" s="1"/>
  <c r="DK110" i="90" s="1"/>
  <c r="DL110" i="90" s="1"/>
  <c r="DM110" i="90" s="1"/>
  <c r="CK113" i="90"/>
  <c r="CL45" i="90"/>
  <c r="AP100" i="90"/>
  <c r="K125" i="90"/>
  <c r="L125" i="90" s="1"/>
  <c r="CK111" i="90"/>
  <c r="CL111" i="90" s="1"/>
  <c r="CM111" i="90" s="1"/>
  <c r="CN111" i="90" s="1"/>
  <c r="CO111" i="90" s="1"/>
  <c r="CP111" i="90" s="1"/>
  <c r="CQ111" i="90" s="1"/>
  <c r="CR111" i="90" s="1"/>
  <c r="CS111" i="90" s="1"/>
  <c r="CT111" i="90" s="1"/>
  <c r="CU111" i="90" s="1"/>
  <c r="CV111" i="90" s="1"/>
  <c r="CW111" i="90" s="1"/>
  <c r="CX111" i="90" s="1"/>
  <c r="CY111" i="90" s="1"/>
  <c r="CZ111" i="90" s="1"/>
  <c r="DA111" i="90" s="1"/>
  <c r="DB111" i="90" s="1"/>
  <c r="DC111" i="90" s="1"/>
  <c r="DD111" i="90" s="1"/>
  <c r="DE111" i="90" s="1"/>
  <c r="DF111" i="90" s="1"/>
  <c r="DG111" i="90" s="1"/>
  <c r="DH111" i="90" s="1"/>
  <c r="DI111" i="90" s="1"/>
  <c r="DJ111" i="90" s="1"/>
  <c r="DK111" i="90" s="1"/>
  <c r="DL111" i="90" s="1"/>
  <c r="DM111" i="90" s="1"/>
  <c r="CK117" i="90"/>
  <c r="AS97" i="90"/>
  <c r="CK112" i="90"/>
  <c r="AY96" i="90"/>
  <c r="P121" i="90"/>
  <c r="Q121" i="90" s="1"/>
  <c r="R121" i="90" s="1"/>
  <c r="S121" i="90" s="1"/>
  <c r="CK114" i="90"/>
  <c r="CL114" i="90" s="1"/>
  <c r="C127" i="90"/>
  <c r="J126" i="90"/>
  <c r="CI87" i="83"/>
  <c r="CM4" i="91"/>
  <c r="CL6" i="91"/>
  <c r="CL5" i="91"/>
  <c r="CL4" i="90"/>
  <c r="CK6" i="90"/>
  <c r="CK21" i="90" s="1"/>
  <c r="CK5" i="90"/>
  <c r="CI48" i="83"/>
  <c r="CK4" i="83"/>
  <c r="CJ6" i="83"/>
  <c r="CJ80" i="83" s="1"/>
  <c r="CJ5" i="83"/>
  <c r="CI82" i="83" l="1"/>
  <c r="CG108" i="83"/>
  <c r="CG109" i="83" s="1"/>
  <c r="CG110" i="83" s="1"/>
  <c r="CG18" i="91" s="1"/>
  <c r="CG63" i="91" s="1"/>
  <c r="CF157" i="90"/>
  <c r="CH96" i="83"/>
  <c r="CH97" i="83" s="1"/>
  <c r="CI44" i="83"/>
  <c r="CI51" i="83" s="1"/>
  <c r="CI55" i="83" s="1"/>
  <c r="CI71" i="93" s="1"/>
  <c r="CI41" i="83"/>
  <c r="CH89" i="83"/>
  <c r="CH90" i="83" s="1"/>
  <c r="CH83" i="83"/>
  <c r="CJ47" i="83"/>
  <c r="CJ117" i="83"/>
  <c r="CJ23" i="91" s="1"/>
  <c r="CJ116" i="83"/>
  <c r="CJ36" i="83"/>
  <c r="CJ37" i="83"/>
  <c r="CJ100" i="83"/>
  <c r="CJ102" i="83" s="1"/>
  <c r="CJ104" i="83" s="1"/>
  <c r="CJ39" i="83"/>
  <c r="CJ45" i="83" s="1"/>
  <c r="CI118" i="83"/>
  <c r="CI22" i="91"/>
  <c r="CF14" i="90"/>
  <c r="CH71" i="93"/>
  <c r="CH77" i="93" s="1"/>
  <c r="CB79" i="91"/>
  <c r="CB80" i="91" s="1"/>
  <c r="CB82" i="91" s="1"/>
  <c r="CI107" i="83"/>
  <c r="CJ86" i="83"/>
  <c r="CJ93" i="83"/>
  <c r="CJ94" i="83"/>
  <c r="CJ78" i="83"/>
  <c r="CC66" i="91"/>
  <c r="CG78" i="91"/>
  <c r="CG70" i="91"/>
  <c r="CE169" i="90"/>
  <c r="CE170" i="90" s="1"/>
  <c r="CC11" i="90"/>
  <c r="CF162" i="90"/>
  <c r="CH64" i="83"/>
  <c r="CH65" i="83" s="1"/>
  <c r="CH62" i="91"/>
  <c r="CH149" i="90"/>
  <c r="CH153" i="90" s="1"/>
  <c r="CG161" i="90"/>
  <c r="CG159" i="90"/>
  <c r="CG160" i="90"/>
  <c r="CL119" i="90"/>
  <c r="E96" i="90"/>
  <c r="E97" i="90"/>
  <c r="CD12" i="90"/>
  <c r="CE10" i="91"/>
  <c r="CE12" i="91" s="1"/>
  <c r="CE11" i="90" s="1"/>
  <c r="CE73" i="83"/>
  <c r="CE74" i="83" s="1"/>
  <c r="CE15" i="91" s="1"/>
  <c r="CG68" i="83"/>
  <c r="CG155" i="90" s="1"/>
  <c r="CJ25" i="83"/>
  <c r="CJ28" i="83"/>
  <c r="CJ24" i="83"/>
  <c r="CJ27" i="83"/>
  <c r="CJ29" i="83"/>
  <c r="CJ26" i="83"/>
  <c r="CI30" i="83"/>
  <c r="CI32" i="83" s="1"/>
  <c r="CI21" i="91" s="1"/>
  <c r="CJ62" i="83"/>
  <c r="CD11" i="90"/>
  <c r="CD26" i="91"/>
  <c r="CJ72" i="83"/>
  <c r="CF69" i="83"/>
  <c r="CD64" i="91"/>
  <c r="CD71" i="91" s="1"/>
  <c r="CD72" i="91" s="1"/>
  <c r="CD74" i="91" s="1"/>
  <c r="CG24" i="91"/>
  <c r="CG25" i="90" s="1"/>
  <c r="CF25" i="90"/>
  <c r="CF85" i="91"/>
  <c r="CF86" i="91" s="1"/>
  <c r="CC28" i="90"/>
  <c r="CC30" i="90" s="1"/>
  <c r="CB33" i="90"/>
  <c r="CB37" i="90" s="1"/>
  <c r="CI17" i="90"/>
  <c r="CI69" i="91" s="1"/>
  <c r="P124" i="90"/>
  <c r="Q124" i="90" s="1"/>
  <c r="V118" i="90"/>
  <c r="W118" i="90" s="1"/>
  <c r="X118" i="90" s="1"/>
  <c r="Y118" i="90" s="1"/>
  <c r="Z118" i="90" s="1"/>
  <c r="AA118" i="90" s="1"/>
  <c r="AB118" i="90" s="1"/>
  <c r="AC118" i="90" s="1"/>
  <c r="AD118" i="90" s="1"/>
  <c r="AE118" i="90" s="1"/>
  <c r="AF118" i="90" s="1"/>
  <c r="AG118" i="90" s="1"/>
  <c r="AH118" i="90" s="1"/>
  <c r="AI118" i="90" s="1"/>
  <c r="AJ118" i="90" s="1"/>
  <c r="AK118" i="90" s="1"/>
  <c r="AL118" i="90" s="1"/>
  <c r="AM118" i="90" s="1"/>
  <c r="AN118" i="90" s="1"/>
  <c r="AO118" i="90" s="1"/>
  <c r="AP118" i="90" s="1"/>
  <c r="AQ118" i="90" s="1"/>
  <c r="AR118" i="90" s="1"/>
  <c r="AS118" i="90" s="1"/>
  <c r="AT118" i="90" s="1"/>
  <c r="AU118" i="90" s="1"/>
  <c r="AV118" i="90" s="1"/>
  <c r="AW118" i="90" s="1"/>
  <c r="AX118" i="90" s="1"/>
  <c r="AY118" i="90" s="1"/>
  <c r="AZ118" i="90" s="1"/>
  <c r="BA118" i="90" s="1"/>
  <c r="BB118" i="90" s="1"/>
  <c r="BC118" i="90" s="1"/>
  <c r="BD118" i="90" s="1"/>
  <c r="BE118" i="90" s="1"/>
  <c r="BF118" i="90" s="1"/>
  <c r="BG118" i="90" s="1"/>
  <c r="BH118" i="90" s="1"/>
  <c r="BI118" i="90" s="1"/>
  <c r="BJ118" i="90" s="1"/>
  <c r="BK118" i="90" s="1"/>
  <c r="BL118" i="90" s="1"/>
  <c r="BM118" i="90" s="1"/>
  <c r="BN118" i="90" s="1"/>
  <c r="BO118" i="90" s="1"/>
  <c r="BP118" i="90" s="1"/>
  <c r="BQ118" i="90" s="1"/>
  <c r="BR118" i="90" s="1"/>
  <c r="BS118" i="90" s="1"/>
  <c r="BT118" i="90" s="1"/>
  <c r="BU118" i="90" s="1"/>
  <c r="BV118" i="90" s="1"/>
  <c r="BW118" i="90" s="1"/>
  <c r="BX118" i="90" s="1"/>
  <c r="BY118" i="90" s="1"/>
  <c r="BZ118" i="90" s="1"/>
  <c r="CA118" i="90" s="1"/>
  <c r="CB118" i="90" s="1"/>
  <c r="CC118" i="90" s="1"/>
  <c r="CD118" i="90" s="1"/>
  <c r="CE118" i="90" s="1"/>
  <c r="CF118" i="90" s="1"/>
  <c r="CG118" i="90" s="1"/>
  <c r="CH118" i="90" s="1"/>
  <c r="CI118" i="90" s="1"/>
  <c r="CJ118" i="90" s="1"/>
  <c r="S122" i="90"/>
  <c r="T122" i="90" s="1"/>
  <c r="R123" i="90"/>
  <c r="S123" i="90" s="1"/>
  <c r="T123" i="90" s="1"/>
  <c r="CI115" i="90"/>
  <c r="CJ115" i="90" s="1"/>
  <c r="CI120" i="90"/>
  <c r="CJ120" i="90" s="1"/>
  <c r="CK8" i="90"/>
  <c r="CJ38" i="90"/>
  <c r="K126" i="90"/>
  <c r="L126" i="90" s="1"/>
  <c r="AZ96" i="90"/>
  <c r="AQ100" i="90"/>
  <c r="CM45" i="90"/>
  <c r="AT97" i="90"/>
  <c r="E100" i="90"/>
  <c r="E98" i="90"/>
  <c r="E99" i="90"/>
  <c r="E101" i="90"/>
  <c r="E102" i="90"/>
  <c r="E103" i="90"/>
  <c r="E104" i="90"/>
  <c r="E105" i="90"/>
  <c r="E106" i="90"/>
  <c r="E107" i="90"/>
  <c r="E108" i="90"/>
  <c r="E109" i="90"/>
  <c r="E110" i="90"/>
  <c r="E111" i="90"/>
  <c r="T121" i="90"/>
  <c r="U121" i="90" s="1"/>
  <c r="V121" i="90" s="1"/>
  <c r="C128" i="90"/>
  <c r="J127" i="90"/>
  <c r="CL112" i="90"/>
  <c r="CL117" i="90"/>
  <c r="M125" i="90"/>
  <c r="CL113" i="90"/>
  <c r="CL116" i="90"/>
  <c r="CJ87" i="83"/>
  <c r="CN4" i="91"/>
  <c r="CM6" i="91"/>
  <c r="CM5" i="91"/>
  <c r="CM4" i="90"/>
  <c r="CM114" i="90" s="1"/>
  <c r="CL6" i="90"/>
  <c r="CL21" i="90" s="1"/>
  <c r="CL5" i="90"/>
  <c r="CL4" i="83"/>
  <c r="CK5" i="83"/>
  <c r="CK6" i="83"/>
  <c r="CK80" i="83" s="1"/>
  <c r="CJ48" i="83"/>
  <c r="CG14" i="90" l="1"/>
  <c r="CG157" i="90"/>
  <c r="CI89" i="83"/>
  <c r="CI90" i="83" s="1"/>
  <c r="CJ82" i="83"/>
  <c r="CH108" i="83"/>
  <c r="CH109" i="83" s="1"/>
  <c r="CH110" i="83" s="1"/>
  <c r="CH18" i="91" s="1"/>
  <c r="CH14" i="90" s="1"/>
  <c r="CI83" i="83"/>
  <c r="CJ118" i="83"/>
  <c r="CJ22" i="91"/>
  <c r="CJ44" i="83"/>
  <c r="CJ51" i="83" s="1"/>
  <c r="CJ55" i="83" s="1"/>
  <c r="CJ71" i="93" s="1"/>
  <c r="CJ41" i="83"/>
  <c r="CK47" i="83"/>
  <c r="CK117" i="83"/>
  <c r="CK23" i="91" s="1"/>
  <c r="CK116" i="83"/>
  <c r="CK36" i="83"/>
  <c r="CK37" i="83"/>
  <c r="CK100" i="83"/>
  <c r="CK102" i="83" s="1"/>
  <c r="CK104" i="83" s="1"/>
  <c r="CK39" i="83"/>
  <c r="CK45" i="83" s="1"/>
  <c r="CI96" i="83"/>
  <c r="CI97" i="83" s="1"/>
  <c r="CI77" i="93"/>
  <c r="CC79" i="91"/>
  <c r="CC80" i="91" s="1"/>
  <c r="CC82" i="91" s="1"/>
  <c r="CJ107" i="83"/>
  <c r="CK86" i="83"/>
  <c r="CK93" i="83"/>
  <c r="CK94" i="83"/>
  <c r="CK78" i="83"/>
  <c r="CD66" i="91"/>
  <c r="CH78" i="91"/>
  <c r="CH70" i="91"/>
  <c r="CG162" i="90"/>
  <c r="CH160" i="90"/>
  <c r="CH159" i="90"/>
  <c r="CH161" i="90"/>
  <c r="CI64" i="83"/>
  <c r="CI65" i="83" s="1"/>
  <c r="CI62" i="91"/>
  <c r="CI149" i="90"/>
  <c r="CI153" i="90" s="1"/>
  <c r="CF173" i="90"/>
  <c r="CF174" i="90" s="1"/>
  <c r="CF175" i="90" s="1"/>
  <c r="CF169" i="90"/>
  <c r="CF170" i="90" s="1"/>
  <c r="U123" i="90"/>
  <c r="V123" i="90" s="1"/>
  <c r="W123" i="90" s="1"/>
  <c r="R124" i="90"/>
  <c r="S124" i="90" s="1"/>
  <c r="CF10" i="91"/>
  <c r="CF12" i="91" s="1"/>
  <c r="CF73" i="83"/>
  <c r="CF74" i="83" s="1"/>
  <c r="CF15" i="91" s="1"/>
  <c r="CE12" i="90"/>
  <c r="CE26" i="91"/>
  <c r="E112" i="90"/>
  <c r="CJ30" i="83"/>
  <c r="CJ32" i="83" s="1"/>
  <c r="CJ21" i="91" s="1"/>
  <c r="CK25" i="83"/>
  <c r="CK28" i="83"/>
  <c r="CK24" i="83"/>
  <c r="CK27" i="83"/>
  <c r="CK26" i="83"/>
  <c r="CK29" i="83"/>
  <c r="CH68" i="83"/>
  <c r="CH155" i="90" s="1"/>
  <c r="CK62" i="83"/>
  <c r="CK72" i="83"/>
  <c r="CG69" i="83"/>
  <c r="CG85" i="91"/>
  <c r="CG86" i="91" s="1"/>
  <c r="CH24" i="91"/>
  <c r="CH25" i="90" s="1"/>
  <c r="CF29" i="90"/>
  <c r="CI24" i="91"/>
  <c r="CG29" i="90"/>
  <c r="CD28" i="90"/>
  <c r="CD30" i="90" s="1"/>
  <c r="CC33" i="90"/>
  <c r="E113" i="90" s="1"/>
  <c r="CJ17" i="90"/>
  <c r="CJ69" i="91" s="1"/>
  <c r="CK120" i="90"/>
  <c r="CL120" i="90" s="1"/>
  <c r="CK118" i="90"/>
  <c r="CL118" i="90" s="1"/>
  <c r="U122" i="90"/>
  <c r="CK115" i="90"/>
  <c r="CL115" i="90" s="1"/>
  <c r="CL8" i="90"/>
  <c r="CK38" i="90"/>
  <c r="BA96" i="90"/>
  <c r="CM113" i="90"/>
  <c r="CM119" i="90"/>
  <c r="AR100" i="90"/>
  <c r="W121" i="90"/>
  <c r="X121" i="90" s="1"/>
  <c r="Y121" i="90" s="1"/>
  <c r="Z121" i="90" s="1"/>
  <c r="AA121" i="90" s="1"/>
  <c r="AB121" i="90" s="1"/>
  <c r="AC121" i="90" s="1"/>
  <c r="AD121" i="90" s="1"/>
  <c r="AE121" i="90" s="1"/>
  <c r="AF121" i="90" s="1"/>
  <c r="AG121" i="90" s="1"/>
  <c r="AH121" i="90" s="1"/>
  <c r="AI121" i="90" s="1"/>
  <c r="AJ121" i="90" s="1"/>
  <c r="AK121" i="90" s="1"/>
  <c r="AL121" i="90" s="1"/>
  <c r="AM121" i="90" s="1"/>
  <c r="AN121" i="90" s="1"/>
  <c r="AO121" i="90" s="1"/>
  <c r="AP121" i="90" s="1"/>
  <c r="AQ121" i="90" s="1"/>
  <c r="AR121" i="90" s="1"/>
  <c r="AS121" i="90" s="1"/>
  <c r="AT121" i="90" s="1"/>
  <c r="AU121" i="90" s="1"/>
  <c r="AV121" i="90" s="1"/>
  <c r="AW121" i="90" s="1"/>
  <c r="AX121" i="90" s="1"/>
  <c r="AY121" i="90" s="1"/>
  <c r="AZ121" i="90" s="1"/>
  <c r="BA121" i="90" s="1"/>
  <c r="BB121" i="90" s="1"/>
  <c r="BC121" i="90" s="1"/>
  <c r="BD121" i="90" s="1"/>
  <c r="BE121" i="90" s="1"/>
  <c r="BF121" i="90" s="1"/>
  <c r="BG121" i="90" s="1"/>
  <c r="BH121" i="90" s="1"/>
  <c r="BI121" i="90" s="1"/>
  <c r="BJ121" i="90" s="1"/>
  <c r="BK121" i="90" s="1"/>
  <c r="BL121" i="90" s="1"/>
  <c r="BM121" i="90" s="1"/>
  <c r="BN121" i="90" s="1"/>
  <c r="BO121" i="90" s="1"/>
  <c r="BP121" i="90" s="1"/>
  <c r="BQ121" i="90" s="1"/>
  <c r="BR121" i="90" s="1"/>
  <c r="BS121" i="90" s="1"/>
  <c r="BT121" i="90" s="1"/>
  <c r="BU121" i="90" s="1"/>
  <c r="BV121" i="90" s="1"/>
  <c r="BW121" i="90" s="1"/>
  <c r="BX121" i="90" s="1"/>
  <c r="BY121" i="90" s="1"/>
  <c r="BZ121" i="90" s="1"/>
  <c r="CA121" i="90" s="1"/>
  <c r="CB121" i="90" s="1"/>
  <c r="CC121" i="90" s="1"/>
  <c r="CD121" i="90" s="1"/>
  <c r="CE121" i="90" s="1"/>
  <c r="CF121" i="90" s="1"/>
  <c r="CG121" i="90" s="1"/>
  <c r="CH121" i="90" s="1"/>
  <c r="CI121" i="90" s="1"/>
  <c r="CJ121" i="90" s="1"/>
  <c r="CK121" i="90" s="1"/>
  <c r="CL121" i="90" s="1"/>
  <c r="CM121" i="90" s="1"/>
  <c r="C129" i="90"/>
  <c r="J128" i="90"/>
  <c r="AU97" i="90"/>
  <c r="CM117" i="90"/>
  <c r="K127" i="90"/>
  <c r="L127" i="90" s="1"/>
  <c r="N125" i="90"/>
  <c r="O125" i="90" s="1"/>
  <c r="M126" i="90"/>
  <c r="N126" i="90" s="1"/>
  <c r="CM116" i="90"/>
  <c r="CM112" i="90"/>
  <c r="CN112" i="90" s="1"/>
  <c r="CO112" i="90" s="1"/>
  <c r="CP112" i="90" s="1"/>
  <c r="CQ112" i="90" s="1"/>
  <c r="CR112" i="90" s="1"/>
  <c r="CS112" i="90" s="1"/>
  <c r="CT112" i="90" s="1"/>
  <c r="CU112" i="90" s="1"/>
  <c r="CV112" i="90" s="1"/>
  <c r="CW112" i="90" s="1"/>
  <c r="CX112" i="90" s="1"/>
  <c r="CY112" i="90" s="1"/>
  <c r="CZ112" i="90" s="1"/>
  <c r="DA112" i="90" s="1"/>
  <c r="DB112" i="90" s="1"/>
  <c r="DC112" i="90" s="1"/>
  <c r="DD112" i="90" s="1"/>
  <c r="DE112" i="90" s="1"/>
  <c r="DF112" i="90" s="1"/>
  <c r="DG112" i="90" s="1"/>
  <c r="DH112" i="90" s="1"/>
  <c r="DI112" i="90" s="1"/>
  <c r="DJ112" i="90" s="1"/>
  <c r="DK112" i="90" s="1"/>
  <c r="DL112" i="90" s="1"/>
  <c r="DM112" i="90" s="1"/>
  <c r="CN45" i="90"/>
  <c r="CK87" i="83"/>
  <c r="CO4" i="91"/>
  <c r="CN6" i="91"/>
  <c r="CN5" i="91"/>
  <c r="CN4" i="90"/>
  <c r="CN114" i="90" s="1"/>
  <c r="CM6" i="90"/>
  <c r="CM21" i="90" s="1"/>
  <c r="CM5" i="90"/>
  <c r="CM4" i="83"/>
  <c r="CL6" i="83"/>
  <c r="CL80" i="83" s="1"/>
  <c r="CL5" i="83"/>
  <c r="CK48" i="83"/>
  <c r="CH157" i="90" l="1"/>
  <c r="CH63" i="91"/>
  <c r="CK82" i="83"/>
  <c r="CK83" i="83" s="1"/>
  <c r="CJ89" i="83"/>
  <c r="CJ90" i="83" s="1"/>
  <c r="CJ96" i="83"/>
  <c r="CJ97" i="83" s="1"/>
  <c r="CI108" i="83"/>
  <c r="CI109" i="83" s="1"/>
  <c r="CI110" i="83" s="1"/>
  <c r="CI18" i="91" s="1"/>
  <c r="CK44" i="83"/>
  <c r="CK51" i="83" s="1"/>
  <c r="CK55" i="83" s="1"/>
  <c r="CK41" i="83"/>
  <c r="CK22" i="91"/>
  <c r="CK118" i="83"/>
  <c r="CL47" i="83"/>
  <c r="CL117" i="83"/>
  <c r="CL23" i="91" s="1"/>
  <c r="CL116" i="83"/>
  <c r="CL36" i="83"/>
  <c r="CL100" i="83"/>
  <c r="CL102" i="83" s="1"/>
  <c r="CL104" i="83" s="1"/>
  <c r="CL39" i="83"/>
  <c r="CL45" i="83" s="1"/>
  <c r="CL37" i="83"/>
  <c r="CJ83" i="83"/>
  <c r="CK107" i="83"/>
  <c r="CJ77" i="93"/>
  <c r="CD79" i="91"/>
  <c r="CD80" i="91" s="1"/>
  <c r="CD82" i="91" s="1"/>
  <c r="CL86" i="83"/>
  <c r="CL93" i="83"/>
  <c r="CL94" i="83"/>
  <c r="CL78" i="83"/>
  <c r="CI78" i="91"/>
  <c r="CI70" i="91"/>
  <c r="CF12" i="90"/>
  <c r="CI161" i="90"/>
  <c r="CI159" i="90"/>
  <c r="CI160" i="90"/>
  <c r="CH162" i="90"/>
  <c r="CJ64" i="83"/>
  <c r="CJ65" i="83" s="1"/>
  <c r="CJ149" i="90"/>
  <c r="CJ153" i="90" s="1"/>
  <c r="CJ62" i="91"/>
  <c r="CG173" i="90"/>
  <c r="CG174" i="90" s="1"/>
  <c r="CG175" i="90" s="1"/>
  <c r="CG169" i="90"/>
  <c r="CG170" i="90" s="1"/>
  <c r="X123" i="90"/>
  <c r="Y123" i="90" s="1"/>
  <c r="Z123" i="90" s="1"/>
  <c r="AA123" i="90" s="1"/>
  <c r="AB123" i="90" s="1"/>
  <c r="AC123" i="90" s="1"/>
  <c r="CM115" i="90"/>
  <c r="CN115" i="90" s="1"/>
  <c r="T124" i="90"/>
  <c r="U124" i="90" s="1"/>
  <c r="CE64" i="91"/>
  <c r="CE71" i="91" s="1"/>
  <c r="CE72" i="91" s="1"/>
  <c r="CE74" i="91" s="1"/>
  <c r="CF26" i="91"/>
  <c r="CG10" i="91"/>
  <c r="CG12" i="91" s="1"/>
  <c r="CG73" i="83"/>
  <c r="CG74" i="83" s="1"/>
  <c r="CG15" i="91" s="1"/>
  <c r="CK30" i="83"/>
  <c r="CK32" i="83" s="1"/>
  <c r="CK21" i="91" s="1"/>
  <c r="CL27" i="83"/>
  <c r="CL25" i="83"/>
  <c r="CL26" i="83"/>
  <c r="CL28" i="83"/>
  <c r="CL24" i="83"/>
  <c r="CL29" i="83"/>
  <c r="CL62" i="83"/>
  <c r="CF64" i="91"/>
  <c r="CF71" i="91" s="1"/>
  <c r="CF72" i="91" s="1"/>
  <c r="CF74" i="91" s="1"/>
  <c r="CF11" i="90"/>
  <c r="CI68" i="83"/>
  <c r="CI155" i="90" s="1"/>
  <c r="CL72" i="83"/>
  <c r="CH69" i="83"/>
  <c r="CH85" i="91"/>
  <c r="CH86" i="91" s="1"/>
  <c r="CM118" i="90"/>
  <c r="CN118" i="90" s="1"/>
  <c r="CI25" i="90"/>
  <c r="CI85" i="91"/>
  <c r="CC37" i="90"/>
  <c r="CH29" i="90"/>
  <c r="CE28" i="90"/>
  <c r="CE30" i="90" s="1"/>
  <c r="CD33" i="90"/>
  <c r="E114" i="90" s="1"/>
  <c r="CK17" i="90"/>
  <c r="CK69" i="91" s="1"/>
  <c r="CM120" i="90"/>
  <c r="CN120" i="90" s="1"/>
  <c r="P125" i="90"/>
  <c r="Q125" i="90" s="1"/>
  <c r="V122" i="90"/>
  <c r="CM8" i="90"/>
  <c r="CL38" i="90"/>
  <c r="AV97" i="90"/>
  <c r="CN117" i="90"/>
  <c r="CO45" i="90"/>
  <c r="CN116" i="90"/>
  <c r="M127" i="90"/>
  <c r="N127" i="90" s="1"/>
  <c r="K128" i="90"/>
  <c r="L128" i="90" s="1"/>
  <c r="AS100" i="90"/>
  <c r="CN113" i="90"/>
  <c r="CO113" i="90" s="1"/>
  <c r="CP113" i="90" s="1"/>
  <c r="CQ113" i="90" s="1"/>
  <c r="CR113" i="90" s="1"/>
  <c r="CS113" i="90" s="1"/>
  <c r="CT113" i="90" s="1"/>
  <c r="CU113" i="90" s="1"/>
  <c r="CV113" i="90" s="1"/>
  <c r="CW113" i="90" s="1"/>
  <c r="CX113" i="90" s="1"/>
  <c r="CY113" i="90" s="1"/>
  <c r="CZ113" i="90" s="1"/>
  <c r="DA113" i="90" s="1"/>
  <c r="DB113" i="90" s="1"/>
  <c r="DC113" i="90" s="1"/>
  <c r="DD113" i="90" s="1"/>
  <c r="DE113" i="90" s="1"/>
  <c r="DF113" i="90" s="1"/>
  <c r="DG113" i="90" s="1"/>
  <c r="DH113" i="90" s="1"/>
  <c r="DI113" i="90" s="1"/>
  <c r="DJ113" i="90" s="1"/>
  <c r="DK113" i="90" s="1"/>
  <c r="DL113" i="90" s="1"/>
  <c r="DM113" i="90" s="1"/>
  <c r="O126" i="90"/>
  <c r="P126" i="90" s="1"/>
  <c r="C130" i="90"/>
  <c r="J129" i="90"/>
  <c r="CN119" i="90"/>
  <c r="CN121" i="90"/>
  <c r="BB96" i="90"/>
  <c r="CL87" i="83"/>
  <c r="CO6" i="91"/>
  <c r="CO5" i="91"/>
  <c r="CP4" i="91"/>
  <c r="CN6" i="90"/>
  <c r="CN21" i="90" s="1"/>
  <c r="CN5" i="90"/>
  <c r="CO4" i="90"/>
  <c r="CO114" i="90" s="1"/>
  <c r="CP114" i="90" s="1"/>
  <c r="CQ114" i="90" s="1"/>
  <c r="CR114" i="90" s="1"/>
  <c r="CS114" i="90" s="1"/>
  <c r="CT114" i="90" s="1"/>
  <c r="CU114" i="90" s="1"/>
  <c r="CV114" i="90" s="1"/>
  <c r="CW114" i="90" s="1"/>
  <c r="CX114" i="90" s="1"/>
  <c r="CY114" i="90" s="1"/>
  <c r="CZ114" i="90" s="1"/>
  <c r="DA114" i="90" s="1"/>
  <c r="DB114" i="90" s="1"/>
  <c r="DC114" i="90" s="1"/>
  <c r="DD114" i="90" s="1"/>
  <c r="DE114" i="90" s="1"/>
  <c r="DF114" i="90" s="1"/>
  <c r="DG114" i="90" s="1"/>
  <c r="DH114" i="90" s="1"/>
  <c r="DI114" i="90" s="1"/>
  <c r="DJ114" i="90" s="1"/>
  <c r="DK114" i="90" s="1"/>
  <c r="DL114" i="90" s="1"/>
  <c r="DM114" i="90" s="1"/>
  <c r="CL48" i="83"/>
  <c r="CN4" i="83"/>
  <c r="CM6" i="83"/>
  <c r="CM80" i="83" s="1"/>
  <c r="CM5" i="83"/>
  <c r="CI157" i="90" l="1"/>
  <c r="CJ108" i="83"/>
  <c r="CJ109" i="83" s="1"/>
  <c r="CJ110" i="83" s="1"/>
  <c r="CJ18" i="91" s="1"/>
  <c r="CJ14" i="90" s="1"/>
  <c r="CK89" i="83"/>
  <c r="CK90" i="83" s="1"/>
  <c r="CL82" i="83"/>
  <c r="CK96" i="83"/>
  <c r="CK97" i="83" s="1"/>
  <c r="CL118" i="83"/>
  <c r="CL22" i="91"/>
  <c r="CM47" i="83"/>
  <c r="CM100" i="83"/>
  <c r="CM102" i="83" s="1"/>
  <c r="CM104" i="83" s="1"/>
  <c r="CM116" i="83"/>
  <c r="CM36" i="83"/>
  <c r="CM37" i="83"/>
  <c r="CM39" i="83"/>
  <c r="CM45" i="83" s="1"/>
  <c r="CM117" i="83"/>
  <c r="CM23" i="91" s="1"/>
  <c r="CL44" i="83"/>
  <c r="CL51" i="83" s="1"/>
  <c r="CL55" i="83" s="1"/>
  <c r="CL41" i="83"/>
  <c r="CK71" i="93"/>
  <c r="CK77" i="93" s="1"/>
  <c r="CL107" i="83"/>
  <c r="CM86" i="83"/>
  <c r="CM93" i="83"/>
  <c r="CM94" i="83"/>
  <c r="CM78" i="83"/>
  <c r="CF66" i="91"/>
  <c r="CE66" i="91"/>
  <c r="CJ70" i="91"/>
  <c r="CJ78" i="91"/>
  <c r="CJ160" i="90"/>
  <c r="CJ161" i="90"/>
  <c r="CJ159" i="90"/>
  <c r="CH169" i="90"/>
  <c r="CH170" i="90" s="1"/>
  <c r="CH173" i="90"/>
  <c r="CH174" i="90" s="1"/>
  <c r="CH175" i="90" s="1"/>
  <c r="CK64" i="83"/>
  <c r="CK65" i="83" s="1"/>
  <c r="CK149" i="90"/>
  <c r="CK153" i="90" s="1"/>
  <c r="CK62" i="91"/>
  <c r="CI162" i="90"/>
  <c r="AD123" i="90"/>
  <c r="AE123" i="90" s="1"/>
  <c r="AF123" i="90" s="1"/>
  <c r="AG123" i="90" s="1"/>
  <c r="AH123" i="90" s="1"/>
  <c r="AI123" i="90" s="1"/>
  <c r="AJ123" i="90" s="1"/>
  <c r="AK123" i="90" s="1"/>
  <c r="AL123" i="90" s="1"/>
  <c r="AM123" i="90" s="1"/>
  <c r="AN123" i="90" s="1"/>
  <c r="AO123" i="90" s="1"/>
  <c r="AP123" i="90" s="1"/>
  <c r="AQ123" i="90" s="1"/>
  <c r="AR123" i="90" s="1"/>
  <c r="AS123" i="90" s="1"/>
  <c r="AT123" i="90" s="1"/>
  <c r="AU123" i="90" s="1"/>
  <c r="AV123" i="90" s="1"/>
  <c r="AW123" i="90" s="1"/>
  <c r="AX123" i="90" s="1"/>
  <c r="AY123" i="90" s="1"/>
  <c r="AZ123" i="90" s="1"/>
  <c r="BA123" i="90" s="1"/>
  <c r="BB123" i="90" s="1"/>
  <c r="BC123" i="90" s="1"/>
  <c r="BD123" i="90" s="1"/>
  <c r="BE123" i="90" s="1"/>
  <c r="BF123" i="90" s="1"/>
  <c r="BG123" i="90" s="1"/>
  <c r="BH123" i="90" s="1"/>
  <c r="BI123" i="90" s="1"/>
  <c r="BJ123" i="90" s="1"/>
  <c r="BK123" i="90" s="1"/>
  <c r="BL123" i="90" s="1"/>
  <c r="BM123" i="90" s="1"/>
  <c r="BN123" i="90" s="1"/>
  <c r="BO123" i="90" s="1"/>
  <c r="BP123" i="90" s="1"/>
  <c r="BQ123" i="90" s="1"/>
  <c r="BR123" i="90" s="1"/>
  <c r="BS123" i="90" s="1"/>
  <c r="BT123" i="90" s="1"/>
  <c r="BU123" i="90" s="1"/>
  <c r="BV123" i="90" s="1"/>
  <c r="BW123" i="90" s="1"/>
  <c r="BX123" i="90" s="1"/>
  <c r="BY123" i="90" s="1"/>
  <c r="BZ123" i="90" s="1"/>
  <c r="CA123" i="90" s="1"/>
  <c r="CB123" i="90" s="1"/>
  <c r="CC123" i="90" s="1"/>
  <c r="CD123" i="90" s="1"/>
  <c r="CE123" i="90" s="1"/>
  <c r="CF123" i="90" s="1"/>
  <c r="CG123" i="90" s="1"/>
  <c r="CH123" i="90" s="1"/>
  <c r="CI123" i="90" s="1"/>
  <c r="CJ123" i="90" s="1"/>
  <c r="CK123" i="90" s="1"/>
  <c r="CL123" i="90" s="1"/>
  <c r="CM123" i="90" s="1"/>
  <c r="CN123" i="90" s="1"/>
  <c r="CO123" i="90" s="1"/>
  <c r="CH10" i="91"/>
  <c r="CH12" i="91" s="1"/>
  <c r="CH73" i="83"/>
  <c r="CH74" i="83" s="1"/>
  <c r="CH15" i="91" s="1"/>
  <c r="CG12" i="90"/>
  <c r="CM24" i="83"/>
  <c r="CM27" i="83"/>
  <c r="CM26" i="83"/>
  <c r="CM28" i="83"/>
  <c r="CM25" i="83"/>
  <c r="CM29" i="83"/>
  <c r="CL30" i="83"/>
  <c r="CL32" i="83" s="1"/>
  <c r="CL21" i="91" s="1"/>
  <c r="CM62" i="83"/>
  <c r="CG11" i="90"/>
  <c r="CG26" i="91"/>
  <c r="CM72" i="83"/>
  <c r="CJ68" i="83"/>
  <c r="CJ155" i="90" s="1"/>
  <c r="CG64" i="91"/>
  <c r="CG71" i="91" s="1"/>
  <c r="CG72" i="91" s="1"/>
  <c r="CG74" i="91" s="1"/>
  <c r="CI69" i="83"/>
  <c r="CI86" i="91"/>
  <c r="CJ24" i="91"/>
  <c r="CD37" i="90"/>
  <c r="CK24" i="91"/>
  <c r="CI63" i="91"/>
  <c r="CI14" i="90"/>
  <c r="CI29" i="90"/>
  <c r="CF28" i="90"/>
  <c r="CF30" i="90" s="1"/>
  <c r="CE33" i="90"/>
  <c r="E115" i="90" s="1"/>
  <c r="CL17" i="90"/>
  <c r="CL69" i="91" s="1"/>
  <c r="CO116" i="90"/>
  <c r="CO115" i="90"/>
  <c r="W122" i="90"/>
  <c r="CO118" i="90"/>
  <c r="CP118" i="90" s="1"/>
  <c r="CO117" i="90"/>
  <c r="CN8" i="90"/>
  <c r="CM38" i="90"/>
  <c r="AW97" i="90"/>
  <c r="BC96" i="90"/>
  <c r="C131" i="90"/>
  <c r="J130" i="90"/>
  <c r="AT100" i="90"/>
  <c r="O127" i="90"/>
  <c r="P127" i="90" s="1"/>
  <c r="Q126" i="90"/>
  <c r="K129" i="90"/>
  <c r="L129" i="90" s="1"/>
  <c r="M129" i="90" s="1"/>
  <c r="N129" i="90" s="1"/>
  <c r="O129" i="90" s="1"/>
  <c r="CO121" i="90"/>
  <c r="CO119" i="90"/>
  <c r="V124" i="90"/>
  <c r="M128" i="90"/>
  <c r="CP45" i="90"/>
  <c r="R125" i="90"/>
  <c r="S125" i="90" s="1"/>
  <c r="CO120" i="90"/>
  <c r="CM87" i="83"/>
  <c r="CQ4" i="91"/>
  <c r="CP6" i="91"/>
  <c r="CP5" i="91"/>
  <c r="CP4" i="90"/>
  <c r="CO6" i="90"/>
  <c r="CO21" i="90" s="1"/>
  <c r="CO5" i="90"/>
  <c r="CM48" i="83"/>
  <c r="CO4" i="83"/>
  <c r="CN6" i="83"/>
  <c r="CN80" i="83" s="1"/>
  <c r="CN5" i="83"/>
  <c r="CJ63" i="91" l="1"/>
  <c r="CJ157" i="90"/>
  <c r="CK108" i="83"/>
  <c r="CK109" i="83" s="1"/>
  <c r="CK110" i="83" s="1"/>
  <c r="CK18" i="91" s="1"/>
  <c r="CK14" i="90" s="1"/>
  <c r="CM82" i="83"/>
  <c r="CL83" i="83"/>
  <c r="CM44" i="83"/>
  <c r="CM51" i="83" s="1"/>
  <c r="CM55" i="83" s="1"/>
  <c r="CM41" i="83"/>
  <c r="CM118" i="83"/>
  <c r="CM22" i="91"/>
  <c r="CL89" i="83"/>
  <c r="CL90" i="83" s="1"/>
  <c r="CN47" i="83"/>
  <c r="CN116" i="83"/>
  <c r="CN36" i="83"/>
  <c r="CN37" i="83"/>
  <c r="CN100" i="83"/>
  <c r="CN102" i="83" s="1"/>
  <c r="CN104" i="83" s="1"/>
  <c r="CN39" i="83"/>
  <c r="CN45" i="83" s="1"/>
  <c r="CN117" i="83"/>
  <c r="CN23" i="91" s="1"/>
  <c r="CL96" i="83"/>
  <c r="CL97" i="83" s="1"/>
  <c r="CM107" i="83"/>
  <c r="CL71" i="93"/>
  <c r="CL77" i="93" s="1"/>
  <c r="CF79" i="91"/>
  <c r="CF80" i="91" s="1"/>
  <c r="CF82" i="91" s="1"/>
  <c r="CE79" i="91"/>
  <c r="CE80" i="91" s="1"/>
  <c r="CE82" i="91" s="1"/>
  <c r="CN86" i="83"/>
  <c r="CN93" i="83"/>
  <c r="CN94" i="83"/>
  <c r="CN78" i="83"/>
  <c r="CG66" i="91"/>
  <c r="CK70" i="91"/>
  <c r="CK78" i="91"/>
  <c r="CJ162" i="90"/>
  <c r="CJ173" i="90" s="1"/>
  <c r="CJ174" i="90" s="1"/>
  <c r="CJ175" i="90" s="1"/>
  <c r="CK161" i="90"/>
  <c r="CK160" i="90"/>
  <c r="CK159" i="90"/>
  <c r="CI173" i="90"/>
  <c r="CI174" i="90" s="1"/>
  <c r="CI175" i="90" s="1"/>
  <c r="CI169" i="90"/>
  <c r="CI170" i="90" s="1"/>
  <c r="CL64" i="83"/>
  <c r="CL65" i="83" s="1"/>
  <c r="CL62" i="91"/>
  <c r="CL149" i="90"/>
  <c r="CL153" i="90" s="1"/>
  <c r="CP116" i="90"/>
  <c r="CH26" i="91"/>
  <c r="CI10" i="91"/>
  <c r="CI12" i="91" s="1"/>
  <c r="CI73" i="83"/>
  <c r="CI74" i="83" s="1"/>
  <c r="CI15" i="91" s="1"/>
  <c r="CH12" i="90"/>
  <c r="CN29" i="83"/>
  <c r="CN24" i="83"/>
  <c r="CN27" i="83"/>
  <c r="CN25" i="83"/>
  <c r="CN26" i="83"/>
  <c r="CN28" i="83"/>
  <c r="CM30" i="83"/>
  <c r="CM32" i="83" s="1"/>
  <c r="CM21" i="91" s="1"/>
  <c r="CN62" i="83"/>
  <c r="CN72" i="83"/>
  <c r="CK68" i="83"/>
  <c r="CK155" i="90" s="1"/>
  <c r="CJ69" i="83"/>
  <c r="CH11" i="90"/>
  <c r="CH64" i="91"/>
  <c r="CH71" i="91" s="1"/>
  <c r="CH72" i="91" s="1"/>
  <c r="CH74" i="91" s="1"/>
  <c r="CK25" i="90"/>
  <c r="CK85" i="91"/>
  <c r="CE37" i="90"/>
  <c r="CJ25" i="90"/>
  <c r="CJ85" i="91"/>
  <c r="CJ86" i="91" s="1"/>
  <c r="CG28" i="90"/>
  <c r="CG30" i="90" s="1"/>
  <c r="CF33" i="90"/>
  <c r="E116" i="90" s="1"/>
  <c r="CM17" i="90"/>
  <c r="CM69" i="91" s="1"/>
  <c r="CP123" i="90"/>
  <c r="CP120" i="90"/>
  <c r="X122" i="90"/>
  <c r="CP119" i="90"/>
  <c r="CO8" i="90"/>
  <c r="CN38" i="90"/>
  <c r="T125" i="90"/>
  <c r="U125" i="90" s="1"/>
  <c r="V125" i="90" s="1"/>
  <c r="W125" i="90" s="1"/>
  <c r="X125" i="90" s="1"/>
  <c r="Y125" i="90" s="1"/>
  <c r="Z125" i="90" s="1"/>
  <c r="AA125" i="90" s="1"/>
  <c r="AB125" i="90" s="1"/>
  <c r="AC125" i="90" s="1"/>
  <c r="AD125" i="90" s="1"/>
  <c r="AE125" i="90" s="1"/>
  <c r="AF125" i="90" s="1"/>
  <c r="AG125" i="90" s="1"/>
  <c r="AH125" i="90" s="1"/>
  <c r="AI125" i="90" s="1"/>
  <c r="AJ125" i="90" s="1"/>
  <c r="AK125" i="90" s="1"/>
  <c r="AL125" i="90" s="1"/>
  <c r="AM125" i="90" s="1"/>
  <c r="AN125" i="90" s="1"/>
  <c r="AO125" i="90" s="1"/>
  <c r="AP125" i="90" s="1"/>
  <c r="AQ125" i="90" s="1"/>
  <c r="AR125" i="90" s="1"/>
  <c r="AS125" i="90" s="1"/>
  <c r="AT125" i="90" s="1"/>
  <c r="AU125" i="90" s="1"/>
  <c r="AV125" i="90" s="1"/>
  <c r="AW125" i="90" s="1"/>
  <c r="AX125" i="90" s="1"/>
  <c r="AY125" i="90" s="1"/>
  <c r="AZ125" i="90" s="1"/>
  <c r="BA125" i="90" s="1"/>
  <c r="BB125" i="90" s="1"/>
  <c r="BC125" i="90" s="1"/>
  <c r="BD125" i="90" s="1"/>
  <c r="BE125" i="90" s="1"/>
  <c r="BF125" i="90" s="1"/>
  <c r="BG125" i="90" s="1"/>
  <c r="BH125" i="90" s="1"/>
  <c r="BI125" i="90" s="1"/>
  <c r="BJ125" i="90" s="1"/>
  <c r="BK125" i="90" s="1"/>
  <c r="BL125" i="90" s="1"/>
  <c r="BM125" i="90" s="1"/>
  <c r="BN125" i="90" s="1"/>
  <c r="BO125" i="90" s="1"/>
  <c r="BP125" i="90" s="1"/>
  <c r="BQ125" i="90" s="1"/>
  <c r="BR125" i="90" s="1"/>
  <c r="BS125" i="90" s="1"/>
  <c r="BT125" i="90" s="1"/>
  <c r="BU125" i="90" s="1"/>
  <c r="BV125" i="90" s="1"/>
  <c r="BW125" i="90" s="1"/>
  <c r="BX125" i="90" s="1"/>
  <c r="BY125" i="90" s="1"/>
  <c r="BZ125" i="90" s="1"/>
  <c r="CA125" i="90" s="1"/>
  <c r="CB125" i="90" s="1"/>
  <c r="CC125" i="90" s="1"/>
  <c r="CD125" i="90" s="1"/>
  <c r="CE125" i="90" s="1"/>
  <c r="CF125" i="90" s="1"/>
  <c r="CG125" i="90" s="1"/>
  <c r="CH125" i="90" s="1"/>
  <c r="CI125" i="90" s="1"/>
  <c r="CJ125" i="90" s="1"/>
  <c r="CK125" i="90" s="1"/>
  <c r="CL125" i="90" s="1"/>
  <c r="CM125" i="90" s="1"/>
  <c r="CN125" i="90" s="1"/>
  <c r="CO125" i="90" s="1"/>
  <c r="CP125" i="90" s="1"/>
  <c r="P129" i="90"/>
  <c r="Q129" i="90" s="1"/>
  <c r="R129" i="90" s="1"/>
  <c r="Q127" i="90"/>
  <c r="R127" i="90" s="1"/>
  <c r="BD96" i="90"/>
  <c r="N128" i="90"/>
  <c r="O128" i="90" s="1"/>
  <c r="P128" i="90" s="1"/>
  <c r="W124" i="90"/>
  <c r="X124" i="90" s="1"/>
  <c r="Y124" i="90" s="1"/>
  <c r="CP121" i="90"/>
  <c r="K130" i="90"/>
  <c r="L130" i="90" s="1"/>
  <c r="CP117" i="90"/>
  <c r="R126" i="90"/>
  <c r="C132" i="90"/>
  <c r="J131" i="90"/>
  <c r="AX97" i="90"/>
  <c r="CQ45" i="90"/>
  <c r="CP115" i="90"/>
  <c r="CQ115" i="90" s="1"/>
  <c r="CR115" i="90" s="1"/>
  <c r="CS115" i="90" s="1"/>
  <c r="CT115" i="90" s="1"/>
  <c r="CU115" i="90" s="1"/>
  <c r="CV115" i="90" s="1"/>
  <c r="CW115" i="90" s="1"/>
  <c r="CX115" i="90" s="1"/>
  <c r="CY115" i="90" s="1"/>
  <c r="CZ115" i="90" s="1"/>
  <c r="DA115" i="90" s="1"/>
  <c r="DB115" i="90" s="1"/>
  <c r="DC115" i="90" s="1"/>
  <c r="DD115" i="90" s="1"/>
  <c r="DE115" i="90" s="1"/>
  <c r="DF115" i="90" s="1"/>
  <c r="DG115" i="90" s="1"/>
  <c r="DH115" i="90" s="1"/>
  <c r="DI115" i="90" s="1"/>
  <c r="DJ115" i="90" s="1"/>
  <c r="DK115" i="90" s="1"/>
  <c r="DL115" i="90" s="1"/>
  <c r="DM115" i="90" s="1"/>
  <c r="AU100" i="90"/>
  <c r="CN87" i="83"/>
  <c r="CR4" i="91"/>
  <c r="CQ6" i="91"/>
  <c r="CQ5" i="91"/>
  <c r="CQ4" i="90"/>
  <c r="CP6" i="90"/>
  <c r="CP21" i="90" s="1"/>
  <c r="CP5" i="90"/>
  <c r="CN48" i="83"/>
  <c r="CP4" i="83"/>
  <c r="CO5" i="83"/>
  <c r="CO6" i="83"/>
  <c r="CO80" i="83" s="1"/>
  <c r="CK157" i="90" l="1"/>
  <c r="CK63" i="91"/>
  <c r="CN82" i="83"/>
  <c r="CN83" i="83" s="1"/>
  <c r="CM89" i="83"/>
  <c r="CM90" i="83" s="1"/>
  <c r="CL108" i="83"/>
  <c r="CL109" i="83" s="1"/>
  <c r="CL110" i="83" s="1"/>
  <c r="CL18" i="91" s="1"/>
  <c r="CL63" i="91" s="1"/>
  <c r="CM83" i="83"/>
  <c r="CN44" i="83"/>
  <c r="CN51" i="83" s="1"/>
  <c r="CN55" i="83" s="1"/>
  <c r="CN71" i="93" s="1"/>
  <c r="CN41" i="83"/>
  <c r="CN118" i="83"/>
  <c r="CN22" i="91"/>
  <c r="CO47" i="83"/>
  <c r="CO116" i="83"/>
  <c r="CO37" i="83"/>
  <c r="CO100" i="83"/>
  <c r="CO102" i="83" s="1"/>
  <c r="CO104" i="83" s="1"/>
  <c r="CO117" i="83"/>
  <c r="CO23" i="91" s="1"/>
  <c r="CO39" i="83"/>
  <c r="CO45" i="83" s="1"/>
  <c r="CO36" i="83"/>
  <c r="CM96" i="83"/>
  <c r="CM97" i="83" s="1"/>
  <c r="CM71" i="93"/>
  <c r="CM77" i="93" s="1"/>
  <c r="CG79" i="91"/>
  <c r="CG80" i="91" s="1"/>
  <c r="CG82" i="91" s="1"/>
  <c r="CN107" i="83"/>
  <c r="CO86" i="83"/>
  <c r="CO93" i="83"/>
  <c r="CO94" i="83"/>
  <c r="CO78" i="83"/>
  <c r="CH66" i="91"/>
  <c r="CJ169" i="90"/>
  <c r="CJ170" i="90" s="1"/>
  <c r="CL78" i="91"/>
  <c r="CL70" i="91"/>
  <c r="CI12" i="90"/>
  <c r="CK162" i="90"/>
  <c r="CK169" i="90" s="1"/>
  <c r="CK170" i="90" s="1"/>
  <c r="CL160" i="90"/>
  <c r="CL159" i="90"/>
  <c r="CL161" i="90"/>
  <c r="CM64" i="83"/>
  <c r="CM65" i="83" s="1"/>
  <c r="CM62" i="91"/>
  <c r="CM149" i="90"/>
  <c r="CM153" i="90" s="1"/>
  <c r="CQ116" i="90"/>
  <c r="CR116" i="90" s="1"/>
  <c r="CS116" i="90" s="1"/>
  <c r="CT116" i="90" s="1"/>
  <c r="CU116" i="90" s="1"/>
  <c r="CV116" i="90" s="1"/>
  <c r="CW116" i="90" s="1"/>
  <c r="CX116" i="90" s="1"/>
  <c r="CY116" i="90" s="1"/>
  <c r="CZ116" i="90" s="1"/>
  <c r="DA116" i="90" s="1"/>
  <c r="DB116" i="90" s="1"/>
  <c r="DC116" i="90" s="1"/>
  <c r="DD116" i="90" s="1"/>
  <c r="DE116" i="90" s="1"/>
  <c r="DF116" i="90" s="1"/>
  <c r="DG116" i="90" s="1"/>
  <c r="DH116" i="90" s="1"/>
  <c r="DI116" i="90" s="1"/>
  <c r="DJ116" i="90" s="1"/>
  <c r="DK116" i="90" s="1"/>
  <c r="DL116" i="90" s="1"/>
  <c r="DM116" i="90" s="1"/>
  <c r="CJ10" i="91"/>
  <c r="CJ12" i="91" s="1"/>
  <c r="CJ73" i="83"/>
  <c r="CJ74" i="83" s="1"/>
  <c r="CJ15" i="91" s="1"/>
  <c r="CN30" i="83"/>
  <c r="CN32" i="83" s="1"/>
  <c r="CN21" i="91" s="1"/>
  <c r="CO26" i="83"/>
  <c r="CO29" i="83"/>
  <c r="CO24" i="83"/>
  <c r="CO25" i="83"/>
  <c r="CO27" i="83"/>
  <c r="CO28" i="83"/>
  <c r="CO62" i="83"/>
  <c r="CI11" i="90"/>
  <c r="CI26" i="91"/>
  <c r="CO72" i="83"/>
  <c r="CK69" i="83"/>
  <c r="CK86" i="91"/>
  <c r="CH28" i="90"/>
  <c r="CH30" i="90" s="1"/>
  <c r="CG33" i="90"/>
  <c r="E117" i="90" s="1"/>
  <c r="CL24" i="91"/>
  <c r="CJ29" i="90"/>
  <c r="CF37" i="90"/>
  <c r="CK29" i="90"/>
  <c r="CN17" i="90"/>
  <c r="CN69" i="91" s="1"/>
  <c r="Z124" i="90"/>
  <c r="AA124" i="90" s="1"/>
  <c r="AB124" i="90" s="1"/>
  <c r="AC124" i="90" s="1"/>
  <c r="AD124" i="90" s="1"/>
  <c r="AE124" i="90" s="1"/>
  <c r="AF124" i="90" s="1"/>
  <c r="AG124" i="90" s="1"/>
  <c r="AH124" i="90" s="1"/>
  <c r="AI124" i="90" s="1"/>
  <c r="AJ124" i="90" s="1"/>
  <c r="AK124" i="90" s="1"/>
  <c r="AL124" i="90" s="1"/>
  <c r="AM124" i="90" s="1"/>
  <c r="AN124" i="90" s="1"/>
  <c r="AO124" i="90" s="1"/>
  <c r="AP124" i="90" s="1"/>
  <c r="AQ124" i="90" s="1"/>
  <c r="AR124" i="90" s="1"/>
  <c r="AS124" i="90" s="1"/>
  <c r="AT124" i="90" s="1"/>
  <c r="AU124" i="90" s="1"/>
  <c r="AV124" i="90" s="1"/>
  <c r="AW124" i="90" s="1"/>
  <c r="AX124" i="90" s="1"/>
  <c r="AY124" i="90" s="1"/>
  <c r="AZ124" i="90" s="1"/>
  <c r="BA124" i="90" s="1"/>
  <c r="BB124" i="90" s="1"/>
  <c r="BC124" i="90" s="1"/>
  <c r="BD124" i="90" s="1"/>
  <c r="BE124" i="90" s="1"/>
  <c r="BF124" i="90" s="1"/>
  <c r="BG124" i="90" s="1"/>
  <c r="BH124" i="90" s="1"/>
  <c r="BI124" i="90" s="1"/>
  <c r="BJ124" i="90" s="1"/>
  <c r="BK124" i="90" s="1"/>
  <c r="BL124" i="90" s="1"/>
  <c r="BM124" i="90" s="1"/>
  <c r="BN124" i="90" s="1"/>
  <c r="BO124" i="90" s="1"/>
  <c r="BP124" i="90" s="1"/>
  <c r="BQ124" i="90" s="1"/>
  <c r="BR124" i="90" s="1"/>
  <c r="BS124" i="90" s="1"/>
  <c r="BT124" i="90" s="1"/>
  <c r="BU124" i="90" s="1"/>
  <c r="BV124" i="90" s="1"/>
  <c r="BW124" i="90" s="1"/>
  <c r="BX124" i="90" s="1"/>
  <c r="BY124" i="90" s="1"/>
  <c r="BZ124" i="90" s="1"/>
  <c r="CA124" i="90" s="1"/>
  <c r="CB124" i="90" s="1"/>
  <c r="CC124" i="90" s="1"/>
  <c r="CD124" i="90" s="1"/>
  <c r="CE124" i="90" s="1"/>
  <c r="CF124" i="90" s="1"/>
  <c r="CG124" i="90" s="1"/>
  <c r="CH124" i="90" s="1"/>
  <c r="CI124" i="90" s="1"/>
  <c r="CJ124" i="90" s="1"/>
  <c r="CK124" i="90" s="1"/>
  <c r="CL124" i="90" s="1"/>
  <c r="CM124" i="90" s="1"/>
  <c r="CN124" i="90" s="1"/>
  <c r="CO124" i="90" s="1"/>
  <c r="CP124" i="90" s="1"/>
  <c r="Q128" i="90"/>
  <c r="R128" i="90" s="1"/>
  <c r="S127" i="90"/>
  <c r="Y122" i="90"/>
  <c r="CP8" i="90"/>
  <c r="CO38" i="90"/>
  <c r="CQ120" i="90"/>
  <c r="K131" i="90"/>
  <c r="L131" i="90" s="1"/>
  <c r="M131" i="90" s="1"/>
  <c r="S126" i="90"/>
  <c r="CQ121" i="90"/>
  <c r="CQ118" i="90"/>
  <c r="J132" i="90"/>
  <c r="C133" i="90"/>
  <c r="BE96" i="90"/>
  <c r="CQ125" i="90"/>
  <c r="CR45" i="90"/>
  <c r="AY97" i="90"/>
  <c r="CQ117" i="90"/>
  <c r="S129" i="90"/>
  <c r="T129" i="90" s="1"/>
  <c r="CQ123" i="90"/>
  <c r="AV100" i="90"/>
  <c r="CQ119" i="90"/>
  <c r="M130" i="90"/>
  <c r="N130" i="90" s="1"/>
  <c r="O130" i="90" s="1"/>
  <c r="CO87" i="83"/>
  <c r="CS4" i="91"/>
  <c r="CR6" i="91"/>
  <c r="CR5" i="91"/>
  <c r="CR4" i="90"/>
  <c r="CQ6" i="90"/>
  <c r="CQ21" i="90" s="1"/>
  <c r="CQ5" i="90"/>
  <c r="CO48" i="83"/>
  <c r="CQ4" i="83"/>
  <c r="CP6" i="83"/>
  <c r="CP80" i="83" s="1"/>
  <c r="CP5" i="83"/>
  <c r="CL157" i="90" l="1"/>
  <c r="CL14" i="90"/>
  <c r="CN89" i="83"/>
  <c r="CN90" i="83" s="1"/>
  <c r="CM108" i="83"/>
  <c r="CM109" i="83" s="1"/>
  <c r="CM110" i="83" s="1"/>
  <c r="CM18" i="91" s="1"/>
  <c r="CO82" i="83"/>
  <c r="CO83" i="83" s="1"/>
  <c r="CN96" i="83"/>
  <c r="CN97" i="83" s="1"/>
  <c r="CO44" i="83"/>
  <c r="CO51" i="83" s="1"/>
  <c r="CO55" i="83" s="1"/>
  <c r="CO71" i="93" s="1"/>
  <c r="CO41" i="83"/>
  <c r="CP47" i="83"/>
  <c r="CP37" i="83"/>
  <c r="CP100" i="83"/>
  <c r="CP102" i="83" s="1"/>
  <c r="CP104" i="83" s="1"/>
  <c r="CP39" i="83"/>
  <c r="CP45" i="83" s="1"/>
  <c r="CP117" i="83"/>
  <c r="CP23" i="91" s="1"/>
  <c r="CP116" i="83"/>
  <c r="CP36" i="83"/>
  <c r="CO118" i="83"/>
  <c r="CO22" i="91"/>
  <c r="CO107" i="83"/>
  <c r="CH79" i="91"/>
  <c r="CH80" i="91" s="1"/>
  <c r="CH82" i="91" s="1"/>
  <c r="CP86" i="83"/>
  <c r="CP93" i="83"/>
  <c r="CP94" i="83"/>
  <c r="CP78" i="83"/>
  <c r="CM78" i="91"/>
  <c r="CM70" i="91"/>
  <c r="CK173" i="90"/>
  <c r="CK174" i="90" s="1"/>
  <c r="CK175" i="90" s="1"/>
  <c r="CN64" i="83"/>
  <c r="CN65" i="83" s="1"/>
  <c r="CN62" i="91"/>
  <c r="CN149" i="90"/>
  <c r="CN153" i="90" s="1"/>
  <c r="CM160" i="90"/>
  <c r="CM161" i="90"/>
  <c r="CM159" i="90"/>
  <c r="CN77" i="93"/>
  <c r="CL162" i="90"/>
  <c r="CI64" i="91"/>
  <c r="CI71" i="91" s="1"/>
  <c r="CI72" i="91" s="1"/>
  <c r="CI74" i="91" s="1"/>
  <c r="CK10" i="91"/>
  <c r="CK73" i="83"/>
  <c r="CK74" i="83" s="1"/>
  <c r="CK15" i="91" s="1"/>
  <c r="CJ12" i="90"/>
  <c r="CL68" i="83"/>
  <c r="CO30" i="83"/>
  <c r="CO32" i="83" s="1"/>
  <c r="CO21" i="91" s="1"/>
  <c r="CP26" i="83"/>
  <c r="CP29" i="83"/>
  <c r="CP24" i="83"/>
  <c r="CP25" i="83"/>
  <c r="CP27" i="83"/>
  <c r="CP28" i="83"/>
  <c r="CP62" i="83"/>
  <c r="CJ64" i="91"/>
  <c r="CJ71" i="91" s="1"/>
  <c r="CJ72" i="91" s="1"/>
  <c r="CJ74" i="91" s="1"/>
  <c r="CJ11" i="90"/>
  <c r="CJ26" i="91"/>
  <c r="CP72" i="83"/>
  <c r="CM68" i="83"/>
  <c r="CM155" i="90" s="1"/>
  <c r="CI28" i="90"/>
  <c r="CI30" i="90" s="1"/>
  <c r="CH33" i="90"/>
  <c r="E118" i="90" s="1"/>
  <c r="CM24" i="91"/>
  <c r="CL25" i="90"/>
  <c r="CL85" i="91"/>
  <c r="CL86" i="91" s="1"/>
  <c r="CG37" i="90"/>
  <c r="S128" i="90"/>
  <c r="T128" i="90" s="1"/>
  <c r="U128" i="90" s="1"/>
  <c r="CO17" i="90"/>
  <c r="CO69" i="91" s="1"/>
  <c r="CQ124" i="90"/>
  <c r="CR124" i="90" s="1"/>
  <c r="Z122" i="90"/>
  <c r="T127" i="90"/>
  <c r="U129" i="90"/>
  <c r="V129" i="90" s="1"/>
  <c r="W129" i="90" s="1"/>
  <c r="X129" i="90" s="1"/>
  <c r="Y129" i="90" s="1"/>
  <c r="Z129" i="90" s="1"/>
  <c r="AA129" i="90" s="1"/>
  <c r="AB129" i="90" s="1"/>
  <c r="AC129" i="90" s="1"/>
  <c r="AD129" i="90" s="1"/>
  <c r="AE129" i="90" s="1"/>
  <c r="AF129" i="90" s="1"/>
  <c r="AG129" i="90" s="1"/>
  <c r="AH129" i="90" s="1"/>
  <c r="AI129" i="90" s="1"/>
  <c r="AJ129" i="90" s="1"/>
  <c r="AK129" i="90" s="1"/>
  <c r="AL129" i="90" s="1"/>
  <c r="AM129" i="90" s="1"/>
  <c r="AN129" i="90" s="1"/>
  <c r="AO129" i="90" s="1"/>
  <c r="AP129" i="90" s="1"/>
  <c r="AQ129" i="90" s="1"/>
  <c r="AR129" i="90" s="1"/>
  <c r="AS129" i="90" s="1"/>
  <c r="AT129" i="90" s="1"/>
  <c r="AU129" i="90" s="1"/>
  <c r="AV129" i="90" s="1"/>
  <c r="AW129" i="90" s="1"/>
  <c r="AX129" i="90" s="1"/>
  <c r="AY129" i="90" s="1"/>
  <c r="AZ129" i="90" s="1"/>
  <c r="BA129" i="90" s="1"/>
  <c r="BB129" i="90" s="1"/>
  <c r="BC129" i="90" s="1"/>
  <c r="BD129" i="90" s="1"/>
  <c r="BE129" i="90" s="1"/>
  <c r="BF129" i="90" s="1"/>
  <c r="BG129" i="90" s="1"/>
  <c r="BH129" i="90" s="1"/>
  <c r="BI129" i="90" s="1"/>
  <c r="BJ129" i="90" s="1"/>
  <c r="BK129" i="90" s="1"/>
  <c r="BL129" i="90" s="1"/>
  <c r="BM129" i="90" s="1"/>
  <c r="BN129" i="90" s="1"/>
  <c r="BO129" i="90" s="1"/>
  <c r="BP129" i="90" s="1"/>
  <c r="BQ129" i="90" s="1"/>
  <c r="BR129" i="90" s="1"/>
  <c r="BS129" i="90" s="1"/>
  <c r="BT129" i="90" s="1"/>
  <c r="BU129" i="90" s="1"/>
  <c r="BV129" i="90" s="1"/>
  <c r="BW129" i="90" s="1"/>
  <c r="BX129" i="90" s="1"/>
  <c r="BY129" i="90" s="1"/>
  <c r="BZ129" i="90" s="1"/>
  <c r="CA129" i="90" s="1"/>
  <c r="CB129" i="90" s="1"/>
  <c r="CC129" i="90" s="1"/>
  <c r="CD129" i="90" s="1"/>
  <c r="CE129" i="90" s="1"/>
  <c r="CF129" i="90" s="1"/>
  <c r="CG129" i="90" s="1"/>
  <c r="CH129" i="90" s="1"/>
  <c r="CI129" i="90" s="1"/>
  <c r="CJ129" i="90" s="1"/>
  <c r="CK129" i="90" s="1"/>
  <c r="CL129" i="90" s="1"/>
  <c r="CM129" i="90" s="1"/>
  <c r="CN129" i="90" s="1"/>
  <c r="CO129" i="90" s="1"/>
  <c r="CP129" i="90" s="1"/>
  <c r="CQ129" i="90" s="1"/>
  <c r="CR129" i="90" s="1"/>
  <c r="N131" i="90"/>
  <c r="O131" i="90" s="1"/>
  <c r="P131" i="90" s="1"/>
  <c r="Q131" i="90" s="1"/>
  <c r="CQ8" i="90"/>
  <c r="CP38" i="90"/>
  <c r="AW100" i="90"/>
  <c r="T126" i="90"/>
  <c r="U126" i="90" s="1"/>
  <c r="V126" i="90" s="1"/>
  <c r="W126" i="90" s="1"/>
  <c r="X126" i="90" s="1"/>
  <c r="Y126" i="90" s="1"/>
  <c r="Z126" i="90" s="1"/>
  <c r="AA126" i="90" s="1"/>
  <c r="AB126" i="90" s="1"/>
  <c r="AC126" i="90" s="1"/>
  <c r="AD126" i="90" s="1"/>
  <c r="AE126" i="90" s="1"/>
  <c r="AF126" i="90" s="1"/>
  <c r="AG126" i="90" s="1"/>
  <c r="AH126" i="90" s="1"/>
  <c r="AI126" i="90" s="1"/>
  <c r="AJ126" i="90" s="1"/>
  <c r="AK126" i="90" s="1"/>
  <c r="AL126" i="90" s="1"/>
  <c r="AM126" i="90" s="1"/>
  <c r="AN126" i="90" s="1"/>
  <c r="AO126" i="90" s="1"/>
  <c r="AP126" i="90" s="1"/>
  <c r="AQ126" i="90" s="1"/>
  <c r="AR126" i="90" s="1"/>
  <c r="AS126" i="90" s="1"/>
  <c r="AT126" i="90" s="1"/>
  <c r="AU126" i="90" s="1"/>
  <c r="AV126" i="90" s="1"/>
  <c r="AW126" i="90" s="1"/>
  <c r="AX126" i="90" s="1"/>
  <c r="AY126" i="90" s="1"/>
  <c r="AZ126" i="90" s="1"/>
  <c r="BA126" i="90" s="1"/>
  <c r="BB126" i="90" s="1"/>
  <c r="BC126" i="90" s="1"/>
  <c r="BD126" i="90" s="1"/>
  <c r="BE126" i="90" s="1"/>
  <c r="BF126" i="90" s="1"/>
  <c r="BG126" i="90" s="1"/>
  <c r="BH126" i="90" s="1"/>
  <c r="BI126" i="90" s="1"/>
  <c r="BJ126" i="90" s="1"/>
  <c r="BK126" i="90" s="1"/>
  <c r="BL126" i="90" s="1"/>
  <c r="BM126" i="90" s="1"/>
  <c r="BN126" i="90" s="1"/>
  <c r="BO126" i="90" s="1"/>
  <c r="BP126" i="90" s="1"/>
  <c r="BQ126" i="90" s="1"/>
  <c r="BR126" i="90" s="1"/>
  <c r="BS126" i="90" s="1"/>
  <c r="BT126" i="90" s="1"/>
  <c r="BU126" i="90" s="1"/>
  <c r="BV126" i="90" s="1"/>
  <c r="BW126" i="90" s="1"/>
  <c r="BX126" i="90" s="1"/>
  <c r="BY126" i="90" s="1"/>
  <c r="BZ126" i="90" s="1"/>
  <c r="CA126" i="90" s="1"/>
  <c r="CB126" i="90" s="1"/>
  <c r="CC126" i="90" s="1"/>
  <c r="CD126" i="90" s="1"/>
  <c r="CE126" i="90" s="1"/>
  <c r="CF126" i="90" s="1"/>
  <c r="CG126" i="90" s="1"/>
  <c r="CH126" i="90" s="1"/>
  <c r="CI126" i="90" s="1"/>
  <c r="CJ126" i="90" s="1"/>
  <c r="CK126" i="90" s="1"/>
  <c r="CL126" i="90" s="1"/>
  <c r="CM126" i="90" s="1"/>
  <c r="CN126" i="90" s="1"/>
  <c r="CO126" i="90" s="1"/>
  <c r="CP126" i="90" s="1"/>
  <c r="CQ126" i="90" s="1"/>
  <c r="CR126" i="90" s="1"/>
  <c r="CR123" i="90"/>
  <c r="CS123" i="90" s="1"/>
  <c r="AZ97" i="90"/>
  <c r="CR125" i="90"/>
  <c r="C134" i="90"/>
  <c r="J133" i="90"/>
  <c r="CR118" i="90"/>
  <c r="CR120" i="90"/>
  <c r="CR119" i="90"/>
  <c r="CR117" i="90"/>
  <c r="CS117" i="90" s="1"/>
  <c r="CT117" i="90" s="1"/>
  <c r="CU117" i="90" s="1"/>
  <c r="CV117" i="90" s="1"/>
  <c r="CW117" i="90" s="1"/>
  <c r="CX117" i="90" s="1"/>
  <c r="CY117" i="90" s="1"/>
  <c r="CZ117" i="90" s="1"/>
  <c r="DA117" i="90" s="1"/>
  <c r="DB117" i="90" s="1"/>
  <c r="DC117" i="90" s="1"/>
  <c r="DD117" i="90" s="1"/>
  <c r="DE117" i="90" s="1"/>
  <c r="DF117" i="90" s="1"/>
  <c r="DG117" i="90" s="1"/>
  <c r="DH117" i="90" s="1"/>
  <c r="DI117" i="90" s="1"/>
  <c r="DJ117" i="90" s="1"/>
  <c r="DK117" i="90" s="1"/>
  <c r="DL117" i="90" s="1"/>
  <c r="DM117" i="90" s="1"/>
  <c r="CS45" i="90"/>
  <c r="BF96" i="90"/>
  <c r="P130" i="90"/>
  <c r="Q130" i="90" s="1"/>
  <c r="K132" i="90"/>
  <c r="L132" i="90" s="1"/>
  <c r="CR121" i="90"/>
  <c r="CP87" i="83"/>
  <c r="CS6" i="91"/>
  <c r="CS5" i="91"/>
  <c r="CT4" i="91"/>
  <c r="CR6" i="90"/>
  <c r="CR21" i="90" s="1"/>
  <c r="CR5" i="90"/>
  <c r="CS4" i="90"/>
  <c r="CR4" i="83"/>
  <c r="CQ6" i="83"/>
  <c r="CQ80" i="83" s="1"/>
  <c r="CQ5" i="83"/>
  <c r="CP48" i="83"/>
  <c r="CO89" i="83" l="1"/>
  <c r="CO90" i="83" s="1"/>
  <c r="CM157" i="90"/>
  <c r="CP82" i="83"/>
  <c r="CN108" i="83"/>
  <c r="CN109" i="83" s="1"/>
  <c r="CN110" i="83" s="1"/>
  <c r="CN18" i="91" s="1"/>
  <c r="CO96" i="83"/>
  <c r="CO97" i="83" s="1"/>
  <c r="CP107" i="83"/>
  <c r="CQ47" i="83"/>
  <c r="CQ37" i="83"/>
  <c r="CQ100" i="83"/>
  <c r="CQ102" i="83" s="1"/>
  <c r="CQ104" i="83" s="1"/>
  <c r="CQ39" i="83"/>
  <c r="CQ45" i="83" s="1"/>
  <c r="CQ117" i="83"/>
  <c r="CQ23" i="91" s="1"/>
  <c r="CQ116" i="83"/>
  <c r="CQ36" i="83"/>
  <c r="CP22" i="91"/>
  <c r="CP118" i="83"/>
  <c r="CP44" i="83"/>
  <c r="CP51" i="83" s="1"/>
  <c r="CP55" i="83" s="1"/>
  <c r="CP71" i="93" s="1"/>
  <c r="CP41" i="83"/>
  <c r="CQ86" i="83"/>
  <c r="CQ93" i="83"/>
  <c r="CQ94" i="83"/>
  <c r="CQ78" i="83"/>
  <c r="CI66" i="91"/>
  <c r="CJ66" i="91"/>
  <c r="CN70" i="91"/>
  <c r="CN78" i="91"/>
  <c r="CM162" i="90"/>
  <c r="CM169" i="90" s="1"/>
  <c r="CM170" i="90" s="1"/>
  <c r="CL173" i="90"/>
  <c r="CL174" i="90" s="1"/>
  <c r="CL175" i="90" s="1"/>
  <c r="CL169" i="90"/>
  <c r="CL170" i="90" s="1"/>
  <c r="CO64" i="83"/>
  <c r="CO65" i="83" s="1"/>
  <c r="CO62" i="91"/>
  <c r="CO149" i="90"/>
  <c r="CO153" i="90" s="1"/>
  <c r="CN159" i="90"/>
  <c r="CN161" i="90"/>
  <c r="CN160" i="90"/>
  <c r="CO77" i="93"/>
  <c r="CL69" i="83"/>
  <c r="CL73" i="83" s="1"/>
  <c r="CL74" i="83" s="1"/>
  <c r="CL15" i="91" s="1"/>
  <c r="CL155" i="90"/>
  <c r="CK12" i="91"/>
  <c r="CK26" i="91" s="1"/>
  <c r="CK12" i="90"/>
  <c r="CQ28" i="83"/>
  <c r="CQ26" i="83"/>
  <c r="CQ25" i="83"/>
  <c r="CQ24" i="83"/>
  <c r="CQ29" i="83"/>
  <c r="CQ27" i="83"/>
  <c r="CP30" i="83"/>
  <c r="CP32" i="83" s="1"/>
  <c r="CP21" i="91" s="1"/>
  <c r="CQ62" i="83"/>
  <c r="CQ72" i="83"/>
  <c r="CN68" i="83"/>
  <c r="CN155" i="90" s="1"/>
  <c r="CK64" i="91"/>
  <c r="CK71" i="91" s="1"/>
  <c r="CK72" i="91" s="1"/>
  <c r="CK74" i="91" s="1"/>
  <c r="CM69" i="83"/>
  <c r="CN24" i="91"/>
  <c r="CN85" i="91" s="1"/>
  <c r="CS126" i="90"/>
  <c r="CL29" i="90"/>
  <c r="CJ28" i="90"/>
  <c r="CJ30" i="90" s="1"/>
  <c r="CI33" i="90"/>
  <c r="E119" i="90" s="1"/>
  <c r="CM25" i="90"/>
  <c r="CM85" i="91"/>
  <c r="CM86" i="91" s="1"/>
  <c r="CO24" i="91"/>
  <c r="CM14" i="90"/>
  <c r="CM63" i="91"/>
  <c r="CH37" i="90"/>
  <c r="V128" i="90"/>
  <c r="W128" i="90" s="1"/>
  <c r="X128" i="90" s="1"/>
  <c r="CS129" i="90"/>
  <c r="CP17" i="90"/>
  <c r="CP69" i="91" s="1"/>
  <c r="CS121" i="90"/>
  <c r="CS124" i="90"/>
  <c r="M132" i="90"/>
  <c r="N132" i="90" s="1"/>
  <c r="U127" i="90"/>
  <c r="AA122" i="90"/>
  <c r="CR8" i="90"/>
  <c r="CQ38" i="90"/>
  <c r="CS120" i="90"/>
  <c r="CS118" i="90"/>
  <c r="CT118" i="90" s="1"/>
  <c r="CU118" i="90" s="1"/>
  <c r="CV118" i="90" s="1"/>
  <c r="CW118" i="90" s="1"/>
  <c r="CX118" i="90" s="1"/>
  <c r="CY118" i="90" s="1"/>
  <c r="CZ118" i="90" s="1"/>
  <c r="DA118" i="90" s="1"/>
  <c r="DB118" i="90" s="1"/>
  <c r="DC118" i="90" s="1"/>
  <c r="DD118" i="90" s="1"/>
  <c r="DE118" i="90" s="1"/>
  <c r="DF118" i="90" s="1"/>
  <c r="DG118" i="90" s="1"/>
  <c r="DH118" i="90" s="1"/>
  <c r="DI118" i="90" s="1"/>
  <c r="DJ118" i="90" s="1"/>
  <c r="DK118" i="90" s="1"/>
  <c r="DL118" i="90" s="1"/>
  <c r="DM118" i="90" s="1"/>
  <c r="R131" i="90"/>
  <c r="CS125" i="90"/>
  <c r="AX100" i="90"/>
  <c r="BG96" i="90"/>
  <c r="CT45" i="90"/>
  <c r="CS119" i="90"/>
  <c r="K133" i="90"/>
  <c r="C135" i="90"/>
  <c r="J134" i="90"/>
  <c r="R130" i="90"/>
  <c r="S130" i="90" s="1"/>
  <c r="BA97" i="90"/>
  <c r="CQ87" i="83"/>
  <c r="CU4" i="91"/>
  <c r="CT6" i="91"/>
  <c r="CT5" i="91"/>
  <c r="CT4" i="90"/>
  <c r="CS6" i="90"/>
  <c r="CS21" i="90" s="1"/>
  <c r="CS5" i="90"/>
  <c r="CQ48" i="83"/>
  <c r="CS4" i="83"/>
  <c r="CR6" i="83"/>
  <c r="CR80" i="83" s="1"/>
  <c r="CR5" i="83"/>
  <c r="CO108" i="83" l="1"/>
  <c r="CO109" i="83" s="1"/>
  <c r="CO110" i="83" s="1"/>
  <c r="CO18" i="91" s="1"/>
  <c r="CN157" i="90"/>
  <c r="CQ82" i="83"/>
  <c r="CQ83" i="83" s="1"/>
  <c r="CP96" i="83"/>
  <c r="CP97" i="83" s="1"/>
  <c r="CQ22" i="91"/>
  <c r="CQ118" i="83"/>
  <c r="CP83" i="83"/>
  <c r="CP89" i="83"/>
  <c r="CP90" i="83" s="1"/>
  <c r="CR47" i="83"/>
  <c r="CR100" i="83"/>
  <c r="CR102" i="83" s="1"/>
  <c r="CR104" i="83" s="1"/>
  <c r="CR39" i="83"/>
  <c r="CR45" i="83" s="1"/>
  <c r="CR117" i="83"/>
  <c r="CR23" i="91" s="1"/>
  <c r="CR116" i="83"/>
  <c r="CR36" i="83"/>
  <c r="CR37" i="83"/>
  <c r="CQ44" i="83"/>
  <c r="CQ51" i="83" s="1"/>
  <c r="CQ55" i="83" s="1"/>
  <c r="CQ41" i="83"/>
  <c r="CJ79" i="91"/>
  <c r="CJ80" i="91" s="1"/>
  <c r="CJ82" i="91" s="1"/>
  <c r="CI79" i="91"/>
  <c r="CI80" i="91" s="1"/>
  <c r="CI82" i="91" s="1"/>
  <c r="CQ107" i="83"/>
  <c r="CR86" i="83"/>
  <c r="CR93" i="83"/>
  <c r="CR94" i="83"/>
  <c r="CR78" i="83"/>
  <c r="CK66" i="91"/>
  <c r="CO78" i="91"/>
  <c r="CO70" i="91"/>
  <c r="CK11" i="90"/>
  <c r="CM173" i="90"/>
  <c r="CM174" i="90" s="1"/>
  <c r="CM175" i="90" s="1"/>
  <c r="CL10" i="91"/>
  <c r="CL12" i="91" s="1"/>
  <c r="CL11" i="90" s="1"/>
  <c r="CP64" i="83"/>
  <c r="CP65" i="83" s="1"/>
  <c r="CP149" i="90"/>
  <c r="CP153" i="90" s="1"/>
  <c r="CP62" i="91"/>
  <c r="CN162" i="90"/>
  <c r="CO159" i="90"/>
  <c r="CO160" i="90"/>
  <c r="CO161" i="90"/>
  <c r="CP77" i="93"/>
  <c r="O132" i="90"/>
  <c r="P132" i="90" s="1"/>
  <c r="CM10" i="91"/>
  <c r="CM73" i="83"/>
  <c r="CM74" i="83" s="1"/>
  <c r="CM15" i="91" s="1"/>
  <c r="CL12" i="90"/>
  <c r="CR25" i="83"/>
  <c r="CR28" i="83"/>
  <c r="CR24" i="83"/>
  <c r="CR27" i="83"/>
  <c r="CR29" i="83"/>
  <c r="CR26" i="83"/>
  <c r="CQ30" i="83"/>
  <c r="CQ32" i="83" s="1"/>
  <c r="CQ21" i="91" s="1"/>
  <c r="CR62" i="83"/>
  <c r="CR72" i="83"/>
  <c r="CO68" i="83"/>
  <c r="CO155" i="90" s="1"/>
  <c r="CL64" i="91"/>
  <c r="CL71" i="91" s="1"/>
  <c r="CL72" i="91" s="1"/>
  <c r="CL74" i="91" s="1"/>
  <c r="CN69" i="83"/>
  <c r="CN25" i="90"/>
  <c r="CN29" i="90" s="1"/>
  <c r="CT126" i="90"/>
  <c r="Y128" i="90"/>
  <c r="Z128" i="90" s="1"/>
  <c r="AA128" i="90" s="1"/>
  <c r="AB128" i="90" s="1"/>
  <c r="AC128" i="90" s="1"/>
  <c r="AD128" i="90" s="1"/>
  <c r="AE128" i="90" s="1"/>
  <c r="CN86" i="91"/>
  <c r="CO25" i="90"/>
  <c r="CO85" i="91"/>
  <c r="CM29" i="90"/>
  <c r="CN14" i="90"/>
  <c r="CN63" i="91"/>
  <c r="CK28" i="90"/>
  <c r="CK30" i="90" s="1"/>
  <c r="CJ33" i="90"/>
  <c r="E120" i="90" s="1"/>
  <c r="CO157" i="90"/>
  <c r="CI37" i="90"/>
  <c r="CQ17" i="90"/>
  <c r="CQ69" i="91" s="1"/>
  <c r="AB122" i="90"/>
  <c r="CT124" i="90"/>
  <c r="V127" i="90"/>
  <c r="CS8" i="90"/>
  <c r="CR38" i="90"/>
  <c r="T130" i="90"/>
  <c r="U130" i="90" s="1"/>
  <c r="V130" i="90" s="1"/>
  <c r="W130" i="90" s="1"/>
  <c r="X130" i="90" s="1"/>
  <c r="Y130" i="90" s="1"/>
  <c r="Z130" i="90" s="1"/>
  <c r="AA130" i="90" s="1"/>
  <c r="AB130" i="90" s="1"/>
  <c r="AC130" i="90" s="1"/>
  <c r="AD130" i="90" s="1"/>
  <c r="AE130" i="90" s="1"/>
  <c r="AF130" i="90" s="1"/>
  <c r="AG130" i="90" s="1"/>
  <c r="AH130" i="90" s="1"/>
  <c r="AI130" i="90" s="1"/>
  <c r="AJ130" i="90" s="1"/>
  <c r="AK130" i="90" s="1"/>
  <c r="AL130" i="90" s="1"/>
  <c r="AM130" i="90" s="1"/>
  <c r="AN130" i="90" s="1"/>
  <c r="AO130" i="90" s="1"/>
  <c r="AP130" i="90" s="1"/>
  <c r="AQ130" i="90" s="1"/>
  <c r="AR130" i="90" s="1"/>
  <c r="AS130" i="90" s="1"/>
  <c r="AT130" i="90" s="1"/>
  <c r="AU130" i="90" s="1"/>
  <c r="AV130" i="90" s="1"/>
  <c r="AW130" i="90" s="1"/>
  <c r="AX130" i="90" s="1"/>
  <c r="AY130" i="90" s="1"/>
  <c r="AZ130" i="90" s="1"/>
  <c r="BA130" i="90" s="1"/>
  <c r="BB130" i="90" s="1"/>
  <c r="BC130" i="90" s="1"/>
  <c r="BD130" i="90" s="1"/>
  <c r="BE130" i="90" s="1"/>
  <c r="BF130" i="90" s="1"/>
  <c r="BG130" i="90" s="1"/>
  <c r="BH130" i="90" s="1"/>
  <c r="BI130" i="90" s="1"/>
  <c r="BJ130" i="90" s="1"/>
  <c r="BK130" i="90" s="1"/>
  <c r="BL130" i="90" s="1"/>
  <c r="BM130" i="90" s="1"/>
  <c r="BN130" i="90" s="1"/>
  <c r="BO130" i="90" s="1"/>
  <c r="BP130" i="90" s="1"/>
  <c r="BQ130" i="90" s="1"/>
  <c r="BR130" i="90" s="1"/>
  <c r="BS130" i="90" s="1"/>
  <c r="BT130" i="90" s="1"/>
  <c r="BU130" i="90" s="1"/>
  <c r="BV130" i="90" s="1"/>
  <c r="BW130" i="90" s="1"/>
  <c r="BX130" i="90" s="1"/>
  <c r="BY130" i="90" s="1"/>
  <c r="BZ130" i="90" s="1"/>
  <c r="CA130" i="90" s="1"/>
  <c r="CB130" i="90" s="1"/>
  <c r="CC130" i="90" s="1"/>
  <c r="CD130" i="90" s="1"/>
  <c r="CE130" i="90" s="1"/>
  <c r="CF130" i="90" s="1"/>
  <c r="CG130" i="90" s="1"/>
  <c r="CH130" i="90" s="1"/>
  <c r="CI130" i="90" s="1"/>
  <c r="CJ130" i="90" s="1"/>
  <c r="CK130" i="90" s="1"/>
  <c r="CL130" i="90" s="1"/>
  <c r="CM130" i="90" s="1"/>
  <c r="CN130" i="90" s="1"/>
  <c r="CO130" i="90" s="1"/>
  <c r="CP130" i="90" s="1"/>
  <c r="CQ130" i="90" s="1"/>
  <c r="CR130" i="90" s="1"/>
  <c r="CS130" i="90" s="1"/>
  <c r="CT130" i="90" s="1"/>
  <c r="CU130" i="90" s="1"/>
  <c r="BB97" i="90"/>
  <c r="CT121" i="90"/>
  <c r="BH96" i="90"/>
  <c r="CT125" i="90"/>
  <c r="K134" i="90"/>
  <c r="L134" i="90" s="1"/>
  <c r="M134" i="90" s="1"/>
  <c r="N134" i="90" s="1"/>
  <c r="L133" i="90"/>
  <c r="CU45" i="90"/>
  <c r="CT123" i="90"/>
  <c r="S131" i="90"/>
  <c r="T131" i="90" s="1"/>
  <c r="CT129" i="90"/>
  <c r="C136" i="90"/>
  <c r="J135" i="90"/>
  <c r="CT119" i="90"/>
  <c r="CU119" i="90" s="1"/>
  <c r="CV119" i="90" s="1"/>
  <c r="CW119" i="90" s="1"/>
  <c r="CX119" i="90" s="1"/>
  <c r="CY119" i="90" s="1"/>
  <c r="CZ119" i="90" s="1"/>
  <c r="DA119" i="90" s="1"/>
  <c r="DB119" i="90" s="1"/>
  <c r="DC119" i="90" s="1"/>
  <c r="DD119" i="90" s="1"/>
  <c r="DE119" i="90" s="1"/>
  <c r="DF119" i="90" s="1"/>
  <c r="DG119" i="90" s="1"/>
  <c r="DH119" i="90" s="1"/>
  <c r="DI119" i="90" s="1"/>
  <c r="DJ119" i="90" s="1"/>
  <c r="DK119" i="90" s="1"/>
  <c r="DL119" i="90" s="1"/>
  <c r="DM119" i="90" s="1"/>
  <c r="AY100" i="90"/>
  <c r="CT120" i="90"/>
  <c r="CR87" i="83"/>
  <c r="CV4" i="91"/>
  <c r="CU6" i="91"/>
  <c r="CU5" i="91"/>
  <c r="CU4" i="90"/>
  <c r="CT6" i="90"/>
  <c r="CT21" i="90" s="1"/>
  <c r="CT5" i="90"/>
  <c r="CT4" i="83"/>
  <c r="CS5" i="83"/>
  <c r="CS6" i="83"/>
  <c r="CS80" i="83" s="1"/>
  <c r="CR48" i="83"/>
  <c r="CR82" i="83" l="1"/>
  <c r="CQ89" i="83"/>
  <c r="CQ90" i="83" s="1"/>
  <c r="CP108" i="83"/>
  <c r="CP109" i="83" s="1"/>
  <c r="CP110" i="83" s="1"/>
  <c r="CP18" i="91" s="1"/>
  <c r="CP14" i="90" s="1"/>
  <c r="CR22" i="91"/>
  <c r="CR118" i="83"/>
  <c r="CS47" i="83"/>
  <c r="CS100" i="83"/>
  <c r="CS102" i="83" s="1"/>
  <c r="CS104" i="83" s="1"/>
  <c r="CS39" i="83"/>
  <c r="CS45" i="83" s="1"/>
  <c r="CS117" i="83"/>
  <c r="CS23" i="91" s="1"/>
  <c r="CS116" i="83"/>
  <c r="CS36" i="83"/>
  <c r="CS37" i="83"/>
  <c r="CR44" i="83"/>
  <c r="CR51" i="83" s="1"/>
  <c r="CR55" i="83" s="1"/>
  <c r="CR71" i="93" s="1"/>
  <c r="CR41" i="83"/>
  <c r="CQ96" i="83"/>
  <c r="CQ97" i="83" s="1"/>
  <c r="CQ71" i="93"/>
  <c r="CQ77" i="93" s="1"/>
  <c r="CR107" i="83"/>
  <c r="CK79" i="91"/>
  <c r="CK80" i="91" s="1"/>
  <c r="CK82" i="91" s="1"/>
  <c r="CS86" i="83"/>
  <c r="CS93" i="83"/>
  <c r="CS94" i="83"/>
  <c r="CS78" i="83"/>
  <c r="CL66" i="91"/>
  <c r="CP70" i="91"/>
  <c r="CP78" i="91"/>
  <c r="CL26" i="91"/>
  <c r="CQ64" i="83"/>
  <c r="CQ65" i="83" s="1"/>
  <c r="CQ149" i="90"/>
  <c r="CQ153" i="90" s="1"/>
  <c r="CQ62" i="91"/>
  <c r="CO162" i="90"/>
  <c r="CN173" i="90"/>
  <c r="CN174" i="90" s="1"/>
  <c r="CN175" i="90" s="1"/>
  <c r="CN169" i="90"/>
  <c r="CN170" i="90" s="1"/>
  <c r="CP159" i="90"/>
  <c r="CP160" i="90"/>
  <c r="CP161" i="90"/>
  <c r="CU126" i="90"/>
  <c r="Q132" i="90"/>
  <c r="R132" i="90" s="1"/>
  <c r="S132" i="90" s="1"/>
  <c r="CM12" i="91"/>
  <c r="CM11" i="90" s="1"/>
  <c r="CM12" i="90"/>
  <c r="CN10" i="91"/>
  <c r="CN73" i="83"/>
  <c r="CN74" i="83" s="1"/>
  <c r="CN15" i="91" s="1"/>
  <c r="CR30" i="83"/>
  <c r="CR32" i="83" s="1"/>
  <c r="CR21" i="91" s="1"/>
  <c r="CS25" i="83"/>
  <c r="CS28" i="83"/>
  <c r="CS24" i="83"/>
  <c r="CS29" i="83"/>
  <c r="CS26" i="83"/>
  <c r="CS27" i="83"/>
  <c r="CS62" i="83"/>
  <c r="CS72" i="83"/>
  <c r="CP68" i="83"/>
  <c r="CP155" i="90" s="1"/>
  <c r="CO69" i="83"/>
  <c r="CM64" i="91"/>
  <c r="CM71" i="91" s="1"/>
  <c r="CM72" i="91" s="1"/>
  <c r="CM74" i="91" s="1"/>
  <c r="CO86" i="91"/>
  <c r="CO14" i="90"/>
  <c r="CO63" i="91"/>
  <c r="CP24" i="91"/>
  <c r="CJ37" i="90"/>
  <c r="CL28" i="90"/>
  <c r="CL30" i="90" s="1"/>
  <c r="CK33" i="90"/>
  <c r="E121" i="90" s="1"/>
  <c r="CO29" i="90"/>
  <c r="CR17" i="90"/>
  <c r="CR69" i="91" s="1"/>
  <c r="AF128" i="90"/>
  <c r="CU120" i="90"/>
  <c r="CV120" i="90" s="1"/>
  <c r="CW120" i="90" s="1"/>
  <c r="CX120" i="90" s="1"/>
  <c r="CY120" i="90" s="1"/>
  <c r="CZ120" i="90" s="1"/>
  <c r="DA120" i="90" s="1"/>
  <c r="DB120" i="90" s="1"/>
  <c r="DC120" i="90" s="1"/>
  <c r="DD120" i="90" s="1"/>
  <c r="DE120" i="90" s="1"/>
  <c r="DF120" i="90" s="1"/>
  <c r="DG120" i="90" s="1"/>
  <c r="DH120" i="90" s="1"/>
  <c r="DI120" i="90" s="1"/>
  <c r="DJ120" i="90" s="1"/>
  <c r="DK120" i="90" s="1"/>
  <c r="DL120" i="90" s="1"/>
  <c r="DM120" i="90" s="1"/>
  <c r="W127" i="90"/>
  <c r="AC122" i="90"/>
  <c r="CT8" i="90"/>
  <c r="CS38" i="90"/>
  <c r="C137" i="90"/>
  <c r="J136" i="90"/>
  <c r="CU129" i="90"/>
  <c r="U131" i="90"/>
  <c r="V131" i="90" s="1"/>
  <c r="CV45" i="90"/>
  <c r="CU121" i="90"/>
  <c r="BC97" i="90"/>
  <c r="AZ100" i="90"/>
  <c r="CU123" i="90"/>
  <c r="T132" i="90"/>
  <c r="U132" i="90" s="1"/>
  <c r="V132" i="90" s="1"/>
  <c r="CU125" i="90"/>
  <c r="M133" i="90"/>
  <c r="CU124" i="90"/>
  <c r="K135" i="90"/>
  <c r="L135" i="90" s="1"/>
  <c r="M135" i="90" s="1"/>
  <c r="O134" i="90"/>
  <c r="P134" i="90" s="1"/>
  <c r="BI96" i="90"/>
  <c r="CS87" i="83"/>
  <c r="CW4" i="91"/>
  <c r="CV6" i="91"/>
  <c r="CV5" i="91"/>
  <c r="CV4" i="90"/>
  <c r="CV126" i="90" s="1"/>
  <c r="CU6" i="90"/>
  <c r="CU21" i="90" s="1"/>
  <c r="CU5" i="90"/>
  <c r="CS48" i="83"/>
  <c r="CU4" i="83"/>
  <c r="CT6" i="83"/>
  <c r="CT80" i="83" s="1"/>
  <c r="CT5" i="83"/>
  <c r="CS82" i="83" l="1"/>
  <c r="CP63" i="91"/>
  <c r="CP157" i="90"/>
  <c r="CQ108" i="83"/>
  <c r="CQ109" i="83" s="1"/>
  <c r="CQ110" i="83" s="1"/>
  <c r="CQ18" i="91" s="1"/>
  <c r="CR83" i="83"/>
  <c r="CT47" i="83"/>
  <c r="CT39" i="83"/>
  <c r="CT45" i="83" s="1"/>
  <c r="CT117" i="83"/>
  <c r="CT23" i="91" s="1"/>
  <c r="CT116" i="83"/>
  <c r="CT36" i="83"/>
  <c r="CT37" i="83"/>
  <c r="CT100" i="83"/>
  <c r="CT102" i="83" s="1"/>
  <c r="CT104" i="83" s="1"/>
  <c r="CS118" i="83"/>
  <c r="CS22" i="91"/>
  <c r="CR96" i="83"/>
  <c r="CR97" i="83" s="1"/>
  <c r="CR89" i="83"/>
  <c r="CR90" i="83" s="1"/>
  <c r="CS44" i="83"/>
  <c r="CS51" i="83" s="1"/>
  <c r="CS55" i="83" s="1"/>
  <c r="CS41" i="83"/>
  <c r="CS107" i="83"/>
  <c r="CL79" i="91"/>
  <c r="CL80" i="91" s="1"/>
  <c r="CL82" i="91" s="1"/>
  <c r="CT86" i="83"/>
  <c r="CT93" i="83"/>
  <c r="CT94" i="83"/>
  <c r="CT78" i="83"/>
  <c r="CM66" i="91"/>
  <c r="CQ78" i="91"/>
  <c r="CQ70" i="91"/>
  <c r="CM26" i="91"/>
  <c r="CO169" i="90"/>
  <c r="CO170" i="90" s="1"/>
  <c r="CO173" i="90"/>
  <c r="CO174" i="90" s="1"/>
  <c r="CO175" i="90" s="1"/>
  <c r="CP162" i="90"/>
  <c r="CR64" i="83"/>
  <c r="CR65" i="83" s="1"/>
  <c r="CR149" i="90"/>
  <c r="CR153" i="90" s="1"/>
  <c r="CR62" i="91"/>
  <c r="CQ160" i="90"/>
  <c r="CQ161" i="90"/>
  <c r="CQ159" i="90"/>
  <c r="CR77" i="93"/>
  <c r="CN12" i="90"/>
  <c r="CN12" i="91"/>
  <c r="CN11" i="90" s="1"/>
  <c r="CO10" i="91"/>
  <c r="CO12" i="91" s="1"/>
  <c r="CO11" i="90" s="1"/>
  <c r="CO73" i="83"/>
  <c r="CO74" i="83" s="1"/>
  <c r="CO15" i="91" s="1"/>
  <c r="CS30" i="83"/>
  <c r="CS32" i="83" s="1"/>
  <c r="CS21" i="91" s="1"/>
  <c r="CT27" i="83"/>
  <c r="CT25" i="83"/>
  <c r="CT26" i="83"/>
  <c r="CT29" i="83"/>
  <c r="CT24" i="83"/>
  <c r="CT28" i="83"/>
  <c r="CT62" i="83"/>
  <c r="CQ68" i="83"/>
  <c r="CQ155" i="90" s="1"/>
  <c r="CT72" i="83"/>
  <c r="CN64" i="91"/>
  <c r="CN71" i="91" s="1"/>
  <c r="CN72" i="91" s="1"/>
  <c r="CN74" i="91" s="1"/>
  <c r="CP69" i="83"/>
  <c r="CQ24" i="91"/>
  <c r="CQ25" i="90" s="1"/>
  <c r="CP25" i="90"/>
  <c r="CP85" i="91"/>
  <c r="CP86" i="91" s="1"/>
  <c r="CK37" i="90"/>
  <c r="CR24" i="91"/>
  <c r="CM28" i="90"/>
  <c r="CM30" i="90" s="1"/>
  <c r="CL33" i="90"/>
  <c r="E122" i="90" s="1"/>
  <c r="CS17" i="90"/>
  <c r="CS69" i="91" s="1"/>
  <c r="W132" i="90"/>
  <c r="X132" i="90" s="1"/>
  <c r="Y132" i="90" s="1"/>
  <c r="AG128" i="90"/>
  <c r="X127" i="90"/>
  <c r="AD122" i="90"/>
  <c r="CU8" i="90"/>
  <c r="CT38" i="90"/>
  <c r="W131" i="90"/>
  <c r="X131" i="90" s="1"/>
  <c r="Y131" i="90" s="1"/>
  <c r="Z131" i="90" s="1"/>
  <c r="AA131" i="90" s="1"/>
  <c r="AB131" i="90" s="1"/>
  <c r="AC131" i="90" s="1"/>
  <c r="AD131" i="90" s="1"/>
  <c r="AE131" i="90" s="1"/>
  <c r="AF131" i="90" s="1"/>
  <c r="AG131" i="90" s="1"/>
  <c r="AH131" i="90" s="1"/>
  <c r="AI131" i="90" s="1"/>
  <c r="AJ131" i="90" s="1"/>
  <c r="AK131" i="90" s="1"/>
  <c r="AL131" i="90" s="1"/>
  <c r="AM131" i="90" s="1"/>
  <c r="AN131" i="90" s="1"/>
  <c r="AO131" i="90" s="1"/>
  <c r="AP131" i="90" s="1"/>
  <c r="AQ131" i="90" s="1"/>
  <c r="AR131" i="90" s="1"/>
  <c r="AS131" i="90" s="1"/>
  <c r="AT131" i="90" s="1"/>
  <c r="AU131" i="90" s="1"/>
  <c r="AV131" i="90" s="1"/>
  <c r="AW131" i="90" s="1"/>
  <c r="AX131" i="90" s="1"/>
  <c r="AY131" i="90" s="1"/>
  <c r="AZ131" i="90" s="1"/>
  <c r="BA131" i="90" s="1"/>
  <c r="BB131" i="90" s="1"/>
  <c r="BC131" i="90" s="1"/>
  <c r="BD131" i="90" s="1"/>
  <c r="BE131" i="90" s="1"/>
  <c r="BF131" i="90" s="1"/>
  <c r="BG131" i="90" s="1"/>
  <c r="BH131" i="90" s="1"/>
  <c r="BI131" i="90" s="1"/>
  <c r="BJ131" i="90" s="1"/>
  <c r="BK131" i="90" s="1"/>
  <c r="BL131" i="90" s="1"/>
  <c r="BM131" i="90" s="1"/>
  <c r="BN131" i="90" s="1"/>
  <c r="BO131" i="90" s="1"/>
  <c r="BP131" i="90" s="1"/>
  <c r="BQ131" i="90" s="1"/>
  <c r="BR131" i="90" s="1"/>
  <c r="BS131" i="90" s="1"/>
  <c r="BT131" i="90" s="1"/>
  <c r="BU131" i="90" s="1"/>
  <c r="BV131" i="90" s="1"/>
  <c r="BW131" i="90" s="1"/>
  <c r="BX131" i="90" s="1"/>
  <c r="BY131" i="90" s="1"/>
  <c r="BZ131" i="90" s="1"/>
  <c r="CA131" i="90" s="1"/>
  <c r="CB131" i="90" s="1"/>
  <c r="CC131" i="90" s="1"/>
  <c r="CD131" i="90" s="1"/>
  <c r="CE131" i="90" s="1"/>
  <c r="CF131" i="90" s="1"/>
  <c r="CG131" i="90" s="1"/>
  <c r="CH131" i="90" s="1"/>
  <c r="CI131" i="90" s="1"/>
  <c r="CJ131" i="90" s="1"/>
  <c r="CK131" i="90" s="1"/>
  <c r="CL131" i="90" s="1"/>
  <c r="CM131" i="90" s="1"/>
  <c r="CN131" i="90" s="1"/>
  <c r="CO131" i="90" s="1"/>
  <c r="CP131" i="90" s="1"/>
  <c r="CQ131" i="90" s="1"/>
  <c r="CR131" i="90" s="1"/>
  <c r="CS131" i="90" s="1"/>
  <c r="CT131" i="90" s="1"/>
  <c r="CU131" i="90" s="1"/>
  <c r="CV131" i="90" s="1"/>
  <c r="Q134" i="90"/>
  <c r="R134" i="90" s="1"/>
  <c r="CV129" i="90"/>
  <c r="N135" i="90"/>
  <c r="CV124" i="90"/>
  <c r="BD97" i="90"/>
  <c r="BJ96" i="90"/>
  <c r="N133" i="90"/>
  <c r="O133" i="90" s="1"/>
  <c r="CV121" i="90"/>
  <c r="CW121" i="90" s="1"/>
  <c r="CX121" i="90" s="1"/>
  <c r="CY121" i="90" s="1"/>
  <c r="CZ121" i="90" s="1"/>
  <c r="DA121" i="90" s="1"/>
  <c r="DB121" i="90" s="1"/>
  <c r="DC121" i="90" s="1"/>
  <c r="DD121" i="90" s="1"/>
  <c r="DE121" i="90" s="1"/>
  <c r="DF121" i="90" s="1"/>
  <c r="DG121" i="90" s="1"/>
  <c r="DH121" i="90" s="1"/>
  <c r="DI121" i="90" s="1"/>
  <c r="DJ121" i="90" s="1"/>
  <c r="DK121" i="90" s="1"/>
  <c r="DL121" i="90" s="1"/>
  <c r="DM121" i="90" s="1"/>
  <c r="K136" i="90"/>
  <c r="L136" i="90" s="1"/>
  <c r="CV130" i="90"/>
  <c r="CV125" i="90"/>
  <c r="CV123" i="90"/>
  <c r="BA100" i="90"/>
  <c r="CW45" i="90"/>
  <c r="C138" i="90"/>
  <c r="J137" i="90"/>
  <c r="CT87" i="83"/>
  <c r="CW6" i="91"/>
  <c r="CW5" i="91"/>
  <c r="CX4" i="91"/>
  <c r="CV6" i="90"/>
  <c r="CV21" i="90" s="1"/>
  <c r="CV5" i="90"/>
  <c r="CW4" i="90"/>
  <c r="CW126" i="90" s="1"/>
  <c r="CT48" i="83"/>
  <c r="CV4" i="83"/>
  <c r="CU6" i="83"/>
  <c r="CU80" i="83" s="1"/>
  <c r="CU5" i="83"/>
  <c r="CQ157" i="90" l="1"/>
  <c r="CS89" i="83"/>
  <c r="CS90" i="83" s="1"/>
  <c r="CT82" i="83"/>
  <c r="CT83" i="83" s="1"/>
  <c r="CS83" i="83"/>
  <c r="CS96" i="83"/>
  <c r="CS97" i="83" s="1"/>
  <c r="CR108" i="83"/>
  <c r="CR109" i="83" s="1"/>
  <c r="CR110" i="83" s="1"/>
  <c r="CR18" i="91" s="1"/>
  <c r="CR14" i="90" s="1"/>
  <c r="CT44" i="83"/>
  <c r="CT51" i="83" s="1"/>
  <c r="CT55" i="83" s="1"/>
  <c r="CT71" i="93" s="1"/>
  <c r="CT41" i="83"/>
  <c r="CT118" i="83"/>
  <c r="CT22" i="91"/>
  <c r="CU47" i="83"/>
  <c r="CU117" i="83"/>
  <c r="CU23" i="91" s="1"/>
  <c r="CU116" i="83"/>
  <c r="CU37" i="83"/>
  <c r="CU100" i="83"/>
  <c r="CU102" i="83" s="1"/>
  <c r="CU104" i="83" s="1"/>
  <c r="CU36" i="83"/>
  <c r="CU39" i="83"/>
  <c r="CU45" i="83" s="1"/>
  <c r="CT107" i="83"/>
  <c r="CS71" i="93"/>
  <c r="CS77" i="93" s="1"/>
  <c r="CM79" i="91"/>
  <c r="CM80" i="91" s="1"/>
  <c r="CM82" i="91" s="1"/>
  <c r="CU86" i="83"/>
  <c r="CU93" i="83"/>
  <c r="CU94" i="83"/>
  <c r="CU78" i="83"/>
  <c r="CN66" i="91"/>
  <c r="CR78" i="91"/>
  <c r="CR70" i="91"/>
  <c r="CQ162" i="90"/>
  <c r="CQ173" i="90" s="1"/>
  <c r="CQ174" i="90" s="1"/>
  <c r="CQ175" i="90" s="1"/>
  <c r="CR160" i="90"/>
  <c r="CR161" i="90"/>
  <c r="CR159" i="90"/>
  <c r="CS64" i="83"/>
  <c r="CS65" i="83" s="1"/>
  <c r="CS149" i="90"/>
  <c r="CS153" i="90" s="1"/>
  <c r="CS62" i="91"/>
  <c r="CP173" i="90"/>
  <c r="CP174" i="90" s="1"/>
  <c r="CP175" i="90" s="1"/>
  <c r="CP169" i="90"/>
  <c r="CP170" i="90" s="1"/>
  <c r="CN26" i="91"/>
  <c r="CO12" i="90"/>
  <c r="CP10" i="91"/>
  <c r="CP73" i="83"/>
  <c r="CP74" i="83" s="1"/>
  <c r="CP15" i="91" s="1"/>
  <c r="CO26" i="91"/>
  <c r="CU24" i="83"/>
  <c r="CU27" i="83"/>
  <c r="CU26" i="83"/>
  <c r="CU25" i="83"/>
  <c r="CU29" i="83"/>
  <c r="CU28" i="83"/>
  <c r="CT30" i="83"/>
  <c r="CT32" i="83" s="1"/>
  <c r="CT21" i="91" s="1"/>
  <c r="CU62" i="83"/>
  <c r="CO64" i="91"/>
  <c r="CO71" i="91" s="1"/>
  <c r="CO72" i="91" s="1"/>
  <c r="CO74" i="91" s="1"/>
  <c r="CU72" i="83"/>
  <c r="CR68" i="83"/>
  <c r="CR155" i="90" s="1"/>
  <c r="CQ69" i="83"/>
  <c r="CQ85" i="91"/>
  <c r="CQ86" i="91" s="1"/>
  <c r="CR25" i="90"/>
  <c r="CR85" i="91"/>
  <c r="CP29" i="90"/>
  <c r="CL37" i="90"/>
  <c r="CN28" i="90"/>
  <c r="CN30" i="90" s="1"/>
  <c r="CM33" i="90"/>
  <c r="CQ63" i="91"/>
  <c r="CQ14" i="90"/>
  <c r="CQ29" i="90"/>
  <c r="CW130" i="90"/>
  <c r="CT17" i="90"/>
  <c r="CT69" i="91" s="1"/>
  <c r="Z132" i="90"/>
  <c r="AA132" i="90" s="1"/>
  <c r="AB132" i="90" s="1"/>
  <c r="AC132" i="90" s="1"/>
  <c r="AD132" i="90" s="1"/>
  <c r="AE132" i="90" s="1"/>
  <c r="AF132" i="90" s="1"/>
  <c r="AG132" i="90" s="1"/>
  <c r="AH132" i="90" s="1"/>
  <c r="AI132" i="90" s="1"/>
  <c r="AJ132" i="90" s="1"/>
  <c r="AK132" i="90" s="1"/>
  <c r="AL132" i="90" s="1"/>
  <c r="AM132" i="90" s="1"/>
  <c r="AN132" i="90" s="1"/>
  <c r="AO132" i="90" s="1"/>
  <c r="AP132" i="90" s="1"/>
  <c r="AQ132" i="90" s="1"/>
  <c r="AR132" i="90" s="1"/>
  <c r="AS132" i="90" s="1"/>
  <c r="AT132" i="90" s="1"/>
  <c r="AU132" i="90" s="1"/>
  <c r="AV132" i="90" s="1"/>
  <c r="AW132" i="90" s="1"/>
  <c r="AX132" i="90" s="1"/>
  <c r="AY132" i="90" s="1"/>
  <c r="AZ132" i="90" s="1"/>
  <c r="BA132" i="90" s="1"/>
  <c r="BB132" i="90" s="1"/>
  <c r="BC132" i="90" s="1"/>
  <c r="BD132" i="90" s="1"/>
  <c r="BE132" i="90" s="1"/>
  <c r="BF132" i="90" s="1"/>
  <c r="BG132" i="90" s="1"/>
  <c r="BH132" i="90" s="1"/>
  <c r="BI132" i="90" s="1"/>
  <c r="BJ132" i="90" s="1"/>
  <c r="BK132" i="90" s="1"/>
  <c r="BL132" i="90" s="1"/>
  <c r="BM132" i="90" s="1"/>
  <c r="BN132" i="90" s="1"/>
  <c r="BO132" i="90" s="1"/>
  <c r="BP132" i="90" s="1"/>
  <c r="BQ132" i="90" s="1"/>
  <c r="BR132" i="90" s="1"/>
  <c r="BS132" i="90" s="1"/>
  <c r="BT132" i="90" s="1"/>
  <c r="BU132" i="90" s="1"/>
  <c r="BV132" i="90" s="1"/>
  <c r="BW132" i="90" s="1"/>
  <c r="BX132" i="90" s="1"/>
  <c r="BY132" i="90" s="1"/>
  <c r="BZ132" i="90" s="1"/>
  <c r="CA132" i="90" s="1"/>
  <c r="CB132" i="90" s="1"/>
  <c r="CC132" i="90" s="1"/>
  <c r="CD132" i="90" s="1"/>
  <c r="CE132" i="90" s="1"/>
  <c r="CF132" i="90" s="1"/>
  <c r="CG132" i="90" s="1"/>
  <c r="CH132" i="90" s="1"/>
  <c r="CI132" i="90" s="1"/>
  <c r="CJ132" i="90" s="1"/>
  <c r="CK132" i="90" s="1"/>
  <c r="CL132" i="90" s="1"/>
  <c r="CM132" i="90" s="1"/>
  <c r="CN132" i="90" s="1"/>
  <c r="CO132" i="90" s="1"/>
  <c r="CP132" i="90" s="1"/>
  <c r="CQ132" i="90" s="1"/>
  <c r="CR132" i="90" s="1"/>
  <c r="CS132" i="90" s="1"/>
  <c r="CT132" i="90" s="1"/>
  <c r="CU132" i="90" s="1"/>
  <c r="CV132" i="90" s="1"/>
  <c r="CW132" i="90" s="1"/>
  <c r="AH128" i="90"/>
  <c r="AE122" i="90"/>
  <c r="CW123" i="90"/>
  <c r="S134" i="90"/>
  <c r="T134" i="90" s="1"/>
  <c r="U134" i="90" s="1"/>
  <c r="V134" i="90" s="1"/>
  <c r="W134" i="90" s="1"/>
  <c r="X134" i="90" s="1"/>
  <c r="Y134" i="90" s="1"/>
  <c r="Z134" i="90" s="1"/>
  <c r="AA134" i="90" s="1"/>
  <c r="AB134" i="90" s="1"/>
  <c r="Y127" i="90"/>
  <c r="M136" i="90"/>
  <c r="N136" i="90" s="1"/>
  <c r="O136" i="90" s="1"/>
  <c r="CW131" i="90"/>
  <c r="CV8" i="90"/>
  <c r="CU38" i="90"/>
  <c r="CX45" i="90"/>
  <c r="BK96" i="90"/>
  <c r="CW125" i="90"/>
  <c r="K137" i="90"/>
  <c r="L137" i="90" s="1"/>
  <c r="C139" i="90"/>
  <c r="J138" i="90"/>
  <c r="CW124" i="90"/>
  <c r="CW129" i="90"/>
  <c r="BB100" i="90"/>
  <c r="P133" i="90"/>
  <c r="BE97" i="90"/>
  <c r="O135" i="90"/>
  <c r="CU87" i="83"/>
  <c r="CY4" i="91"/>
  <c r="CX6" i="91"/>
  <c r="CX5" i="91"/>
  <c r="CX4" i="90"/>
  <c r="CX126" i="90" s="1"/>
  <c r="CW6" i="90"/>
  <c r="CW21" i="90" s="1"/>
  <c r="CW5" i="90"/>
  <c r="CU48" i="83"/>
  <c r="CW4" i="83"/>
  <c r="CV6" i="83"/>
  <c r="CV80" i="83" s="1"/>
  <c r="CV5" i="83"/>
  <c r="CU82" i="83" l="1"/>
  <c r="CT89" i="83"/>
  <c r="CT90" i="83" s="1"/>
  <c r="CS108" i="83"/>
  <c r="CS109" i="83" s="1"/>
  <c r="CS110" i="83" s="1"/>
  <c r="CS18" i="91" s="1"/>
  <c r="CS14" i="90" s="1"/>
  <c r="CR157" i="90"/>
  <c r="CT96" i="83"/>
  <c r="CT97" i="83" s="1"/>
  <c r="CR63" i="91"/>
  <c r="CU44" i="83"/>
  <c r="CU51" i="83" s="1"/>
  <c r="CU55" i="83" s="1"/>
  <c r="CU41" i="83"/>
  <c r="CV47" i="83"/>
  <c r="CV117" i="83"/>
  <c r="CV23" i="91" s="1"/>
  <c r="CV116" i="83"/>
  <c r="CV36" i="83"/>
  <c r="CV37" i="83"/>
  <c r="CV100" i="83"/>
  <c r="CV102" i="83" s="1"/>
  <c r="CV104" i="83" s="1"/>
  <c r="CV39" i="83"/>
  <c r="CV45" i="83" s="1"/>
  <c r="CU83" i="83"/>
  <c r="CU22" i="91"/>
  <c r="CU118" i="83"/>
  <c r="CN79" i="91"/>
  <c r="CN80" i="91" s="1"/>
  <c r="CN82" i="91" s="1"/>
  <c r="CU107" i="83"/>
  <c r="CV86" i="83"/>
  <c r="CV93" i="83"/>
  <c r="CV94" i="83"/>
  <c r="CV78" i="83"/>
  <c r="CO66" i="91"/>
  <c r="CS78" i="91"/>
  <c r="CS70" i="91"/>
  <c r="CQ169" i="90"/>
  <c r="CQ170" i="90" s="1"/>
  <c r="CR162" i="90"/>
  <c r="CR169" i="90" s="1"/>
  <c r="CR170" i="90" s="1"/>
  <c r="CT64" i="83"/>
  <c r="CT65" i="83" s="1"/>
  <c r="CT62" i="91"/>
  <c r="CT149" i="90"/>
  <c r="CT153" i="90" s="1"/>
  <c r="CS160" i="90"/>
  <c r="CS159" i="90"/>
  <c r="CS161" i="90"/>
  <c r="CT77" i="93"/>
  <c r="CP12" i="91"/>
  <c r="CP26" i="91" s="1"/>
  <c r="CQ10" i="91"/>
  <c r="CQ12" i="91" s="1"/>
  <c r="CQ73" i="83"/>
  <c r="CQ74" i="83" s="1"/>
  <c r="CQ15" i="91" s="1"/>
  <c r="CP12" i="90"/>
  <c r="CM37" i="90"/>
  <c r="CU30" i="83"/>
  <c r="CU32" i="83" s="1"/>
  <c r="CU21" i="91" s="1"/>
  <c r="CV29" i="83"/>
  <c r="CV24" i="83"/>
  <c r="CV27" i="83"/>
  <c r="CV28" i="83"/>
  <c r="CV25" i="83"/>
  <c r="CV26" i="83"/>
  <c r="CV62" i="83"/>
  <c r="CV72" i="83"/>
  <c r="CS68" i="83"/>
  <c r="CS155" i="90" s="1"/>
  <c r="CR69" i="83"/>
  <c r="CP64" i="91"/>
  <c r="CP71" i="91" s="1"/>
  <c r="CP72" i="91" s="1"/>
  <c r="CP74" i="91" s="1"/>
  <c r="CR86" i="91"/>
  <c r="CS24" i="91"/>
  <c r="CS25" i="90" s="1"/>
  <c r="CO28" i="90"/>
  <c r="CO30" i="90" s="1"/>
  <c r="CN33" i="90"/>
  <c r="CR29" i="90"/>
  <c r="CU17" i="90"/>
  <c r="CU69" i="91" s="1"/>
  <c r="M137" i="90"/>
  <c r="P136" i="90"/>
  <c r="Q136" i="90" s="1"/>
  <c r="AC134" i="90"/>
  <c r="AD134" i="90" s="1"/>
  <c r="AE134" i="90" s="1"/>
  <c r="AF134" i="90" s="1"/>
  <c r="AG134" i="90" s="1"/>
  <c r="AH134" i="90" s="1"/>
  <c r="AI134" i="90" s="1"/>
  <c r="AJ134" i="90" s="1"/>
  <c r="AK134" i="90" s="1"/>
  <c r="AL134" i="90" s="1"/>
  <c r="AM134" i="90" s="1"/>
  <c r="AN134" i="90" s="1"/>
  <c r="AO134" i="90" s="1"/>
  <c r="AP134" i="90" s="1"/>
  <c r="AQ134" i="90" s="1"/>
  <c r="AR134" i="90" s="1"/>
  <c r="AS134" i="90" s="1"/>
  <c r="AT134" i="90" s="1"/>
  <c r="AU134" i="90" s="1"/>
  <c r="AV134" i="90" s="1"/>
  <c r="AW134" i="90" s="1"/>
  <c r="AX134" i="90" s="1"/>
  <c r="AY134" i="90" s="1"/>
  <c r="AZ134" i="90" s="1"/>
  <c r="BA134" i="90" s="1"/>
  <c r="BB134" i="90" s="1"/>
  <c r="BC134" i="90" s="1"/>
  <c r="BD134" i="90" s="1"/>
  <c r="BE134" i="90" s="1"/>
  <c r="BF134" i="90" s="1"/>
  <c r="BG134" i="90" s="1"/>
  <c r="BH134" i="90" s="1"/>
  <c r="BI134" i="90" s="1"/>
  <c r="BJ134" i="90" s="1"/>
  <c r="BK134" i="90" s="1"/>
  <c r="BL134" i="90" s="1"/>
  <c r="BM134" i="90" s="1"/>
  <c r="BN134" i="90" s="1"/>
  <c r="BO134" i="90" s="1"/>
  <c r="BP134" i="90" s="1"/>
  <c r="BQ134" i="90" s="1"/>
  <c r="BR134" i="90" s="1"/>
  <c r="BS134" i="90" s="1"/>
  <c r="BT134" i="90" s="1"/>
  <c r="BU134" i="90" s="1"/>
  <c r="BV134" i="90" s="1"/>
  <c r="BW134" i="90" s="1"/>
  <c r="BX134" i="90" s="1"/>
  <c r="BY134" i="90" s="1"/>
  <c r="BZ134" i="90" s="1"/>
  <c r="CA134" i="90" s="1"/>
  <c r="CB134" i="90" s="1"/>
  <c r="CC134" i="90" s="1"/>
  <c r="CD134" i="90" s="1"/>
  <c r="CE134" i="90" s="1"/>
  <c r="CF134" i="90" s="1"/>
  <c r="CG134" i="90" s="1"/>
  <c r="CH134" i="90" s="1"/>
  <c r="CI134" i="90" s="1"/>
  <c r="CJ134" i="90" s="1"/>
  <c r="CK134" i="90" s="1"/>
  <c r="CL134" i="90" s="1"/>
  <c r="CM134" i="90" s="1"/>
  <c r="CN134" i="90" s="1"/>
  <c r="CO134" i="90" s="1"/>
  <c r="CP134" i="90" s="1"/>
  <c r="CQ134" i="90" s="1"/>
  <c r="CR134" i="90" s="1"/>
  <c r="CS134" i="90" s="1"/>
  <c r="CT134" i="90" s="1"/>
  <c r="CU134" i="90" s="1"/>
  <c r="CV134" i="90" s="1"/>
  <c r="CW134" i="90" s="1"/>
  <c r="CX134" i="90" s="1"/>
  <c r="AI128" i="90"/>
  <c r="CX132" i="90"/>
  <c r="CX130" i="90"/>
  <c r="CX123" i="90"/>
  <c r="CY123" i="90" s="1"/>
  <c r="CZ123" i="90" s="1"/>
  <c r="DA123" i="90" s="1"/>
  <c r="DB123" i="90" s="1"/>
  <c r="DC123" i="90" s="1"/>
  <c r="DD123" i="90" s="1"/>
  <c r="DE123" i="90" s="1"/>
  <c r="DF123" i="90" s="1"/>
  <c r="DG123" i="90" s="1"/>
  <c r="DH123" i="90" s="1"/>
  <c r="DI123" i="90" s="1"/>
  <c r="DJ123" i="90" s="1"/>
  <c r="DK123" i="90" s="1"/>
  <c r="DL123" i="90" s="1"/>
  <c r="DM123" i="90" s="1"/>
  <c r="CX129" i="90"/>
  <c r="Z127" i="90"/>
  <c r="AF122" i="90"/>
  <c r="CW8" i="90"/>
  <c r="CV38" i="90"/>
  <c r="BC100" i="90"/>
  <c r="CX131" i="90"/>
  <c r="BL96" i="90"/>
  <c r="Q133" i="90"/>
  <c r="R133" i="90" s="1"/>
  <c r="S133" i="90" s="1"/>
  <c r="T133" i="90" s="1"/>
  <c r="U133" i="90" s="1"/>
  <c r="V133" i="90" s="1"/>
  <c r="W133" i="90" s="1"/>
  <c r="X133" i="90" s="1"/>
  <c r="Y133" i="90" s="1"/>
  <c r="Z133" i="90" s="1"/>
  <c r="AA133" i="90" s="1"/>
  <c r="AB133" i="90" s="1"/>
  <c r="AC133" i="90" s="1"/>
  <c r="AD133" i="90" s="1"/>
  <c r="AE133" i="90" s="1"/>
  <c r="AF133" i="90" s="1"/>
  <c r="AG133" i="90" s="1"/>
  <c r="AH133" i="90" s="1"/>
  <c r="AI133" i="90" s="1"/>
  <c r="AJ133" i="90" s="1"/>
  <c r="AK133" i="90" s="1"/>
  <c r="AL133" i="90" s="1"/>
  <c r="AM133" i="90" s="1"/>
  <c r="AN133" i="90" s="1"/>
  <c r="AO133" i="90" s="1"/>
  <c r="AP133" i="90" s="1"/>
  <c r="AQ133" i="90" s="1"/>
  <c r="AR133" i="90" s="1"/>
  <c r="AS133" i="90" s="1"/>
  <c r="AT133" i="90" s="1"/>
  <c r="AU133" i="90" s="1"/>
  <c r="AV133" i="90" s="1"/>
  <c r="AW133" i="90" s="1"/>
  <c r="AX133" i="90" s="1"/>
  <c r="AY133" i="90" s="1"/>
  <c r="AZ133" i="90" s="1"/>
  <c r="BA133" i="90" s="1"/>
  <c r="BB133" i="90" s="1"/>
  <c r="BC133" i="90" s="1"/>
  <c r="BD133" i="90" s="1"/>
  <c r="BE133" i="90" s="1"/>
  <c r="BF133" i="90" s="1"/>
  <c r="BG133" i="90" s="1"/>
  <c r="BH133" i="90" s="1"/>
  <c r="BI133" i="90" s="1"/>
  <c r="BJ133" i="90" s="1"/>
  <c r="BK133" i="90" s="1"/>
  <c r="BL133" i="90" s="1"/>
  <c r="BM133" i="90" s="1"/>
  <c r="BN133" i="90" s="1"/>
  <c r="BO133" i="90" s="1"/>
  <c r="BP133" i="90" s="1"/>
  <c r="BQ133" i="90" s="1"/>
  <c r="BR133" i="90" s="1"/>
  <c r="BS133" i="90" s="1"/>
  <c r="BT133" i="90" s="1"/>
  <c r="BU133" i="90" s="1"/>
  <c r="BV133" i="90" s="1"/>
  <c r="BW133" i="90" s="1"/>
  <c r="BX133" i="90" s="1"/>
  <c r="BY133" i="90" s="1"/>
  <c r="BZ133" i="90" s="1"/>
  <c r="CA133" i="90" s="1"/>
  <c r="CB133" i="90" s="1"/>
  <c r="CC133" i="90" s="1"/>
  <c r="CD133" i="90" s="1"/>
  <c r="CE133" i="90" s="1"/>
  <c r="CF133" i="90" s="1"/>
  <c r="CG133" i="90" s="1"/>
  <c r="CH133" i="90" s="1"/>
  <c r="CI133" i="90" s="1"/>
  <c r="CJ133" i="90" s="1"/>
  <c r="CK133" i="90" s="1"/>
  <c r="CL133" i="90" s="1"/>
  <c r="CM133" i="90" s="1"/>
  <c r="CN133" i="90" s="1"/>
  <c r="CO133" i="90" s="1"/>
  <c r="CP133" i="90" s="1"/>
  <c r="CQ133" i="90" s="1"/>
  <c r="CR133" i="90" s="1"/>
  <c r="CS133" i="90" s="1"/>
  <c r="CT133" i="90" s="1"/>
  <c r="CU133" i="90" s="1"/>
  <c r="CV133" i="90" s="1"/>
  <c r="CW133" i="90" s="1"/>
  <c r="CX133" i="90" s="1"/>
  <c r="P135" i="90"/>
  <c r="Q135" i="90" s="1"/>
  <c r="CX125" i="90"/>
  <c r="K138" i="90"/>
  <c r="L138" i="90" s="1"/>
  <c r="BF97" i="90"/>
  <c r="CX124" i="90"/>
  <c r="C140" i="90"/>
  <c r="J139" i="90"/>
  <c r="CY45" i="90"/>
  <c r="CV87" i="83"/>
  <c r="CZ4" i="91"/>
  <c r="CY6" i="91"/>
  <c r="CY5" i="91"/>
  <c r="CY4" i="90"/>
  <c r="CY126" i="90" s="1"/>
  <c r="CX6" i="90"/>
  <c r="CX21" i="90" s="1"/>
  <c r="CX5" i="90"/>
  <c r="CV48" i="83"/>
  <c r="CX4" i="83"/>
  <c r="CW5" i="83"/>
  <c r="CW6" i="83"/>
  <c r="CW80" i="83" s="1"/>
  <c r="CS157" i="90" l="1"/>
  <c r="CS63" i="91"/>
  <c r="CT108" i="83"/>
  <c r="CT109" i="83" s="1"/>
  <c r="CT110" i="83" s="1"/>
  <c r="CT18" i="91" s="1"/>
  <c r="CT63" i="91" s="1"/>
  <c r="CV82" i="83"/>
  <c r="CU89" i="83"/>
  <c r="CU90" i="83" s="1"/>
  <c r="CV107" i="83"/>
  <c r="CV22" i="91"/>
  <c r="CV118" i="83"/>
  <c r="CV44" i="83"/>
  <c r="CV51" i="83" s="1"/>
  <c r="CV55" i="83" s="1"/>
  <c r="CV71" i="93" s="1"/>
  <c r="CV41" i="83"/>
  <c r="CW47" i="83"/>
  <c r="CW117" i="83"/>
  <c r="CW23" i="91" s="1"/>
  <c r="CW116" i="83"/>
  <c r="CW36" i="83"/>
  <c r="CW37" i="83"/>
  <c r="CW100" i="83"/>
  <c r="CW102" i="83" s="1"/>
  <c r="CW104" i="83" s="1"/>
  <c r="CW39" i="83"/>
  <c r="CW45" i="83" s="1"/>
  <c r="CU96" i="83"/>
  <c r="CU97" i="83" s="1"/>
  <c r="CU71" i="93"/>
  <c r="CU77" i="93" s="1"/>
  <c r="CO79" i="91"/>
  <c r="CO80" i="91" s="1"/>
  <c r="CO82" i="91" s="1"/>
  <c r="CW86" i="83"/>
  <c r="CW93" i="83"/>
  <c r="CW94" i="83"/>
  <c r="CW78" i="83"/>
  <c r="CP66" i="91"/>
  <c r="CT78" i="91"/>
  <c r="CT70" i="91"/>
  <c r="CR173" i="90"/>
  <c r="CR174" i="90" s="1"/>
  <c r="CR175" i="90" s="1"/>
  <c r="CS162" i="90"/>
  <c r="CU64" i="83"/>
  <c r="CU65" i="83" s="1"/>
  <c r="CU62" i="91"/>
  <c r="CU149" i="90"/>
  <c r="CU153" i="90" s="1"/>
  <c r="CT160" i="90"/>
  <c r="CT159" i="90"/>
  <c r="CT161" i="90"/>
  <c r="CP11" i="90"/>
  <c r="CQ26" i="91"/>
  <c r="CQ12" i="90"/>
  <c r="CR10" i="91"/>
  <c r="CR73" i="83"/>
  <c r="CR74" i="83" s="1"/>
  <c r="CR15" i="91" s="1"/>
  <c r="CN37" i="90"/>
  <c r="CV30" i="83"/>
  <c r="CV32" i="83" s="1"/>
  <c r="CV21" i="91" s="1"/>
  <c r="CW26" i="83"/>
  <c r="CW29" i="83"/>
  <c r="CW24" i="83"/>
  <c r="CW25" i="83"/>
  <c r="CW27" i="83"/>
  <c r="CW28" i="83"/>
  <c r="CW62" i="83"/>
  <c r="CQ11" i="90"/>
  <c r="CQ64" i="91"/>
  <c r="CQ71" i="91" s="1"/>
  <c r="CQ72" i="91" s="1"/>
  <c r="CQ74" i="91" s="1"/>
  <c r="CW72" i="83"/>
  <c r="CS69" i="83"/>
  <c r="CT68" i="83"/>
  <c r="CT155" i="90" s="1"/>
  <c r="CS85" i="91"/>
  <c r="CS86" i="91" s="1"/>
  <c r="CY133" i="90"/>
  <c r="CP28" i="90"/>
  <c r="CP30" i="90" s="1"/>
  <c r="CO33" i="90"/>
  <c r="CO37" i="90" s="1"/>
  <c r="CT24" i="91"/>
  <c r="CS29" i="90"/>
  <c r="CV17" i="90"/>
  <c r="CV69" i="91" s="1"/>
  <c r="N137" i="90"/>
  <c r="O137" i="90" s="1"/>
  <c r="AJ128" i="90"/>
  <c r="R135" i="90"/>
  <c r="S135" i="90" s="1"/>
  <c r="T135" i="90" s="1"/>
  <c r="AG122" i="90"/>
  <c r="AH122" i="90" s="1"/>
  <c r="AI122" i="90" s="1"/>
  <c r="AJ122" i="90" s="1"/>
  <c r="AK122" i="90" s="1"/>
  <c r="AL122" i="90" s="1"/>
  <c r="AM122" i="90" s="1"/>
  <c r="AN122" i="90" s="1"/>
  <c r="AO122" i="90" s="1"/>
  <c r="AP122" i="90" s="1"/>
  <c r="AQ122" i="90" s="1"/>
  <c r="AR122" i="90" s="1"/>
  <c r="AS122" i="90" s="1"/>
  <c r="AT122" i="90" s="1"/>
  <c r="AU122" i="90" s="1"/>
  <c r="AV122" i="90" s="1"/>
  <c r="AW122" i="90" s="1"/>
  <c r="AX122" i="90" s="1"/>
  <c r="AY122" i="90" s="1"/>
  <c r="AZ122" i="90" s="1"/>
  <c r="BA122" i="90" s="1"/>
  <c r="BB122" i="90" s="1"/>
  <c r="BC122" i="90" s="1"/>
  <c r="BD122" i="90" s="1"/>
  <c r="BE122" i="90" s="1"/>
  <c r="BF122" i="90" s="1"/>
  <c r="BG122" i="90" s="1"/>
  <c r="BH122" i="90" s="1"/>
  <c r="BI122" i="90" s="1"/>
  <c r="BJ122" i="90" s="1"/>
  <c r="BK122" i="90" s="1"/>
  <c r="BL122" i="90" s="1"/>
  <c r="BM122" i="90" s="1"/>
  <c r="BN122" i="90" s="1"/>
  <c r="BO122" i="90" s="1"/>
  <c r="BP122" i="90" s="1"/>
  <c r="BQ122" i="90" s="1"/>
  <c r="BR122" i="90" s="1"/>
  <c r="BS122" i="90" s="1"/>
  <c r="BT122" i="90" s="1"/>
  <c r="BU122" i="90" s="1"/>
  <c r="BV122" i="90" s="1"/>
  <c r="BW122" i="90" s="1"/>
  <c r="BX122" i="90" s="1"/>
  <c r="BY122" i="90" s="1"/>
  <c r="BZ122" i="90" s="1"/>
  <c r="CA122" i="90" s="1"/>
  <c r="CB122" i="90" s="1"/>
  <c r="CC122" i="90" s="1"/>
  <c r="CD122" i="90" s="1"/>
  <c r="CE122" i="90" s="1"/>
  <c r="CF122" i="90" s="1"/>
  <c r="CG122" i="90" s="1"/>
  <c r="CH122" i="90" s="1"/>
  <c r="CI122" i="90" s="1"/>
  <c r="CJ122" i="90" s="1"/>
  <c r="CK122" i="90" s="1"/>
  <c r="CL122" i="90" s="1"/>
  <c r="CM122" i="90" s="1"/>
  <c r="CN122" i="90" s="1"/>
  <c r="CO122" i="90" s="1"/>
  <c r="CP122" i="90" s="1"/>
  <c r="AA127" i="90"/>
  <c r="CX8" i="90"/>
  <c r="CW38" i="90"/>
  <c r="CZ45" i="90"/>
  <c r="K139" i="90"/>
  <c r="L139" i="90" s="1"/>
  <c r="M139" i="90" s="1"/>
  <c r="BG97" i="90"/>
  <c r="CY134" i="90"/>
  <c r="C141" i="90"/>
  <c r="J140" i="90"/>
  <c r="CY129" i="90"/>
  <c r="CY131" i="90"/>
  <c r="R136" i="90"/>
  <c r="S136" i="90" s="1"/>
  <c r="CY130" i="90"/>
  <c r="CY124" i="90"/>
  <c r="CZ124" i="90" s="1"/>
  <c r="DA124" i="90" s="1"/>
  <c r="DB124" i="90" s="1"/>
  <c r="DC124" i="90" s="1"/>
  <c r="DD124" i="90" s="1"/>
  <c r="DE124" i="90" s="1"/>
  <c r="DF124" i="90" s="1"/>
  <c r="DG124" i="90" s="1"/>
  <c r="DH124" i="90" s="1"/>
  <c r="DI124" i="90" s="1"/>
  <c r="DJ124" i="90" s="1"/>
  <c r="DK124" i="90" s="1"/>
  <c r="DL124" i="90" s="1"/>
  <c r="DM124" i="90" s="1"/>
  <c r="CY125" i="90"/>
  <c r="CY132" i="90"/>
  <c r="BM96" i="90"/>
  <c r="M138" i="90"/>
  <c r="BD100" i="90"/>
  <c r="CW87" i="83"/>
  <c r="DA4" i="91"/>
  <c r="CZ6" i="91"/>
  <c r="CZ5" i="91"/>
  <c r="CZ4" i="90"/>
  <c r="E123" i="90" s="1"/>
  <c r="CY6" i="90"/>
  <c r="CY21" i="90" s="1"/>
  <c r="CY5" i="90"/>
  <c r="CW48" i="83"/>
  <c r="CY4" i="83"/>
  <c r="CX6" i="83"/>
  <c r="CX80" i="83" s="1"/>
  <c r="CX5" i="83"/>
  <c r="CT157" i="90" l="1"/>
  <c r="CT14" i="90"/>
  <c r="CU108" i="83"/>
  <c r="CU109" i="83" s="1"/>
  <c r="CU110" i="83" s="1"/>
  <c r="CU18" i="91" s="1"/>
  <c r="CW82" i="83"/>
  <c r="CV89" i="83"/>
  <c r="CV90" i="83" s="1"/>
  <c r="CV96" i="83"/>
  <c r="CV97" i="83" s="1"/>
  <c r="CW107" i="83"/>
  <c r="CW44" i="83"/>
  <c r="CW51" i="83" s="1"/>
  <c r="CW55" i="83" s="1"/>
  <c r="CW41" i="83"/>
  <c r="CV83" i="83"/>
  <c r="CW22" i="91"/>
  <c r="CW118" i="83"/>
  <c r="CX47" i="83"/>
  <c r="CX117" i="83"/>
  <c r="CX23" i="91" s="1"/>
  <c r="CX116" i="83"/>
  <c r="CX36" i="83"/>
  <c r="CX100" i="83"/>
  <c r="CX102" i="83" s="1"/>
  <c r="CX104" i="83" s="1"/>
  <c r="CX39" i="83"/>
  <c r="CX45" i="83" s="1"/>
  <c r="CX37" i="83"/>
  <c r="CP79" i="91"/>
  <c r="CP80" i="91" s="1"/>
  <c r="CP82" i="91" s="1"/>
  <c r="CX86" i="83"/>
  <c r="CX93" i="83"/>
  <c r="CX94" i="83"/>
  <c r="CX78" i="83"/>
  <c r="CQ66" i="91"/>
  <c r="CU78" i="91"/>
  <c r="CU70" i="91"/>
  <c r="CV64" i="83"/>
  <c r="CV65" i="83" s="1"/>
  <c r="CV149" i="90"/>
  <c r="CV153" i="90" s="1"/>
  <c r="CV62" i="91"/>
  <c r="CT162" i="90"/>
  <c r="CU159" i="90"/>
  <c r="CU160" i="90"/>
  <c r="CU161" i="90"/>
  <c r="CV77" i="93"/>
  <c r="CS169" i="90"/>
  <c r="CS170" i="90" s="1"/>
  <c r="CS173" i="90"/>
  <c r="CS174" i="90" s="1"/>
  <c r="CS175" i="90" s="1"/>
  <c r="E124" i="90"/>
  <c r="CR12" i="91"/>
  <c r="CR11" i="90" s="1"/>
  <c r="CR12" i="90"/>
  <c r="CS10" i="91"/>
  <c r="CS12" i="91" s="1"/>
  <c r="CS11" i="90" s="1"/>
  <c r="CS73" i="83"/>
  <c r="CS74" i="83" s="1"/>
  <c r="CS15" i="91" s="1"/>
  <c r="CW30" i="83"/>
  <c r="CW32" i="83" s="1"/>
  <c r="CW21" i="91" s="1"/>
  <c r="CX26" i="83"/>
  <c r="CX29" i="83"/>
  <c r="CX24" i="83"/>
  <c r="CX25" i="83"/>
  <c r="CX27" i="83"/>
  <c r="CX28" i="83"/>
  <c r="CX62" i="83"/>
  <c r="CX72" i="83"/>
  <c r="CU68" i="83"/>
  <c r="CU155" i="90" s="1"/>
  <c r="CT69" i="83"/>
  <c r="CR64" i="91"/>
  <c r="CR71" i="91" s="1"/>
  <c r="CR72" i="91" s="1"/>
  <c r="CR74" i="91" s="1"/>
  <c r="CU24" i="91"/>
  <c r="CU25" i="90" s="1"/>
  <c r="CV24" i="91"/>
  <c r="CT25" i="90"/>
  <c r="CT85" i="91"/>
  <c r="CT86" i="91" s="1"/>
  <c r="CQ28" i="90"/>
  <c r="CQ30" i="90" s="1"/>
  <c r="CP33" i="90"/>
  <c r="CP37" i="90" s="1"/>
  <c r="CW17" i="90"/>
  <c r="CW69" i="91" s="1"/>
  <c r="P137" i="90"/>
  <c r="AK128" i="90"/>
  <c r="CQ122" i="90"/>
  <c r="CR122" i="90" s="1"/>
  <c r="CS122" i="90" s="1"/>
  <c r="CZ125" i="90"/>
  <c r="DA125" i="90" s="1"/>
  <c r="DB125" i="90" s="1"/>
  <c r="DC125" i="90" s="1"/>
  <c r="DD125" i="90" s="1"/>
  <c r="DE125" i="90" s="1"/>
  <c r="DF125" i="90" s="1"/>
  <c r="DG125" i="90" s="1"/>
  <c r="DH125" i="90" s="1"/>
  <c r="DI125" i="90" s="1"/>
  <c r="DJ125" i="90" s="1"/>
  <c r="DK125" i="90" s="1"/>
  <c r="DL125" i="90" s="1"/>
  <c r="DM125" i="90" s="1"/>
  <c r="AB127" i="90"/>
  <c r="CY8" i="90"/>
  <c r="CX38" i="90"/>
  <c r="N139" i="90"/>
  <c r="T136" i="90"/>
  <c r="U136" i="90" s="1"/>
  <c r="E125" i="90"/>
  <c r="BE100" i="90"/>
  <c r="BN96" i="90"/>
  <c r="CZ130" i="90"/>
  <c r="CZ131" i="90"/>
  <c r="C142" i="90"/>
  <c r="J141" i="90"/>
  <c r="CZ134" i="90"/>
  <c r="CZ133" i="90"/>
  <c r="U135" i="90"/>
  <c r="V135" i="90" s="1"/>
  <c r="W135" i="90" s="1"/>
  <c r="X135" i="90" s="1"/>
  <c r="Y135" i="90" s="1"/>
  <c r="Z135" i="90" s="1"/>
  <c r="AA135" i="90" s="1"/>
  <c r="AB135" i="90" s="1"/>
  <c r="AC135" i="90" s="1"/>
  <c r="AD135" i="90" s="1"/>
  <c r="AE135" i="90" s="1"/>
  <c r="AF135" i="90" s="1"/>
  <c r="AG135" i="90" s="1"/>
  <c r="N138" i="90"/>
  <c r="O138" i="90" s="1"/>
  <c r="CZ132" i="90"/>
  <c r="DA132" i="90" s="1"/>
  <c r="CZ129" i="90"/>
  <c r="CZ126" i="90"/>
  <c r="K140" i="90"/>
  <c r="L140" i="90" s="1"/>
  <c r="BH97" i="90"/>
  <c r="DA45" i="90"/>
  <c r="CX87" i="83"/>
  <c r="DA6" i="91"/>
  <c r="DA5" i="91"/>
  <c r="DB4" i="91"/>
  <c r="CZ6" i="90"/>
  <c r="CZ21" i="90" s="1"/>
  <c r="I20" i="93" s="1"/>
  <c r="CZ5" i="90"/>
  <c r="DA4" i="90"/>
  <c r="CX48" i="83"/>
  <c r="CZ4" i="83"/>
  <c r="CY6" i="83"/>
  <c r="CY80" i="83" s="1"/>
  <c r="CY5" i="83"/>
  <c r="CU157" i="90" l="1"/>
  <c r="CX82" i="83"/>
  <c r="CW89" i="83"/>
  <c r="CW90" i="83" s="1"/>
  <c r="CV108" i="83"/>
  <c r="CV109" i="83" s="1"/>
  <c r="CV110" i="83" s="1"/>
  <c r="CV18" i="91" s="1"/>
  <c r="CV63" i="91" s="1"/>
  <c r="CX118" i="83"/>
  <c r="CX22" i="91"/>
  <c r="CW83" i="83"/>
  <c r="CX44" i="83"/>
  <c r="CX51" i="83" s="1"/>
  <c r="CX55" i="83" s="1"/>
  <c r="CX71" i="93" s="1"/>
  <c r="CX41" i="83"/>
  <c r="CW96" i="83"/>
  <c r="CW97" i="83" s="1"/>
  <c r="CY47" i="83"/>
  <c r="CY116" i="83"/>
  <c r="CY36" i="83"/>
  <c r="CY100" i="83"/>
  <c r="CY102" i="83" s="1"/>
  <c r="CY104" i="83" s="1"/>
  <c r="CY37" i="83"/>
  <c r="CY39" i="83"/>
  <c r="CY45" i="83" s="1"/>
  <c r="CY117" i="83"/>
  <c r="CY23" i="91" s="1"/>
  <c r="CX107" i="83"/>
  <c r="CW71" i="93"/>
  <c r="CW77" i="93" s="1"/>
  <c r="CQ79" i="91"/>
  <c r="CQ80" i="91" s="1"/>
  <c r="CQ82" i="91" s="1"/>
  <c r="CY86" i="83"/>
  <c r="CY93" i="83"/>
  <c r="CY94" i="83"/>
  <c r="CY78" i="83"/>
  <c r="CR66" i="91"/>
  <c r="CV78" i="91"/>
  <c r="CV70" i="91"/>
  <c r="CU162" i="90"/>
  <c r="CW64" i="83"/>
  <c r="CW65" i="83" s="1"/>
  <c r="CW149" i="90"/>
  <c r="CW153" i="90" s="1"/>
  <c r="CW62" i="91"/>
  <c r="CT173" i="90"/>
  <c r="CT174" i="90" s="1"/>
  <c r="CT175" i="90" s="1"/>
  <c r="CT169" i="90"/>
  <c r="CT170" i="90" s="1"/>
  <c r="CV161" i="90"/>
  <c r="CV160" i="90"/>
  <c r="CV159" i="90"/>
  <c r="CR26" i="91"/>
  <c r="V136" i="90"/>
  <c r="CS12" i="90"/>
  <c r="CS26" i="91"/>
  <c r="CT10" i="91"/>
  <c r="CT12" i="91" s="1"/>
  <c r="CT11" i="90" s="1"/>
  <c r="CT73" i="83"/>
  <c r="CT74" i="83" s="1"/>
  <c r="CT15" i="91" s="1"/>
  <c r="E126" i="90"/>
  <c r="CY28" i="83"/>
  <c r="CY26" i="83"/>
  <c r="CY27" i="83"/>
  <c r="CY25" i="83"/>
  <c r="CY24" i="83"/>
  <c r="CY29" i="83"/>
  <c r="CX30" i="83"/>
  <c r="CX32" i="83" s="1"/>
  <c r="CX21" i="91" s="1"/>
  <c r="CY62" i="83"/>
  <c r="CY72" i="83"/>
  <c r="CS64" i="91"/>
  <c r="CS71" i="91" s="1"/>
  <c r="CS72" i="91" s="1"/>
  <c r="CS74" i="91" s="1"/>
  <c r="CV68" i="83"/>
  <c r="CV155" i="90" s="1"/>
  <c r="CU69" i="83"/>
  <c r="CU85" i="91"/>
  <c r="CU86" i="91" s="1"/>
  <c r="CV25" i="90"/>
  <c r="CV85" i="91"/>
  <c r="CT29" i="90"/>
  <c r="CU29" i="90"/>
  <c r="CU14" i="90"/>
  <c r="CU63" i="91"/>
  <c r="CR28" i="90"/>
  <c r="CR30" i="90" s="1"/>
  <c r="CQ33" i="90"/>
  <c r="E127" i="90" s="1"/>
  <c r="CW24" i="91"/>
  <c r="CX17" i="90"/>
  <c r="CX69" i="91" s="1"/>
  <c r="Q137" i="90"/>
  <c r="R137" i="90" s="1"/>
  <c r="AL128" i="90"/>
  <c r="P138" i="90"/>
  <c r="Q138" i="90" s="1"/>
  <c r="R138" i="90" s="1"/>
  <c r="S138" i="90" s="1"/>
  <c r="T138" i="90" s="1"/>
  <c r="U138" i="90" s="1"/>
  <c r="CT122" i="90"/>
  <c r="CU122" i="90" s="1"/>
  <c r="CV122" i="90" s="1"/>
  <c r="CW122" i="90" s="1"/>
  <c r="CX122" i="90" s="1"/>
  <c r="CY122" i="90" s="1"/>
  <c r="CZ122" i="90" s="1"/>
  <c r="DA122" i="90" s="1"/>
  <c r="DB122" i="90" s="1"/>
  <c r="DC122" i="90" s="1"/>
  <c r="DD122" i="90" s="1"/>
  <c r="DE122" i="90" s="1"/>
  <c r="DF122" i="90" s="1"/>
  <c r="DG122" i="90" s="1"/>
  <c r="DH122" i="90" s="1"/>
  <c r="DI122" i="90" s="1"/>
  <c r="DJ122" i="90" s="1"/>
  <c r="DK122" i="90" s="1"/>
  <c r="DL122" i="90" s="1"/>
  <c r="DM122" i="90" s="1"/>
  <c r="M140" i="90"/>
  <c r="N140" i="90" s="1"/>
  <c r="O140" i="90" s="1"/>
  <c r="P140" i="90" s="1"/>
  <c r="Q140" i="90" s="1"/>
  <c r="AC127" i="90"/>
  <c r="CZ8" i="90"/>
  <c r="CY38" i="90"/>
  <c r="DB45" i="90"/>
  <c r="DA133" i="90"/>
  <c r="W136" i="90"/>
  <c r="X136" i="90" s="1"/>
  <c r="Y136" i="90" s="1"/>
  <c r="Z136" i="90" s="1"/>
  <c r="AA136" i="90" s="1"/>
  <c r="AB136" i="90" s="1"/>
  <c r="AC136" i="90" s="1"/>
  <c r="AD136" i="90" s="1"/>
  <c r="AE136" i="90" s="1"/>
  <c r="AF136" i="90" s="1"/>
  <c r="AG136" i="90" s="1"/>
  <c r="AH136" i="90" s="1"/>
  <c r="AI136" i="90" s="1"/>
  <c r="AJ136" i="90" s="1"/>
  <c r="AK136" i="90" s="1"/>
  <c r="AL136" i="90" s="1"/>
  <c r="AM136" i="90" s="1"/>
  <c r="AN136" i="90" s="1"/>
  <c r="AO136" i="90" s="1"/>
  <c r="AP136" i="90" s="1"/>
  <c r="AQ136" i="90" s="1"/>
  <c r="AR136" i="90" s="1"/>
  <c r="AS136" i="90" s="1"/>
  <c r="AT136" i="90" s="1"/>
  <c r="AU136" i="90" s="1"/>
  <c r="AV136" i="90" s="1"/>
  <c r="AW136" i="90" s="1"/>
  <c r="AX136" i="90" s="1"/>
  <c r="AY136" i="90" s="1"/>
  <c r="AZ136" i="90" s="1"/>
  <c r="BA136" i="90" s="1"/>
  <c r="BB136" i="90" s="1"/>
  <c r="BC136" i="90" s="1"/>
  <c r="BD136" i="90" s="1"/>
  <c r="BE136" i="90" s="1"/>
  <c r="BF136" i="90" s="1"/>
  <c r="BG136" i="90" s="1"/>
  <c r="BH136" i="90" s="1"/>
  <c r="BI136" i="90" s="1"/>
  <c r="BJ136" i="90" s="1"/>
  <c r="BK136" i="90" s="1"/>
  <c r="BL136" i="90" s="1"/>
  <c r="BM136" i="90" s="1"/>
  <c r="BN136" i="90" s="1"/>
  <c r="BO136" i="90" s="1"/>
  <c r="BP136" i="90" s="1"/>
  <c r="BQ136" i="90" s="1"/>
  <c r="BR136" i="90" s="1"/>
  <c r="BS136" i="90" s="1"/>
  <c r="BT136" i="90" s="1"/>
  <c r="BU136" i="90" s="1"/>
  <c r="BV136" i="90" s="1"/>
  <c r="BW136" i="90" s="1"/>
  <c r="BX136" i="90" s="1"/>
  <c r="BY136" i="90" s="1"/>
  <c r="BZ136" i="90" s="1"/>
  <c r="CA136" i="90" s="1"/>
  <c r="CB136" i="90" s="1"/>
  <c r="CC136" i="90" s="1"/>
  <c r="CD136" i="90" s="1"/>
  <c r="CE136" i="90" s="1"/>
  <c r="CF136" i="90" s="1"/>
  <c r="CG136" i="90" s="1"/>
  <c r="CH136" i="90" s="1"/>
  <c r="CI136" i="90" s="1"/>
  <c r="CJ136" i="90" s="1"/>
  <c r="CK136" i="90" s="1"/>
  <c r="CL136" i="90" s="1"/>
  <c r="CM136" i="90" s="1"/>
  <c r="CN136" i="90" s="1"/>
  <c r="CO136" i="90" s="1"/>
  <c r="CP136" i="90" s="1"/>
  <c r="CQ136" i="90" s="1"/>
  <c r="CR136" i="90" s="1"/>
  <c r="CS136" i="90" s="1"/>
  <c r="CT136" i="90" s="1"/>
  <c r="CU136" i="90" s="1"/>
  <c r="CV136" i="90" s="1"/>
  <c r="CW136" i="90" s="1"/>
  <c r="CX136" i="90" s="1"/>
  <c r="CY136" i="90" s="1"/>
  <c r="CZ136" i="90" s="1"/>
  <c r="DA136" i="90" s="1"/>
  <c r="DB136" i="90" s="1"/>
  <c r="O139" i="90"/>
  <c r="DA129" i="90"/>
  <c r="AH135" i="90"/>
  <c r="AI135" i="90" s="1"/>
  <c r="AJ135" i="90" s="1"/>
  <c r="AK135" i="90" s="1"/>
  <c r="AL135" i="90" s="1"/>
  <c r="AM135" i="90" s="1"/>
  <c r="AN135" i="90" s="1"/>
  <c r="AO135" i="90" s="1"/>
  <c r="AP135" i="90" s="1"/>
  <c r="AQ135" i="90" s="1"/>
  <c r="AR135" i="90" s="1"/>
  <c r="AS135" i="90" s="1"/>
  <c r="AT135" i="90" s="1"/>
  <c r="AU135" i="90" s="1"/>
  <c r="AV135" i="90" s="1"/>
  <c r="AW135" i="90" s="1"/>
  <c r="AX135" i="90" s="1"/>
  <c r="AY135" i="90" s="1"/>
  <c r="AZ135" i="90" s="1"/>
  <c r="BA135" i="90" s="1"/>
  <c r="BB135" i="90" s="1"/>
  <c r="BC135" i="90" s="1"/>
  <c r="BD135" i="90" s="1"/>
  <c r="BE135" i="90" s="1"/>
  <c r="BF135" i="90" s="1"/>
  <c r="BG135" i="90" s="1"/>
  <c r="BH135" i="90" s="1"/>
  <c r="BI135" i="90" s="1"/>
  <c r="BJ135" i="90" s="1"/>
  <c r="BK135" i="90" s="1"/>
  <c r="BL135" i="90" s="1"/>
  <c r="BM135" i="90" s="1"/>
  <c r="BN135" i="90" s="1"/>
  <c r="BO135" i="90" s="1"/>
  <c r="BP135" i="90" s="1"/>
  <c r="BQ135" i="90" s="1"/>
  <c r="BR135" i="90" s="1"/>
  <c r="BS135" i="90" s="1"/>
  <c r="BT135" i="90" s="1"/>
  <c r="BU135" i="90" s="1"/>
  <c r="BV135" i="90" s="1"/>
  <c r="BW135" i="90" s="1"/>
  <c r="BX135" i="90" s="1"/>
  <c r="BY135" i="90" s="1"/>
  <c r="BZ135" i="90" s="1"/>
  <c r="CA135" i="90" s="1"/>
  <c r="CB135" i="90" s="1"/>
  <c r="CC135" i="90" s="1"/>
  <c r="CD135" i="90" s="1"/>
  <c r="CE135" i="90" s="1"/>
  <c r="CF135" i="90" s="1"/>
  <c r="CG135" i="90" s="1"/>
  <c r="CH135" i="90" s="1"/>
  <c r="CI135" i="90" s="1"/>
  <c r="CJ135" i="90" s="1"/>
  <c r="CK135" i="90" s="1"/>
  <c r="CL135" i="90" s="1"/>
  <c r="CM135" i="90" s="1"/>
  <c r="CN135" i="90" s="1"/>
  <c r="CO135" i="90" s="1"/>
  <c r="CP135" i="90" s="1"/>
  <c r="CQ135" i="90" s="1"/>
  <c r="CR135" i="90" s="1"/>
  <c r="CS135" i="90" s="1"/>
  <c r="CT135" i="90" s="1"/>
  <c r="CU135" i="90" s="1"/>
  <c r="CV135" i="90" s="1"/>
  <c r="CW135" i="90" s="1"/>
  <c r="CX135" i="90" s="1"/>
  <c r="CY135" i="90" s="1"/>
  <c r="CZ135" i="90" s="1"/>
  <c r="DA135" i="90" s="1"/>
  <c r="DB135" i="90" s="1"/>
  <c r="J142" i="90"/>
  <c r="C143" i="90"/>
  <c r="BO96" i="90"/>
  <c r="BI97" i="90"/>
  <c r="DA126" i="90"/>
  <c r="DB126" i="90" s="1"/>
  <c r="DC126" i="90" s="1"/>
  <c r="DD126" i="90" s="1"/>
  <c r="DE126" i="90" s="1"/>
  <c r="DF126" i="90" s="1"/>
  <c r="DG126" i="90" s="1"/>
  <c r="DH126" i="90" s="1"/>
  <c r="DI126" i="90" s="1"/>
  <c r="DJ126" i="90" s="1"/>
  <c r="DK126" i="90" s="1"/>
  <c r="DL126" i="90" s="1"/>
  <c r="DM126" i="90" s="1"/>
  <c r="DA134" i="90"/>
  <c r="DA131" i="90"/>
  <c r="K141" i="90"/>
  <c r="L141" i="90" s="1"/>
  <c r="DA130" i="90"/>
  <c r="BF100" i="90"/>
  <c r="CY87" i="83"/>
  <c r="DC4" i="91"/>
  <c r="DB6" i="91"/>
  <c r="DB5" i="91"/>
  <c r="DB4" i="90"/>
  <c r="DA6" i="90"/>
  <c r="DA21" i="90" s="1"/>
  <c r="DA5" i="90"/>
  <c r="DA4" i="83"/>
  <c r="CZ6" i="83"/>
  <c r="CZ80" i="83" s="1"/>
  <c r="CZ5" i="83"/>
  <c r="CY48" i="83"/>
  <c r="CY82" i="83" l="1"/>
  <c r="CV14" i="90"/>
  <c r="CV157" i="90"/>
  <c r="CW108" i="83"/>
  <c r="CW109" i="83" s="1"/>
  <c r="CW110" i="83" s="1"/>
  <c r="CW18" i="91" s="1"/>
  <c r="CW14" i="90" s="1"/>
  <c r="CY118" i="83"/>
  <c r="CY22" i="91"/>
  <c r="CZ47" i="83"/>
  <c r="CZ116" i="83"/>
  <c r="CZ36" i="83"/>
  <c r="CZ37" i="83"/>
  <c r="CZ100" i="83"/>
  <c r="CZ102" i="83" s="1"/>
  <c r="CZ104" i="83" s="1"/>
  <c r="CZ39" i="83"/>
  <c r="CZ45" i="83" s="1"/>
  <c r="CZ117" i="83"/>
  <c r="CZ23" i="91" s="1"/>
  <c r="CX83" i="83"/>
  <c r="CX89" i="83"/>
  <c r="CX90" i="83" s="1"/>
  <c r="CY44" i="83"/>
  <c r="CY51" i="83" s="1"/>
  <c r="CY55" i="83" s="1"/>
  <c r="CY71" i="93" s="1"/>
  <c r="CY41" i="83"/>
  <c r="CX96" i="83"/>
  <c r="CX97" i="83" s="1"/>
  <c r="CY107" i="83"/>
  <c r="CR79" i="91"/>
  <c r="CR80" i="91" s="1"/>
  <c r="CR82" i="91" s="1"/>
  <c r="CZ86" i="83"/>
  <c r="CZ93" i="83"/>
  <c r="CZ94" i="83"/>
  <c r="CZ78" i="83"/>
  <c r="CS66" i="91"/>
  <c r="CV162" i="90"/>
  <c r="CV173" i="90" s="1"/>
  <c r="CV174" i="90" s="1"/>
  <c r="CV175" i="90" s="1"/>
  <c r="CW78" i="91"/>
  <c r="CW70" i="91"/>
  <c r="CX64" i="83"/>
  <c r="CX65" i="83" s="1"/>
  <c r="CX62" i="91"/>
  <c r="CX149" i="90"/>
  <c r="CX153" i="90" s="1"/>
  <c r="CX77" i="93"/>
  <c r="CW161" i="90"/>
  <c r="CW159" i="90"/>
  <c r="CW160" i="90"/>
  <c r="CU173" i="90"/>
  <c r="CU174" i="90" s="1"/>
  <c r="CU175" i="90" s="1"/>
  <c r="CU169" i="90"/>
  <c r="CU170" i="90" s="1"/>
  <c r="CT12" i="90"/>
  <c r="CT26" i="91"/>
  <c r="CU10" i="91"/>
  <c r="CU12" i="91" s="1"/>
  <c r="CU73" i="83"/>
  <c r="CU74" i="83" s="1"/>
  <c r="CU15" i="91" s="1"/>
  <c r="CZ25" i="83"/>
  <c r="CZ28" i="83"/>
  <c r="CZ24" i="83"/>
  <c r="CZ27" i="83"/>
  <c r="CZ29" i="83"/>
  <c r="CZ26" i="83"/>
  <c r="CY30" i="83"/>
  <c r="CY32" i="83" s="1"/>
  <c r="CY21" i="91" s="1"/>
  <c r="CZ62" i="83"/>
  <c r="CT64" i="91"/>
  <c r="CT71" i="91" s="1"/>
  <c r="CT72" i="91" s="1"/>
  <c r="CT74" i="91" s="1"/>
  <c r="CZ72" i="83"/>
  <c r="CV69" i="83"/>
  <c r="CW68" i="83"/>
  <c r="CW155" i="90" s="1"/>
  <c r="CV86" i="91"/>
  <c r="CW25" i="90"/>
  <c r="CW85" i="91"/>
  <c r="CV29" i="90"/>
  <c r="CQ37" i="90"/>
  <c r="CS28" i="90"/>
  <c r="CS30" i="90" s="1"/>
  <c r="CR33" i="90"/>
  <c r="E128" i="90" s="1"/>
  <c r="CY17" i="90"/>
  <c r="CY69" i="91" s="1"/>
  <c r="DB134" i="90"/>
  <c r="V138" i="90"/>
  <c r="W138" i="90" s="1"/>
  <c r="S137" i="90"/>
  <c r="T137" i="90" s="1"/>
  <c r="U137" i="90" s="1"/>
  <c r="V137" i="90" s="1"/>
  <c r="W137" i="90" s="1"/>
  <c r="X137" i="90" s="1"/>
  <c r="Y137" i="90" s="1"/>
  <c r="Z137" i="90" s="1"/>
  <c r="AA137" i="90" s="1"/>
  <c r="AB137" i="90" s="1"/>
  <c r="AC137" i="90" s="1"/>
  <c r="AD137" i="90" s="1"/>
  <c r="AE137" i="90" s="1"/>
  <c r="AF137" i="90" s="1"/>
  <c r="AG137" i="90" s="1"/>
  <c r="AH137" i="90" s="1"/>
  <c r="AI137" i="90" s="1"/>
  <c r="AJ137" i="90" s="1"/>
  <c r="AK137" i="90" s="1"/>
  <c r="AL137" i="90" s="1"/>
  <c r="AM137" i="90" s="1"/>
  <c r="AN137" i="90" s="1"/>
  <c r="AO137" i="90" s="1"/>
  <c r="AP137" i="90" s="1"/>
  <c r="AQ137" i="90" s="1"/>
  <c r="AR137" i="90" s="1"/>
  <c r="AS137" i="90" s="1"/>
  <c r="AT137" i="90" s="1"/>
  <c r="AU137" i="90" s="1"/>
  <c r="AV137" i="90" s="1"/>
  <c r="AW137" i="90" s="1"/>
  <c r="AX137" i="90" s="1"/>
  <c r="AY137" i="90" s="1"/>
  <c r="AZ137" i="90" s="1"/>
  <c r="BA137" i="90" s="1"/>
  <c r="BB137" i="90" s="1"/>
  <c r="BC137" i="90" s="1"/>
  <c r="BD137" i="90" s="1"/>
  <c r="BE137" i="90" s="1"/>
  <c r="BF137" i="90" s="1"/>
  <c r="BG137" i="90" s="1"/>
  <c r="BH137" i="90" s="1"/>
  <c r="BI137" i="90" s="1"/>
  <c r="BJ137" i="90" s="1"/>
  <c r="BK137" i="90" s="1"/>
  <c r="BL137" i="90" s="1"/>
  <c r="BM137" i="90" s="1"/>
  <c r="BN137" i="90" s="1"/>
  <c r="BO137" i="90" s="1"/>
  <c r="BP137" i="90" s="1"/>
  <c r="BQ137" i="90" s="1"/>
  <c r="BR137" i="90" s="1"/>
  <c r="BS137" i="90" s="1"/>
  <c r="BT137" i="90" s="1"/>
  <c r="BU137" i="90" s="1"/>
  <c r="BV137" i="90" s="1"/>
  <c r="BW137" i="90" s="1"/>
  <c r="BX137" i="90" s="1"/>
  <c r="BY137" i="90" s="1"/>
  <c r="BZ137" i="90" s="1"/>
  <c r="CA137" i="90" s="1"/>
  <c r="CB137" i="90" s="1"/>
  <c r="CC137" i="90" s="1"/>
  <c r="CD137" i="90" s="1"/>
  <c r="CE137" i="90" s="1"/>
  <c r="CF137" i="90" s="1"/>
  <c r="CG137" i="90" s="1"/>
  <c r="CH137" i="90" s="1"/>
  <c r="CI137" i="90" s="1"/>
  <c r="CJ137" i="90" s="1"/>
  <c r="CK137" i="90" s="1"/>
  <c r="CL137" i="90" s="1"/>
  <c r="CM137" i="90" s="1"/>
  <c r="CN137" i="90" s="1"/>
  <c r="CO137" i="90" s="1"/>
  <c r="CP137" i="90" s="1"/>
  <c r="CQ137" i="90" s="1"/>
  <c r="CR137" i="90" s="1"/>
  <c r="CS137" i="90" s="1"/>
  <c r="CT137" i="90" s="1"/>
  <c r="CU137" i="90" s="1"/>
  <c r="CV137" i="90" s="1"/>
  <c r="CW137" i="90" s="1"/>
  <c r="CX137" i="90" s="1"/>
  <c r="CY137" i="90" s="1"/>
  <c r="CZ137" i="90" s="1"/>
  <c r="AM128" i="90"/>
  <c r="DB130" i="90"/>
  <c r="R140" i="90"/>
  <c r="S140" i="90" s="1"/>
  <c r="T140" i="90" s="1"/>
  <c r="U140" i="90" s="1"/>
  <c r="AD127" i="90"/>
  <c r="DA8" i="90"/>
  <c r="CZ38" i="90"/>
  <c r="K142" i="90"/>
  <c r="L142" i="90" s="1"/>
  <c r="DC45" i="90"/>
  <c r="M141" i="90"/>
  <c r="N141" i="90" s="1"/>
  <c r="BJ97" i="90"/>
  <c r="P139" i="90"/>
  <c r="DB133" i="90"/>
  <c r="DB132" i="90"/>
  <c r="BP96" i="90"/>
  <c r="BG100" i="90"/>
  <c r="DB131" i="90"/>
  <c r="C144" i="90"/>
  <c r="J143" i="90"/>
  <c r="DB129" i="90"/>
  <c r="CZ87" i="83"/>
  <c r="DD4" i="91"/>
  <c r="DC6" i="91"/>
  <c r="DC5" i="91"/>
  <c r="DC4" i="90"/>
  <c r="DC136" i="90" s="1"/>
  <c r="DB6" i="90"/>
  <c r="DB21" i="90" s="1"/>
  <c r="DB5" i="90"/>
  <c r="CZ48" i="83"/>
  <c r="DB4" i="83"/>
  <c r="DA5" i="83"/>
  <c r="DA6" i="83"/>
  <c r="DA80" i="83" s="1"/>
  <c r="CW157" i="90" l="1"/>
  <c r="CW63" i="91"/>
  <c r="CZ82" i="83"/>
  <c r="CY89" i="83"/>
  <c r="CY90" i="83" s="1"/>
  <c r="CX108" i="83"/>
  <c r="CX109" i="83" s="1"/>
  <c r="CX110" i="83" s="1"/>
  <c r="CX18" i="91" s="1"/>
  <c r="CX14" i="90" s="1"/>
  <c r="CZ118" i="83"/>
  <c r="CZ22" i="91"/>
  <c r="CY83" i="83"/>
  <c r="DA47" i="83"/>
  <c r="DA116" i="83"/>
  <c r="DA37" i="83"/>
  <c r="DA100" i="83"/>
  <c r="DA102" i="83" s="1"/>
  <c r="DA104" i="83" s="1"/>
  <c r="DA117" i="83"/>
  <c r="DA23" i="91" s="1"/>
  <c r="DA39" i="83"/>
  <c r="DA45" i="83" s="1"/>
  <c r="DA36" i="83"/>
  <c r="CZ107" i="83"/>
  <c r="CZ44" i="83"/>
  <c r="CZ51" i="83" s="1"/>
  <c r="CZ55" i="83" s="1"/>
  <c r="CZ71" i="93" s="1"/>
  <c r="CZ41" i="83"/>
  <c r="CY96" i="83"/>
  <c r="CY97" i="83" s="1"/>
  <c r="CS79" i="91"/>
  <c r="CS80" i="91" s="1"/>
  <c r="CS82" i="91" s="1"/>
  <c r="DA86" i="83"/>
  <c r="DA93" i="83"/>
  <c r="CV169" i="90"/>
  <c r="CV170" i="90" s="1"/>
  <c r="DA94" i="83"/>
  <c r="DA78" i="83"/>
  <c r="CT66" i="91"/>
  <c r="CX78" i="91"/>
  <c r="CX70" i="91"/>
  <c r="CY64" i="83"/>
  <c r="CY65" i="83" s="1"/>
  <c r="CY62" i="91"/>
  <c r="CY149" i="90"/>
  <c r="CY153" i="90" s="1"/>
  <c r="CW162" i="90"/>
  <c r="CY77" i="93"/>
  <c r="CX160" i="90"/>
  <c r="CX161" i="90"/>
  <c r="CX159" i="90"/>
  <c r="CU12" i="90"/>
  <c r="CV10" i="91"/>
  <c r="CV73" i="83"/>
  <c r="CV74" i="83" s="1"/>
  <c r="CV15" i="91" s="1"/>
  <c r="CZ30" i="83"/>
  <c r="CZ32" i="83" s="1"/>
  <c r="CZ21" i="91" s="1"/>
  <c r="DA25" i="83"/>
  <c r="DA28" i="83"/>
  <c r="DA24" i="83"/>
  <c r="DA27" i="83"/>
  <c r="DA26" i="83"/>
  <c r="DA29" i="83"/>
  <c r="DA62" i="83"/>
  <c r="CW69" i="83"/>
  <c r="CU11" i="90"/>
  <c r="CU26" i="91"/>
  <c r="DA72" i="83"/>
  <c r="CX68" i="83"/>
  <c r="CX155" i="90" s="1"/>
  <c r="CU64" i="91"/>
  <c r="CU71" i="91" s="1"/>
  <c r="CU72" i="91" s="1"/>
  <c r="CU74" i="91" s="1"/>
  <c r="CW86" i="91"/>
  <c r="CX24" i="91"/>
  <c r="CX25" i="90" s="1"/>
  <c r="CT28" i="90"/>
  <c r="CT30" i="90" s="1"/>
  <c r="CS33" i="90"/>
  <c r="E129" i="90" s="1"/>
  <c r="CW29" i="90"/>
  <c r="CY24" i="91"/>
  <c r="CR37" i="90"/>
  <c r="CZ17" i="90"/>
  <c r="CZ69" i="91" s="1"/>
  <c r="X138" i="90"/>
  <c r="DA137" i="90"/>
  <c r="DB137" i="90" s="1"/>
  <c r="DC137" i="90" s="1"/>
  <c r="AN128" i="90"/>
  <c r="AE127" i="90"/>
  <c r="DC129" i="90"/>
  <c r="DC131" i="90"/>
  <c r="DC132" i="90"/>
  <c r="DB8" i="90"/>
  <c r="DA38" i="90"/>
  <c r="DC134" i="90"/>
  <c r="Q139" i="90"/>
  <c r="R139" i="90" s="1"/>
  <c r="DC130" i="90"/>
  <c r="K143" i="90"/>
  <c r="L143" i="90" s="1"/>
  <c r="V140" i="90"/>
  <c r="W140" i="90" s="1"/>
  <c r="BH100" i="90"/>
  <c r="J144" i="90"/>
  <c r="DC133" i="90"/>
  <c r="DD133" i="90" s="1"/>
  <c r="BK97" i="90"/>
  <c r="DC135" i="90"/>
  <c r="M142" i="90"/>
  <c r="BQ96" i="90"/>
  <c r="DD45" i="90"/>
  <c r="O141" i="90"/>
  <c r="DA87" i="83"/>
  <c r="DE4" i="91"/>
  <c r="DD6" i="91"/>
  <c r="DD5" i="91"/>
  <c r="DD4" i="90"/>
  <c r="DD136" i="90" s="1"/>
  <c r="DC6" i="90"/>
  <c r="DC21" i="90" s="1"/>
  <c r="DC5" i="90"/>
  <c r="DA48" i="83"/>
  <c r="DC4" i="83"/>
  <c r="DB6" i="83"/>
  <c r="DB80" i="83" s="1"/>
  <c r="DB5" i="83"/>
  <c r="CX157" i="90" l="1"/>
  <c r="CZ89" i="83"/>
  <c r="CZ90" i="83" s="1"/>
  <c r="DA82" i="83"/>
  <c r="CX63" i="91"/>
  <c r="CY108" i="83"/>
  <c r="CY109" i="83" s="1"/>
  <c r="CY110" i="83" s="1"/>
  <c r="CY18" i="91" s="1"/>
  <c r="DA44" i="83"/>
  <c r="DA51" i="83" s="1"/>
  <c r="DA55" i="83" s="1"/>
  <c r="DA71" i="93" s="1"/>
  <c r="DA41" i="83"/>
  <c r="DA22" i="91"/>
  <c r="DA118" i="83"/>
  <c r="DB47" i="83"/>
  <c r="DB37" i="83"/>
  <c r="DB100" i="83"/>
  <c r="DB102" i="83" s="1"/>
  <c r="DB104" i="83" s="1"/>
  <c r="DB39" i="83"/>
  <c r="DB45" i="83" s="1"/>
  <c r="DB117" i="83"/>
  <c r="DB23" i="91" s="1"/>
  <c r="DB116" i="83"/>
  <c r="DB36" i="83"/>
  <c r="CZ96" i="83"/>
  <c r="CZ97" i="83" s="1"/>
  <c r="CZ83" i="83"/>
  <c r="DA107" i="83"/>
  <c r="CT79" i="91"/>
  <c r="CT80" i="91" s="1"/>
  <c r="CT82" i="91" s="1"/>
  <c r="DB86" i="83"/>
  <c r="DB93" i="83"/>
  <c r="DB94" i="83"/>
  <c r="DB78" i="83"/>
  <c r="CU66" i="91"/>
  <c r="CY78" i="91"/>
  <c r="CY70" i="91"/>
  <c r="CX162" i="90"/>
  <c r="CX169" i="90" s="1"/>
  <c r="CX170" i="90" s="1"/>
  <c r="CZ64" i="83"/>
  <c r="CZ65" i="83" s="1"/>
  <c r="CZ62" i="91"/>
  <c r="CZ149" i="90"/>
  <c r="CZ153" i="90" s="1"/>
  <c r="CZ77" i="93"/>
  <c r="CW173" i="90"/>
  <c r="CW174" i="90" s="1"/>
  <c r="CW175" i="90" s="1"/>
  <c r="CW169" i="90"/>
  <c r="CW170" i="90" s="1"/>
  <c r="CY159" i="90"/>
  <c r="CY160" i="90"/>
  <c r="CY161" i="90"/>
  <c r="CV64" i="91"/>
  <c r="CV71" i="91" s="1"/>
  <c r="CV72" i="91" s="1"/>
  <c r="CV74" i="91" s="1"/>
  <c r="CW10" i="91"/>
  <c r="CW12" i="91" s="1"/>
  <c r="CW11" i="90" s="1"/>
  <c r="CW73" i="83"/>
  <c r="CW74" i="83" s="1"/>
  <c r="CW15" i="91" s="1"/>
  <c r="CV12" i="90"/>
  <c r="CV12" i="91"/>
  <c r="CV26" i="91" s="1"/>
  <c r="DA30" i="83"/>
  <c r="DA32" i="83" s="1"/>
  <c r="DA21" i="91" s="1"/>
  <c r="DB27" i="83"/>
  <c r="DB25" i="83"/>
  <c r="DB26" i="83"/>
  <c r="DB28" i="83"/>
  <c r="DB24" i="83"/>
  <c r="DB29" i="83"/>
  <c r="DB62" i="83"/>
  <c r="DB72" i="83"/>
  <c r="CY68" i="83"/>
  <c r="CY155" i="90" s="1"/>
  <c r="CX69" i="83"/>
  <c r="CX85" i="91"/>
  <c r="CX86" i="91" s="1"/>
  <c r="CY25" i="90"/>
  <c r="CY85" i="91"/>
  <c r="CX29" i="90"/>
  <c r="CS37" i="90"/>
  <c r="CU28" i="90"/>
  <c r="CU30" i="90" s="1"/>
  <c r="CT33" i="90"/>
  <c r="E130" i="90" s="1"/>
  <c r="DD137" i="90"/>
  <c r="DA17" i="90"/>
  <c r="DA69" i="91" s="1"/>
  <c r="Y138" i="90"/>
  <c r="Z138" i="90" s="1"/>
  <c r="AO128" i="90"/>
  <c r="X140" i="90"/>
  <c r="Y140" i="90" s="1"/>
  <c r="Z140" i="90" s="1"/>
  <c r="AA140" i="90" s="1"/>
  <c r="AB140" i="90" s="1"/>
  <c r="AC140" i="90" s="1"/>
  <c r="AD140" i="90" s="1"/>
  <c r="AE140" i="90" s="1"/>
  <c r="AF140" i="90" s="1"/>
  <c r="AG140" i="90" s="1"/>
  <c r="AH140" i="90" s="1"/>
  <c r="AI140" i="90" s="1"/>
  <c r="AJ140" i="90" s="1"/>
  <c r="AK140" i="90" s="1"/>
  <c r="AL140" i="90" s="1"/>
  <c r="AM140" i="90" s="1"/>
  <c r="AN140" i="90" s="1"/>
  <c r="AO140" i="90" s="1"/>
  <c r="AP140" i="90" s="1"/>
  <c r="AQ140" i="90" s="1"/>
  <c r="AR140" i="90" s="1"/>
  <c r="AS140" i="90" s="1"/>
  <c r="AT140" i="90" s="1"/>
  <c r="AU140" i="90" s="1"/>
  <c r="AV140" i="90" s="1"/>
  <c r="AW140" i="90" s="1"/>
  <c r="AX140" i="90" s="1"/>
  <c r="AY140" i="90" s="1"/>
  <c r="AZ140" i="90" s="1"/>
  <c r="BA140" i="90" s="1"/>
  <c r="BB140" i="90" s="1"/>
  <c r="BC140" i="90" s="1"/>
  <c r="BD140" i="90" s="1"/>
  <c r="BE140" i="90" s="1"/>
  <c r="BF140" i="90" s="1"/>
  <c r="BG140" i="90" s="1"/>
  <c r="BH140" i="90" s="1"/>
  <c r="BI140" i="90" s="1"/>
  <c r="BJ140" i="90" s="1"/>
  <c r="BK140" i="90" s="1"/>
  <c r="BL140" i="90" s="1"/>
  <c r="BM140" i="90" s="1"/>
  <c r="BN140" i="90" s="1"/>
  <c r="BO140" i="90" s="1"/>
  <c r="BP140" i="90" s="1"/>
  <c r="BQ140" i="90" s="1"/>
  <c r="BR140" i="90" s="1"/>
  <c r="BS140" i="90" s="1"/>
  <c r="BT140" i="90" s="1"/>
  <c r="BU140" i="90" s="1"/>
  <c r="BV140" i="90" s="1"/>
  <c r="BW140" i="90" s="1"/>
  <c r="BX140" i="90" s="1"/>
  <c r="BY140" i="90" s="1"/>
  <c r="BZ140" i="90" s="1"/>
  <c r="CA140" i="90" s="1"/>
  <c r="CB140" i="90" s="1"/>
  <c r="CC140" i="90" s="1"/>
  <c r="CD140" i="90" s="1"/>
  <c r="CE140" i="90" s="1"/>
  <c r="CF140" i="90" s="1"/>
  <c r="CG140" i="90" s="1"/>
  <c r="CH140" i="90" s="1"/>
  <c r="CI140" i="90" s="1"/>
  <c r="CJ140" i="90" s="1"/>
  <c r="CK140" i="90" s="1"/>
  <c r="CL140" i="90" s="1"/>
  <c r="CM140" i="90" s="1"/>
  <c r="CN140" i="90" s="1"/>
  <c r="CO140" i="90" s="1"/>
  <c r="CP140" i="90" s="1"/>
  <c r="CQ140" i="90" s="1"/>
  <c r="CR140" i="90" s="1"/>
  <c r="CS140" i="90" s="1"/>
  <c r="CT140" i="90" s="1"/>
  <c r="CU140" i="90" s="1"/>
  <c r="CV140" i="90" s="1"/>
  <c r="CW140" i="90" s="1"/>
  <c r="CX140" i="90" s="1"/>
  <c r="CY140" i="90" s="1"/>
  <c r="CZ140" i="90" s="1"/>
  <c r="DA140" i="90" s="1"/>
  <c r="DB140" i="90" s="1"/>
  <c r="DC140" i="90" s="1"/>
  <c r="DD140" i="90" s="1"/>
  <c r="S139" i="90"/>
  <c r="T139" i="90" s="1"/>
  <c r="U139" i="90" s="1"/>
  <c r="V139" i="90" s="1"/>
  <c r="W139" i="90" s="1"/>
  <c r="X139" i="90" s="1"/>
  <c r="Y139" i="90" s="1"/>
  <c r="Z139" i="90" s="1"/>
  <c r="AA139" i="90" s="1"/>
  <c r="AB139" i="90" s="1"/>
  <c r="AC139" i="90" s="1"/>
  <c r="AD139" i="90" s="1"/>
  <c r="AE139" i="90" s="1"/>
  <c r="AF139" i="90" s="1"/>
  <c r="AG139" i="90" s="1"/>
  <c r="AH139" i="90" s="1"/>
  <c r="AI139" i="90" s="1"/>
  <c r="AJ139" i="90" s="1"/>
  <c r="AK139" i="90" s="1"/>
  <c r="AL139" i="90" s="1"/>
  <c r="AM139" i="90" s="1"/>
  <c r="AN139" i="90" s="1"/>
  <c r="AO139" i="90" s="1"/>
  <c r="AP139" i="90" s="1"/>
  <c r="AQ139" i="90" s="1"/>
  <c r="AR139" i="90" s="1"/>
  <c r="AS139" i="90" s="1"/>
  <c r="AT139" i="90" s="1"/>
  <c r="AU139" i="90" s="1"/>
  <c r="AV139" i="90" s="1"/>
  <c r="AW139" i="90" s="1"/>
  <c r="AX139" i="90" s="1"/>
  <c r="AY139" i="90" s="1"/>
  <c r="AZ139" i="90" s="1"/>
  <c r="BA139" i="90" s="1"/>
  <c r="BB139" i="90" s="1"/>
  <c r="BC139" i="90" s="1"/>
  <c r="BD139" i="90" s="1"/>
  <c r="BE139" i="90" s="1"/>
  <c r="BF139" i="90" s="1"/>
  <c r="BG139" i="90" s="1"/>
  <c r="BH139" i="90" s="1"/>
  <c r="BI139" i="90" s="1"/>
  <c r="BJ139" i="90" s="1"/>
  <c r="BK139" i="90" s="1"/>
  <c r="BL139" i="90" s="1"/>
  <c r="BM139" i="90" s="1"/>
  <c r="BN139" i="90" s="1"/>
  <c r="BO139" i="90" s="1"/>
  <c r="BP139" i="90" s="1"/>
  <c r="BQ139" i="90" s="1"/>
  <c r="BR139" i="90" s="1"/>
  <c r="BS139" i="90" s="1"/>
  <c r="BT139" i="90" s="1"/>
  <c r="BU139" i="90" s="1"/>
  <c r="BV139" i="90" s="1"/>
  <c r="BW139" i="90" s="1"/>
  <c r="BX139" i="90" s="1"/>
  <c r="BY139" i="90" s="1"/>
  <c r="BZ139" i="90" s="1"/>
  <c r="CA139" i="90" s="1"/>
  <c r="CB139" i="90" s="1"/>
  <c r="CC139" i="90" s="1"/>
  <c r="CD139" i="90" s="1"/>
  <c r="CE139" i="90" s="1"/>
  <c r="CF139" i="90" s="1"/>
  <c r="CG139" i="90" s="1"/>
  <c r="CH139" i="90" s="1"/>
  <c r="CI139" i="90" s="1"/>
  <c r="CJ139" i="90" s="1"/>
  <c r="CK139" i="90" s="1"/>
  <c r="CL139" i="90" s="1"/>
  <c r="CM139" i="90" s="1"/>
  <c r="CN139" i="90" s="1"/>
  <c r="CO139" i="90" s="1"/>
  <c r="CP139" i="90" s="1"/>
  <c r="CQ139" i="90" s="1"/>
  <c r="CR139" i="90" s="1"/>
  <c r="CS139" i="90" s="1"/>
  <c r="CT139" i="90" s="1"/>
  <c r="CU139" i="90" s="1"/>
  <c r="CV139" i="90" s="1"/>
  <c r="CW139" i="90" s="1"/>
  <c r="CX139" i="90" s="1"/>
  <c r="CY139" i="90" s="1"/>
  <c r="CZ139" i="90" s="1"/>
  <c r="DA139" i="90" s="1"/>
  <c r="DB139" i="90" s="1"/>
  <c r="DC139" i="90" s="1"/>
  <c r="DD139" i="90" s="1"/>
  <c r="DD135" i="90"/>
  <c r="AF127" i="90"/>
  <c r="DC8" i="90"/>
  <c r="DB38" i="90"/>
  <c r="BI100" i="90"/>
  <c r="DD134" i="90"/>
  <c r="DE45" i="90"/>
  <c r="BR96" i="90"/>
  <c r="N142" i="90"/>
  <c r="O142" i="90" s="1"/>
  <c r="BL97" i="90"/>
  <c r="K144" i="90"/>
  <c r="DD130" i="90"/>
  <c r="DD132" i="90"/>
  <c r="P141" i="90"/>
  <c r="DD129" i="90"/>
  <c r="DE129" i="90" s="1"/>
  <c r="DF129" i="90" s="1"/>
  <c r="DG129" i="90" s="1"/>
  <c r="DH129" i="90" s="1"/>
  <c r="DI129" i="90" s="1"/>
  <c r="DJ129" i="90" s="1"/>
  <c r="DK129" i="90" s="1"/>
  <c r="DL129" i="90" s="1"/>
  <c r="DM129" i="90" s="1"/>
  <c r="M143" i="90"/>
  <c r="DD131" i="90"/>
  <c r="DB87" i="83"/>
  <c r="DE6" i="91"/>
  <c r="DE5" i="91"/>
  <c r="DF4" i="91"/>
  <c r="DD6" i="90"/>
  <c r="DD21" i="90" s="1"/>
  <c r="DD5" i="90"/>
  <c r="DE4" i="90"/>
  <c r="DE136" i="90" s="1"/>
  <c r="DB48" i="83"/>
  <c r="DD4" i="83"/>
  <c r="DC6" i="83"/>
  <c r="DC80" i="83" s="1"/>
  <c r="DC5" i="83"/>
  <c r="DA89" i="83" l="1"/>
  <c r="DA90" i="83" s="1"/>
  <c r="CY157" i="90"/>
  <c r="DA96" i="83"/>
  <c r="DA97" i="83" s="1"/>
  <c r="DB82" i="83"/>
  <c r="CZ108" i="83"/>
  <c r="CZ109" i="83" s="1"/>
  <c r="CZ110" i="83" s="1"/>
  <c r="CZ18" i="91" s="1"/>
  <c r="DA83" i="83"/>
  <c r="DC47" i="83"/>
  <c r="DC37" i="83"/>
  <c r="DC100" i="83"/>
  <c r="DC102" i="83" s="1"/>
  <c r="DC104" i="83" s="1"/>
  <c r="DC39" i="83"/>
  <c r="DC45" i="83" s="1"/>
  <c r="DC117" i="83"/>
  <c r="DC23" i="91" s="1"/>
  <c r="DC116" i="83"/>
  <c r="DC36" i="83"/>
  <c r="DB44" i="83"/>
  <c r="DB51" i="83" s="1"/>
  <c r="DB55" i="83" s="1"/>
  <c r="DB41" i="83"/>
  <c r="DB22" i="91"/>
  <c r="DB118" i="83"/>
  <c r="DB107" i="83"/>
  <c r="CU79" i="91"/>
  <c r="CU80" i="91" s="1"/>
  <c r="CU82" i="91" s="1"/>
  <c r="DC86" i="83"/>
  <c r="DC93" i="83"/>
  <c r="DC94" i="83"/>
  <c r="DC78" i="83"/>
  <c r="CV66" i="91"/>
  <c r="CZ70" i="91"/>
  <c r="CZ78" i="91"/>
  <c r="CX173" i="90"/>
  <c r="CX174" i="90" s="1"/>
  <c r="CX175" i="90" s="1"/>
  <c r="CY162" i="90"/>
  <c r="DA64" i="83"/>
  <c r="DA65" i="83" s="1"/>
  <c r="DA62" i="91"/>
  <c r="DA149" i="90"/>
  <c r="DA153" i="90" s="1"/>
  <c r="CZ159" i="90"/>
  <c r="CZ161" i="90"/>
  <c r="CZ160" i="90"/>
  <c r="DA77" i="93"/>
  <c r="CV11" i="90"/>
  <c r="CW12" i="90"/>
  <c r="CX10" i="91"/>
  <c r="CX73" i="83"/>
  <c r="CX74" i="83" s="1"/>
  <c r="CX15" i="91" s="1"/>
  <c r="CW26" i="91"/>
  <c r="DC24" i="83"/>
  <c r="DC27" i="83"/>
  <c r="DC26" i="83"/>
  <c r="DC29" i="83"/>
  <c r="DC25" i="83"/>
  <c r="DC28" i="83"/>
  <c r="DB30" i="83"/>
  <c r="DB32" i="83" s="1"/>
  <c r="DB21" i="91" s="1"/>
  <c r="DC62" i="83"/>
  <c r="CY69" i="83"/>
  <c r="DC72" i="83"/>
  <c r="CW64" i="91"/>
  <c r="CW71" i="91" s="1"/>
  <c r="CW72" i="91" s="1"/>
  <c r="CW74" i="91" s="1"/>
  <c r="CY86" i="91"/>
  <c r="DE140" i="90"/>
  <c r="DE139" i="90"/>
  <c r="CT37" i="90"/>
  <c r="CV28" i="90"/>
  <c r="CV30" i="90" s="1"/>
  <c r="CU33" i="90"/>
  <c r="E131" i="90" s="1"/>
  <c r="CY14" i="90"/>
  <c r="CY63" i="91"/>
  <c r="CZ24" i="91"/>
  <c r="CY29" i="90"/>
  <c r="DB17" i="90"/>
  <c r="DB69" i="91" s="1"/>
  <c r="AA138" i="90"/>
  <c r="AP128" i="90"/>
  <c r="DE135" i="90"/>
  <c r="AG127" i="90"/>
  <c r="AH127" i="90" s="1"/>
  <c r="AI127" i="90" s="1"/>
  <c r="AJ127" i="90" s="1"/>
  <c r="AK127" i="90" s="1"/>
  <c r="AL127" i="90" s="1"/>
  <c r="AM127" i="90" s="1"/>
  <c r="AN127" i="90" s="1"/>
  <c r="AO127" i="90" s="1"/>
  <c r="AP127" i="90" s="1"/>
  <c r="AQ127" i="90" s="1"/>
  <c r="AR127" i="90" s="1"/>
  <c r="AS127" i="90" s="1"/>
  <c r="AT127" i="90" s="1"/>
  <c r="AU127" i="90" s="1"/>
  <c r="AV127" i="90" s="1"/>
  <c r="AW127" i="90" s="1"/>
  <c r="AX127" i="90" s="1"/>
  <c r="AY127" i="90" s="1"/>
  <c r="AZ127" i="90" s="1"/>
  <c r="BA127" i="90" s="1"/>
  <c r="BB127" i="90" s="1"/>
  <c r="BC127" i="90" s="1"/>
  <c r="BD127" i="90" s="1"/>
  <c r="BE127" i="90" s="1"/>
  <c r="BF127" i="90" s="1"/>
  <c r="BG127" i="90" s="1"/>
  <c r="BH127" i="90" s="1"/>
  <c r="BI127" i="90" s="1"/>
  <c r="BJ127" i="90" s="1"/>
  <c r="BK127" i="90" s="1"/>
  <c r="BL127" i="90" s="1"/>
  <c r="BM127" i="90" s="1"/>
  <c r="BN127" i="90" s="1"/>
  <c r="BO127" i="90" s="1"/>
  <c r="BP127" i="90" s="1"/>
  <c r="BQ127" i="90" s="1"/>
  <c r="BR127" i="90" s="1"/>
  <c r="BS127" i="90" s="1"/>
  <c r="BT127" i="90" s="1"/>
  <c r="BU127" i="90" s="1"/>
  <c r="BV127" i="90" s="1"/>
  <c r="BW127" i="90" s="1"/>
  <c r="BX127" i="90" s="1"/>
  <c r="BY127" i="90" s="1"/>
  <c r="BZ127" i="90" s="1"/>
  <c r="CA127" i="90" s="1"/>
  <c r="CB127" i="90" s="1"/>
  <c r="CC127" i="90" s="1"/>
  <c r="CD127" i="90" s="1"/>
  <c r="CE127" i="90" s="1"/>
  <c r="CF127" i="90" s="1"/>
  <c r="CG127" i="90" s="1"/>
  <c r="CH127" i="90" s="1"/>
  <c r="CI127" i="90" s="1"/>
  <c r="CJ127" i="90" s="1"/>
  <c r="CK127" i="90" s="1"/>
  <c r="CL127" i="90" s="1"/>
  <c r="CM127" i="90" s="1"/>
  <c r="CN127" i="90" s="1"/>
  <c r="CO127" i="90" s="1"/>
  <c r="CP127" i="90" s="1"/>
  <c r="CQ127" i="90" s="1"/>
  <c r="CR127" i="90" s="1"/>
  <c r="CS127" i="90" s="1"/>
  <c r="CT127" i="90" s="1"/>
  <c r="CU127" i="90" s="1"/>
  <c r="CV127" i="90" s="1"/>
  <c r="DD8" i="90"/>
  <c r="DC38" i="90"/>
  <c r="DF45" i="90"/>
  <c r="BJ100" i="90"/>
  <c r="P142" i="90"/>
  <c r="BM97" i="90"/>
  <c r="DE130" i="90"/>
  <c r="DF130" i="90" s="1"/>
  <c r="DG130" i="90" s="1"/>
  <c r="DH130" i="90" s="1"/>
  <c r="DI130" i="90" s="1"/>
  <c r="DJ130" i="90" s="1"/>
  <c r="DK130" i="90" s="1"/>
  <c r="DL130" i="90" s="1"/>
  <c r="DM130" i="90" s="1"/>
  <c r="L144" i="90"/>
  <c r="M144" i="90" s="1"/>
  <c r="DE133" i="90"/>
  <c r="N143" i="90"/>
  <c r="DE137" i="90"/>
  <c r="DE131" i="90"/>
  <c r="Q141" i="90"/>
  <c r="DE132" i="90"/>
  <c r="BS96" i="90"/>
  <c r="DE134" i="90"/>
  <c r="DC87" i="83"/>
  <c r="DG4" i="91"/>
  <c r="DF6" i="91"/>
  <c r="DF5" i="91"/>
  <c r="DF4" i="90"/>
  <c r="DF136" i="90" s="1"/>
  <c r="DE6" i="90"/>
  <c r="DE21" i="90" s="1"/>
  <c r="DE5" i="90"/>
  <c r="DE4" i="83"/>
  <c r="DD5" i="83"/>
  <c r="DD6" i="83"/>
  <c r="DD80" i="83" s="1"/>
  <c r="DC48" i="83"/>
  <c r="DA108" i="83" l="1"/>
  <c r="DA109" i="83" s="1"/>
  <c r="DA110" i="83" s="1"/>
  <c r="DA18" i="91" s="1"/>
  <c r="DA14" i="90" s="1"/>
  <c r="CZ157" i="90"/>
  <c r="DC82" i="83"/>
  <c r="DB96" i="83"/>
  <c r="DB97" i="83" s="1"/>
  <c r="DD47" i="83"/>
  <c r="DD100" i="83"/>
  <c r="DD102" i="83" s="1"/>
  <c r="DD104" i="83" s="1"/>
  <c r="DD39" i="83"/>
  <c r="DD45" i="83" s="1"/>
  <c r="DD117" i="83"/>
  <c r="DD23" i="91" s="1"/>
  <c r="DD116" i="83"/>
  <c r="DD36" i="83"/>
  <c r="DD37" i="83"/>
  <c r="DB89" i="83"/>
  <c r="DB90" i="83" s="1"/>
  <c r="DC22" i="91"/>
  <c r="DC118" i="83"/>
  <c r="DC44" i="83"/>
  <c r="DC51" i="83" s="1"/>
  <c r="DC55" i="83" s="1"/>
  <c r="DC41" i="83"/>
  <c r="DB83" i="83"/>
  <c r="DC107" i="83"/>
  <c r="DB71" i="93"/>
  <c r="DB77" i="93" s="1"/>
  <c r="CV79" i="91"/>
  <c r="CV80" i="91" s="1"/>
  <c r="CV82" i="91" s="1"/>
  <c r="DD86" i="83"/>
  <c r="DD93" i="83"/>
  <c r="DD94" i="83"/>
  <c r="DD78" i="83"/>
  <c r="CW66" i="91"/>
  <c r="DA78" i="91"/>
  <c r="DA70" i="91"/>
  <c r="DA161" i="90"/>
  <c r="DA160" i="90"/>
  <c r="DA159" i="90"/>
  <c r="CZ162" i="90"/>
  <c r="DB64" i="83"/>
  <c r="DB65" i="83" s="1"/>
  <c r="DB62" i="91"/>
  <c r="DB149" i="90"/>
  <c r="DB153" i="90" s="1"/>
  <c r="CY173" i="90"/>
  <c r="CY174" i="90" s="1"/>
  <c r="CY175" i="90" s="1"/>
  <c r="CY169" i="90"/>
  <c r="CY170" i="90" s="1"/>
  <c r="CY10" i="91"/>
  <c r="CY73" i="83"/>
  <c r="CY74" i="83" s="1"/>
  <c r="CY15" i="91" s="1"/>
  <c r="CX12" i="90"/>
  <c r="CX12" i="91"/>
  <c r="CX26" i="91" s="1"/>
  <c r="CZ68" i="83"/>
  <c r="DD29" i="83"/>
  <c r="DD24" i="83"/>
  <c r="DD27" i="83"/>
  <c r="DD28" i="83"/>
  <c r="DD25" i="83"/>
  <c r="DD26" i="83"/>
  <c r="DC30" i="83"/>
  <c r="DC32" i="83" s="1"/>
  <c r="DC21" i="91" s="1"/>
  <c r="DD62" i="83"/>
  <c r="CX64" i="91"/>
  <c r="CX71" i="91" s="1"/>
  <c r="CX72" i="91" s="1"/>
  <c r="CX74" i="91" s="1"/>
  <c r="DD72" i="83"/>
  <c r="DA68" i="83"/>
  <c r="DA155" i="90" s="1"/>
  <c r="DA24" i="91"/>
  <c r="DA25" i="90" s="1"/>
  <c r="DA157" i="90"/>
  <c r="DA63" i="91"/>
  <c r="CZ25" i="90"/>
  <c r="CZ85" i="91"/>
  <c r="CZ86" i="91" s="1"/>
  <c r="DB24" i="91"/>
  <c r="CU37" i="90"/>
  <c r="CZ14" i="90"/>
  <c r="CZ63" i="91"/>
  <c r="CW28" i="90"/>
  <c r="CW30" i="90" s="1"/>
  <c r="CV33" i="90"/>
  <c r="E132" i="90" s="1"/>
  <c r="DC17" i="90"/>
  <c r="DC69" i="91" s="1"/>
  <c r="AB138" i="90"/>
  <c r="AC138" i="90" s="1"/>
  <c r="AD138" i="90" s="1"/>
  <c r="AE138" i="90" s="1"/>
  <c r="AF138" i="90" s="1"/>
  <c r="AG138" i="90" s="1"/>
  <c r="AH138" i="90" s="1"/>
  <c r="AI138" i="90" s="1"/>
  <c r="AJ138" i="90" s="1"/>
  <c r="AK138" i="90" s="1"/>
  <c r="AL138" i="90" s="1"/>
  <c r="AM138" i="90" s="1"/>
  <c r="AN138" i="90" s="1"/>
  <c r="AO138" i="90" s="1"/>
  <c r="AP138" i="90" s="1"/>
  <c r="AQ138" i="90" s="1"/>
  <c r="AR138" i="90" s="1"/>
  <c r="AS138" i="90" s="1"/>
  <c r="AT138" i="90" s="1"/>
  <c r="AU138" i="90" s="1"/>
  <c r="AV138" i="90" s="1"/>
  <c r="AW138" i="90" s="1"/>
  <c r="AX138" i="90" s="1"/>
  <c r="AY138" i="90" s="1"/>
  <c r="AZ138" i="90" s="1"/>
  <c r="BA138" i="90" s="1"/>
  <c r="BB138" i="90" s="1"/>
  <c r="BC138" i="90" s="1"/>
  <c r="BD138" i="90" s="1"/>
  <c r="BE138" i="90" s="1"/>
  <c r="BF138" i="90" s="1"/>
  <c r="BG138" i="90" s="1"/>
  <c r="BH138" i="90" s="1"/>
  <c r="BI138" i="90" s="1"/>
  <c r="BJ138" i="90" s="1"/>
  <c r="BK138" i="90" s="1"/>
  <c r="BL138" i="90" s="1"/>
  <c r="BM138" i="90" s="1"/>
  <c r="BN138" i="90" s="1"/>
  <c r="BO138" i="90" s="1"/>
  <c r="BP138" i="90" s="1"/>
  <c r="BQ138" i="90" s="1"/>
  <c r="BR138" i="90" s="1"/>
  <c r="BS138" i="90" s="1"/>
  <c r="BT138" i="90" s="1"/>
  <c r="BU138" i="90" s="1"/>
  <c r="BV138" i="90" s="1"/>
  <c r="BW138" i="90" s="1"/>
  <c r="BX138" i="90" s="1"/>
  <c r="BY138" i="90" s="1"/>
  <c r="BZ138" i="90" s="1"/>
  <c r="CA138" i="90" s="1"/>
  <c r="CB138" i="90" s="1"/>
  <c r="CC138" i="90" s="1"/>
  <c r="CD138" i="90" s="1"/>
  <c r="CE138" i="90" s="1"/>
  <c r="CF138" i="90" s="1"/>
  <c r="CG138" i="90" s="1"/>
  <c r="CH138" i="90" s="1"/>
  <c r="CI138" i="90" s="1"/>
  <c r="CJ138" i="90" s="1"/>
  <c r="CK138" i="90" s="1"/>
  <c r="CL138" i="90" s="1"/>
  <c r="CM138" i="90" s="1"/>
  <c r="CN138" i="90" s="1"/>
  <c r="CO138" i="90" s="1"/>
  <c r="CP138" i="90" s="1"/>
  <c r="CQ138" i="90" s="1"/>
  <c r="CR138" i="90" s="1"/>
  <c r="CS138" i="90" s="1"/>
  <c r="CT138" i="90" s="1"/>
  <c r="CU138" i="90" s="1"/>
  <c r="CV138" i="90" s="1"/>
  <c r="CW138" i="90" s="1"/>
  <c r="CX138" i="90" s="1"/>
  <c r="CY138" i="90" s="1"/>
  <c r="CZ138" i="90" s="1"/>
  <c r="DA138" i="90" s="1"/>
  <c r="DB138" i="90" s="1"/>
  <c r="DC138" i="90" s="1"/>
  <c r="AQ128" i="90"/>
  <c r="CW127" i="90"/>
  <c r="CX127" i="90" s="1"/>
  <c r="DE8" i="90"/>
  <c r="DD38" i="90"/>
  <c r="DF133" i="90"/>
  <c r="O143" i="90"/>
  <c r="P143" i="90" s="1"/>
  <c r="Q142" i="90"/>
  <c r="DF135" i="90"/>
  <c r="DG45" i="90"/>
  <c r="DF139" i="90"/>
  <c r="DF134" i="90"/>
  <c r="DF137" i="90"/>
  <c r="BN97" i="90"/>
  <c r="DF132" i="90"/>
  <c r="DF140" i="90"/>
  <c r="BT96" i="90"/>
  <c r="R141" i="90"/>
  <c r="S141" i="90" s="1"/>
  <c r="T141" i="90" s="1"/>
  <c r="DF131" i="90"/>
  <c r="DG131" i="90" s="1"/>
  <c r="DH131" i="90" s="1"/>
  <c r="DI131" i="90" s="1"/>
  <c r="DJ131" i="90" s="1"/>
  <c r="DK131" i="90" s="1"/>
  <c r="DL131" i="90" s="1"/>
  <c r="DM131" i="90" s="1"/>
  <c r="N144" i="90"/>
  <c r="BK100" i="90"/>
  <c r="DD87" i="83"/>
  <c r="DH4" i="91"/>
  <c r="DG6" i="91"/>
  <c r="DG5" i="91"/>
  <c r="DG4" i="90"/>
  <c r="DF6" i="90"/>
  <c r="DF21" i="90" s="1"/>
  <c r="DF5" i="90"/>
  <c r="DD48" i="83"/>
  <c r="DF4" i="83"/>
  <c r="DE5" i="83"/>
  <c r="DE6" i="83"/>
  <c r="DE80" i="83" s="1"/>
  <c r="DD82" i="83" l="1"/>
  <c r="DD83" i="83" s="1"/>
  <c r="DC89" i="83"/>
  <c r="DC90" i="83" s="1"/>
  <c r="DC96" i="83"/>
  <c r="DC97" i="83" s="1"/>
  <c r="DC83" i="83"/>
  <c r="DB108" i="83"/>
  <c r="DB109" i="83" s="1"/>
  <c r="DB110" i="83" s="1"/>
  <c r="DB18" i="91" s="1"/>
  <c r="DD44" i="83"/>
  <c r="DD51" i="83" s="1"/>
  <c r="DD55" i="83" s="1"/>
  <c r="DD71" i="93" s="1"/>
  <c r="DD41" i="83"/>
  <c r="DD22" i="91"/>
  <c r="DD118" i="83"/>
  <c r="DE47" i="83"/>
  <c r="DE100" i="83"/>
  <c r="DE102" i="83" s="1"/>
  <c r="DE104" i="83" s="1"/>
  <c r="DE39" i="83"/>
  <c r="DE45" i="83" s="1"/>
  <c r="DE117" i="83"/>
  <c r="DE23" i="91" s="1"/>
  <c r="DE116" i="83"/>
  <c r="DE36" i="83"/>
  <c r="DE37" i="83"/>
  <c r="DD107" i="83"/>
  <c r="DC71" i="93"/>
  <c r="DC77" i="93" s="1"/>
  <c r="CW79" i="91"/>
  <c r="CW80" i="91" s="1"/>
  <c r="CW82" i="91" s="1"/>
  <c r="DE86" i="83"/>
  <c r="DE93" i="83"/>
  <c r="DE94" i="83"/>
  <c r="DE78" i="83"/>
  <c r="CX66" i="91"/>
  <c r="DB70" i="91"/>
  <c r="DB78" i="91"/>
  <c r="DA162" i="90"/>
  <c r="DA169" i="90" s="1"/>
  <c r="DA170" i="90" s="1"/>
  <c r="DB160" i="90"/>
  <c r="DB161" i="90"/>
  <c r="DB159" i="90"/>
  <c r="CY12" i="91"/>
  <c r="CY26" i="91" s="1"/>
  <c r="CZ169" i="90"/>
  <c r="CZ170" i="90" s="1"/>
  <c r="CZ173" i="90"/>
  <c r="CZ174" i="90" s="1"/>
  <c r="CZ175" i="90" s="1"/>
  <c r="DC64" i="83"/>
  <c r="DC65" i="83" s="1"/>
  <c r="DC149" i="90"/>
  <c r="DC153" i="90" s="1"/>
  <c r="DC62" i="91"/>
  <c r="CZ69" i="83"/>
  <c r="CZ10" i="91" s="1"/>
  <c r="CZ12" i="91" s="1"/>
  <c r="CZ11" i="90" s="1"/>
  <c r="CZ155" i="90"/>
  <c r="CY64" i="91"/>
  <c r="CY71" i="91" s="1"/>
  <c r="CY72" i="91" s="1"/>
  <c r="CY74" i="91" s="1"/>
  <c r="CX11" i="90"/>
  <c r="CY12" i="90"/>
  <c r="DE26" i="83"/>
  <c r="DE29" i="83"/>
  <c r="DE24" i="83"/>
  <c r="DE25" i="83"/>
  <c r="DE27" i="83"/>
  <c r="DE28" i="83"/>
  <c r="DD30" i="83"/>
  <c r="DD32" i="83" s="1"/>
  <c r="DD21" i="91" s="1"/>
  <c r="DE62" i="83"/>
  <c r="DE72" i="83"/>
  <c r="DB68" i="83"/>
  <c r="DB155" i="90" s="1"/>
  <c r="DA69" i="83"/>
  <c r="DA85" i="91"/>
  <c r="DA86" i="91" s="1"/>
  <c r="CZ29" i="90"/>
  <c r="CV37" i="90"/>
  <c r="CX28" i="90"/>
  <c r="CX30" i="90" s="1"/>
  <c r="CW33" i="90"/>
  <c r="E133" i="90" s="1"/>
  <c r="DB25" i="90"/>
  <c r="DB85" i="91"/>
  <c r="DC24" i="91"/>
  <c r="DA29" i="90"/>
  <c r="DD17" i="90"/>
  <c r="DD69" i="91" s="1"/>
  <c r="DD138" i="90"/>
  <c r="DE138" i="90" s="1"/>
  <c r="AR128" i="90"/>
  <c r="CY127" i="90"/>
  <c r="DF8" i="90"/>
  <c r="DE38" i="90"/>
  <c r="Q143" i="90"/>
  <c r="R143" i="90" s="1"/>
  <c r="S143" i="90" s="1"/>
  <c r="T143" i="90" s="1"/>
  <c r="DG132" i="90"/>
  <c r="DH132" i="90" s="1"/>
  <c r="DI132" i="90" s="1"/>
  <c r="DJ132" i="90" s="1"/>
  <c r="DK132" i="90" s="1"/>
  <c r="DL132" i="90" s="1"/>
  <c r="DM132" i="90" s="1"/>
  <c r="DG134" i="90"/>
  <c r="DG135" i="90"/>
  <c r="BU96" i="90"/>
  <c r="DG139" i="90"/>
  <c r="DG133" i="90"/>
  <c r="O144" i="90"/>
  <c r="BO97" i="90"/>
  <c r="BL100" i="90"/>
  <c r="U141" i="90"/>
  <c r="V141" i="90" s="1"/>
  <c r="W141" i="90" s="1"/>
  <c r="X141" i="90" s="1"/>
  <c r="Y141" i="90" s="1"/>
  <c r="Z141" i="90" s="1"/>
  <c r="AA141" i="90" s="1"/>
  <c r="AB141" i="90" s="1"/>
  <c r="AC141" i="90" s="1"/>
  <c r="AD141" i="90" s="1"/>
  <c r="AE141" i="90" s="1"/>
  <c r="AF141" i="90" s="1"/>
  <c r="AG141" i="90" s="1"/>
  <c r="AH141" i="90" s="1"/>
  <c r="AI141" i="90" s="1"/>
  <c r="AJ141" i="90" s="1"/>
  <c r="AK141" i="90" s="1"/>
  <c r="AL141" i="90" s="1"/>
  <c r="AM141" i="90" s="1"/>
  <c r="AN141" i="90" s="1"/>
  <c r="AO141" i="90" s="1"/>
  <c r="AP141" i="90" s="1"/>
  <c r="AQ141" i="90" s="1"/>
  <c r="AR141" i="90" s="1"/>
  <c r="AS141" i="90" s="1"/>
  <c r="AT141" i="90" s="1"/>
  <c r="AU141" i="90" s="1"/>
  <c r="AV141" i="90" s="1"/>
  <c r="AW141" i="90" s="1"/>
  <c r="AX141" i="90" s="1"/>
  <c r="AY141" i="90" s="1"/>
  <c r="AZ141" i="90" s="1"/>
  <c r="BA141" i="90" s="1"/>
  <c r="BB141" i="90" s="1"/>
  <c r="BC141" i="90" s="1"/>
  <c r="BD141" i="90" s="1"/>
  <c r="BE141" i="90" s="1"/>
  <c r="BF141" i="90" s="1"/>
  <c r="BG141" i="90" s="1"/>
  <c r="BH141" i="90" s="1"/>
  <c r="BI141" i="90" s="1"/>
  <c r="BJ141" i="90" s="1"/>
  <c r="BK141" i="90" s="1"/>
  <c r="BL141" i="90" s="1"/>
  <c r="BM141" i="90" s="1"/>
  <c r="BN141" i="90" s="1"/>
  <c r="BO141" i="90" s="1"/>
  <c r="BP141" i="90" s="1"/>
  <c r="BQ141" i="90" s="1"/>
  <c r="BR141" i="90" s="1"/>
  <c r="BS141" i="90" s="1"/>
  <c r="BT141" i="90" s="1"/>
  <c r="BU141" i="90" s="1"/>
  <c r="BV141" i="90" s="1"/>
  <c r="BW141" i="90" s="1"/>
  <c r="BX141" i="90" s="1"/>
  <c r="BY141" i="90" s="1"/>
  <c r="BZ141" i="90" s="1"/>
  <c r="CA141" i="90" s="1"/>
  <c r="CB141" i="90" s="1"/>
  <c r="CC141" i="90" s="1"/>
  <c r="CD141" i="90" s="1"/>
  <c r="CE141" i="90" s="1"/>
  <c r="CF141" i="90" s="1"/>
  <c r="CG141" i="90" s="1"/>
  <c r="CH141" i="90" s="1"/>
  <c r="CI141" i="90" s="1"/>
  <c r="CJ141" i="90" s="1"/>
  <c r="CK141" i="90" s="1"/>
  <c r="CL141" i="90" s="1"/>
  <c r="CM141" i="90" s="1"/>
  <c r="CN141" i="90" s="1"/>
  <c r="CO141" i="90" s="1"/>
  <c r="CP141" i="90" s="1"/>
  <c r="CQ141" i="90" s="1"/>
  <c r="CR141" i="90" s="1"/>
  <c r="CS141" i="90" s="1"/>
  <c r="CT141" i="90" s="1"/>
  <c r="CU141" i="90" s="1"/>
  <c r="CV141" i="90" s="1"/>
  <c r="CW141" i="90" s="1"/>
  <c r="CX141" i="90" s="1"/>
  <c r="CY141" i="90" s="1"/>
  <c r="CZ141" i="90" s="1"/>
  <c r="DA141" i="90" s="1"/>
  <c r="DB141" i="90" s="1"/>
  <c r="DC141" i="90" s="1"/>
  <c r="DD141" i="90" s="1"/>
  <c r="DE141" i="90" s="1"/>
  <c r="DF141" i="90" s="1"/>
  <c r="DG141" i="90" s="1"/>
  <c r="DH141" i="90" s="1"/>
  <c r="DG140" i="90"/>
  <c r="DG137" i="90"/>
  <c r="DH45" i="90"/>
  <c r="R142" i="90"/>
  <c r="S142" i="90" s="1"/>
  <c r="DG136" i="90"/>
  <c r="DE87" i="83"/>
  <c r="DI4" i="91"/>
  <c r="DH6" i="91"/>
  <c r="DH5" i="91"/>
  <c r="DH4" i="90"/>
  <c r="DG6" i="90"/>
  <c r="DG21" i="90" s="1"/>
  <c r="DG5" i="90"/>
  <c r="DG4" i="83"/>
  <c r="DF6" i="83"/>
  <c r="DF80" i="83" s="1"/>
  <c r="DF5" i="83"/>
  <c r="DE48" i="83"/>
  <c r="DB157" i="90" l="1"/>
  <c r="DD96" i="83"/>
  <c r="DD97" i="83" s="1"/>
  <c r="DC108" i="83"/>
  <c r="DC109" i="83" s="1"/>
  <c r="DC110" i="83" s="1"/>
  <c r="DC18" i="91" s="1"/>
  <c r="DC63" i="91" s="1"/>
  <c r="DE82" i="83"/>
  <c r="DD89" i="83"/>
  <c r="DD90" i="83" s="1"/>
  <c r="DE118" i="83"/>
  <c r="DE22" i="91"/>
  <c r="DF47" i="83"/>
  <c r="DF39" i="83"/>
  <c r="DF45" i="83" s="1"/>
  <c r="DF117" i="83"/>
  <c r="DF23" i="91" s="1"/>
  <c r="DF116" i="83"/>
  <c r="DF36" i="83"/>
  <c r="DF100" i="83"/>
  <c r="DF102" i="83" s="1"/>
  <c r="DF104" i="83" s="1"/>
  <c r="DF37" i="83"/>
  <c r="DE44" i="83"/>
  <c r="DE51" i="83" s="1"/>
  <c r="DE55" i="83" s="1"/>
  <c r="DE71" i="93" s="1"/>
  <c r="DE41" i="83"/>
  <c r="DE107" i="83"/>
  <c r="CX79" i="91"/>
  <c r="CX80" i="91" s="1"/>
  <c r="CX82" i="91" s="1"/>
  <c r="DF86" i="83"/>
  <c r="DF93" i="83"/>
  <c r="DF94" i="83"/>
  <c r="DF78" i="83"/>
  <c r="CY66" i="91"/>
  <c r="DA173" i="90"/>
  <c r="DA174" i="90" s="1"/>
  <c r="DA175" i="90" s="1"/>
  <c r="DC70" i="91"/>
  <c r="DC78" i="91"/>
  <c r="DB162" i="90"/>
  <c r="DB169" i="90" s="1"/>
  <c r="DB170" i="90" s="1"/>
  <c r="CY11" i="90"/>
  <c r="CZ73" i="83"/>
  <c r="CZ74" i="83" s="1"/>
  <c r="CZ15" i="91" s="1"/>
  <c r="CZ26" i="91" s="1"/>
  <c r="DD64" i="83"/>
  <c r="DD65" i="83" s="1"/>
  <c r="DD149" i="90"/>
  <c r="DD153" i="90" s="1"/>
  <c r="DD62" i="91"/>
  <c r="DC160" i="90"/>
  <c r="DC161" i="90"/>
  <c r="DC159" i="90"/>
  <c r="DD77" i="93"/>
  <c r="DA10" i="91"/>
  <c r="DA12" i="91" s="1"/>
  <c r="DA73" i="83"/>
  <c r="DA74" i="83" s="1"/>
  <c r="DA15" i="91" s="1"/>
  <c r="DE30" i="83"/>
  <c r="DE32" i="83" s="1"/>
  <c r="DE21" i="91" s="1"/>
  <c r="DF26" i="83"/>
  <c r="DF29" i="83"/>
  <c r="DF24" i="83"/>
  <c r="DF25" i="83"/>
  <c r="DF27" i="83"/>
  <c r="DF28" i="83"/>
  <c r="CZ64" i="91"/>
  <c r="CZ71" i="91" s="1"/>
  <c r="CZ72" i="91" s="1"/>
  <c r="CZ74" i="91" s="1"/>
  <c r="DF62" i="83"/>
  <c r="DC68" i="83"/>
  <c r="DC155" i="90" s="1"/>
  <c r="DF72" i="83"/>
  <c r="DB69" i="83"/>
  <c r="DB86" i="91"/>
  <c r="CY28" i="90"/>
  <c r="CY30" i="90" s="1"/>
  <c r="CX33" i="90"/>
  <c r="E134" i="90" s="1"/>
  <c r="DB63" i="91"/>
  <c r="DB14" i="90"/>
  <c r="DB29" i="90"/>
  <c r="DD24" i="91"/>
  <c r="DC25" i="90"/>
  <c r="DC85" i="91"/>
  <c r="CW37" i="90"/>
  <c r="DE17" i="90"/>
  <c r="DE69" i="91" s="1"/>
  <c r="DF138" i="90"/>
  <c r="DG138" i="90" s="1"/>
  <c r="AS128" i="90"/>
  <c r="AT128" i="90" s="1"/>
  <c r="AU128" i="90" s="1"/>
  <c r="AV128" i="90" s="1"/>
  <c r="AW128" i="90" s="1"/>
  <c r="AX128" i="90" s="1"/>
  <c r="AY128" i="90" s="1"/>
  <c r="AZ128" i="90" s="1"/>
  <c r="BA128" i="90" s="1"/>
  <c r="BB128" i="90" s="1"/>
  <c r="BC128" i="90" s="1"/>
  <c r="BD128" i="90" s="1"/>
  <c r="BE128" i="90" s="1"/>
  <c r="BF128" i="90" s="1"/>
  <c r="BG128" i="90" s="1"/>
  <c r="BH128" i="90" s="1"/>
  <c r="BI128" i="90" s="1"/>
  <c r="BJ128" i="90" s="1"/>
  <c r="BK128" i="90" s="1"/>
  <c r="BL128" i="90" s="1"/>
  <c r="BM128" i="90" s="1"/>
  <c r="BN128" i="90" s="1"/>
  <c r="BO128" i="90" s="1"/>
  <c r="BP128" i="90" s="1"/>
  <c r="BQ128" i="90" s="1"/>
  <c r="BR128" i="90" s="1"/>
  <c r="BS128" i="90" s="1"/>
  <c r="BT128" i="90" s="1"/>
  <c r="BU128" i="90" s="1"/>
  <c r="BV128" i="90" s="1"/>
  <c r="BW128" i="90" s="1"/>
  <c r="BX128" i="90" s="1"/>
  <c r="BY128" i="90" s="1"/>
  <c r="BZ128" i="90" s="1"/>
  <c r="CA128" i="90" s="1"/>
  <c r="CB128" i="90" s="1"/>
  <c r="CC128" i="90" s="1"/>
  <c r="CD128" i="90" s="1"/>
  <c r="CE128" i="90" s="1"/>
  <c r="CF128" i="90" s="1"/>
  <c r="CG128" i="90" s="1"/>
  <c r="CH128" i="90" s="1"/>
  <c r="CI128" i="90" s="1"/>
  <c r="CJ128" i="90" s="1"/>
  <c r="CK128" i="90" s="1"/>
  <c r="CL128" i="90" s="1"/>
  <c r="CM128" i="90" s="1"/>
  <c r="CN128" i="90" s="1"/>
  <c r="CO128" i="90" s="1"/>
  <c r="CP128" i="90" s="1"/>
  <c r="CQ128" i="90" s="1"/>
  <c r="CR128" i="90" s="1"/>
  <c r="CS128" i="90" s="1"/>
  <c r="CT128" i="90" s="1"/>
  <c r="CU128" i="90" s="1"/>
  <c r="CV128" i="90" s="1"/>
  <c r="CW128" i="90" s="1"/>
  <c r="CX128" i="90" s="1"/>
  <c r="CY128" i="90" s="1"/>
  <c r="CZ128" i="90" s="1"/>
  <c r="DH136" i="90"/>
  <c r="CZ127" i="90"/>
  <c r="DA127" i="90" s="1"/>
  <c r="DB127" i="90" s="1"/>
  <c r="DC127" i="90" s="1"/>
  <c r="DD127" i="90" s="1"/>
  <c r="DE127" i="90" s="1"/>
  <c r="DF127" i="90" s="1"/>
  <c r="DG127" i="90" s="1"/>
  <c r="DH127" i="90" s="1"/>
  <c r="DI127" i="90" s="1"/>
  <c r="DJ127" i="90" s="1"/>
  <c r="DK127" i="90" s="1"/>
  <c r="DL127" i="90" s="1"/>
  <c r="DM127" i="90" s="1"/>
  <c r="DG8" i="90"/>
  <c r="DF38" i="90"/>
  <c r="T142" i="90"/>
  <c r="U142" i="90" s="1"/>
  <c r="V142" i="90" s="1"/>
  <c r="W142" i="90" s="1"/>
  <c r="X142" i="90" s="1"/>
  <c r="Y142" i="90" s="1"/>
  <c r="Z142" i="90" s="1"/>
  <c r="AA142" i="90" s="1"/>
  <c r="AB142" i="90" s="1"/>
  <c r="AC142" i="90" s="1"/>
  <c r="AD142" i="90" s="1"/>
  <c r="AE142" i="90" s="1"/>
  <c r="AF142" i="90" s="1"/>
  <c r="AG142" i="90" s="1"/>
  <c r="AH142" i="90" s="1"/>
  <c r="AI142" i="90" s="1"/>
  <c r="AJ142" i="90" s="1"/>
  <c r="AK142" i="90" s="1"/>
  <c r="AL142" i="90" s="1"/>
  <c r="AM142" i="90" s="1"/>
  <c r="AN142" i="90" s="1"/>
  <c r="AO142" i="90" s="1"/>
  <c r="AP142" i="90" s="1"/>
  <c r="AQ142" i="90" s="1"/>
  <c r="AR142" i="90" s="1"/>
  <c r="AS142" i="90" s="1"/>
  <c r="AT142" i="90" s="1"/>
  <c r="AU142" i="90" s="1"/>
  <c r="AV142" i="90" s="1"/>
  <c r="AW142" i="90" s="1"/>
  <c r="AX142" i="90" s="1"/>
  <c r="AY142" i="90" s="1"/>
  <c r="AZ142" i="90" s="1"/>
  <c r="BA142" i="90" s="1"/>
  <c r="BB142" i="90" s="1"/>
  <c r="BC142" i="90" s="1"/>
  <c r="BD142" i="90" s="1"/>
  <c r="BE142" i="90" s="1"/>
  <c r="BF142" i="90" s="1"/>
  <c r="BG142" i="90" s="1"/>
  <c r="BH142" i="90" s="1"/>
  <c r="BI142" i="90" s="1"/>
  <c r="BJ142" i="90" s="1"/>
  <c r="BK142" i="90" s="1"/>
  <c r="BL142" i="90" s="1"/>
  <c r="BM142" i="90" s="1"/>
  <c r="BN142" i="90" s="1"/>
  <c r="BO142" i="90" s="1"/>
  <c r="BP142" i="90" s="1"/>
  <c r="BQ142" i="90" s="1"/>
  <c r="BR142" i="90" s="1"/>
  <c r="BS142" i="90" s="1"/>
  <c r="BT142" i="90" s="1"/>
  <c r="BU142" i="90" s="1"/>
  <c r="BV142" i="90" s="1"/>
  <c r="BW142" i="90" s="1"/>
  <c r="BX142" i="90" s="1"/>
  <c r="BY142" i="90" s="1"/>
  <c r="BZ142" i="90" s="1"/>
  <c r="CA142" i="90" s="1"/>
  <c r="CB142" i="90" s="1"/>
  <c r="CC142" i="90" s="1"/>
  <c r="CD142" i="90" s="1"/>
  <c r="CE142" i="90" s="1"/>
  <c r="CF142" i="90" s="1"/>
  <c r="CG142" i="90" s="1"/>
  <c r="CH142" i="90" s="1"/>
  <c r="CI142" i="90" s="1"/>
  <c r="CJ142" i="90" s="1"/>
  <c r="CK142" i="90" s="1"/>
  <c r="CL142" i="90" s="1"/>
  <c r="CM142" i="90" s="1"/>
  <c r="CN142" i="90" s="1"/>
  <c r="CO142" i="90" s="1"/>
  <c r="CP142" i="90" s="1"/>
  <c r="CQ142" i="90" s="1"/>
  <c r="CR142" i="90" s="1"/>
  <c r="CS142" i="90" s="1"/>
  <c r="CT142" i="90" s="1"/>
  <c r="CU142" i="90" s="1"/>
  <c r="CV142" i="90" s="1"/>
  <c r="CW142" i="90" s="1"/>
  <c r="CX142" i="90" s="1"/>
  <c r="CY142" i="90" s="1"/>
  <c r="CZ142" i="90" s="1"/>
  <c r="DA142" i="90" s="1"/>
  <c r="DB142" i="90" s="1"/>
  <c r="DC142" i="90" s="1"/>
  <c r="DD142" i="90" s="1"/>
  <c r="DE142" i="90" s="1"/>
  <c r="DF142" i="90" s="1"/>
  <c r="DG142" i="90" s="1"/>
  <c r="DH142" i="90" s="1"/>
  <c r="DI142" i="90" s="1"/>
  <c r="U143" i="90"/>
  <c r="V143" i="90" s="1"/>
  <c r="W143" i="90" s="1"/>
  <c r="X143" i="90" s="1"/>
  <c r="Y143" i="90" s="1"/>
  <c r="Z143" i="90" s="1"/>
  <c r="AA143" i="90" s="1"/>
  <c r="BP97" i="90"/>
  <c r="DI45" i="90"/>
  <c r="P144" i="90"/>
  <c r="Q144" i="90" s="1"/>
  <c r="DH139" i="90"/>
  <c r="DH135" i="90"/>
  <c r="DH137" i="90"/>
  <c r="DH134" i="90"/>
  <c r="DH140" i="90"/>
  <c r="BM100" i="90"/>
  <c r="DH133" i="90"/>
  <c r="DI133" i="90" s="1"/>
  <c r="DJ133" i="90" s="1"/>
  <c r="DK133" i="90" s="1"/>
  <c r="DL133" i="90" s="1"/>
  <c r="DM133" i="90" s="1"/>
  <c r="BV96" i="90"/>
  <c r="DF87" i="83"/>
  <c r="DI6" i="91"/>
  <c r="DI5" i="91"/>
  <c r="DJ4" i="91"/>
  <c r="DH6" i="90"/>
  <c r="DH21" i="90" s="1"/>
  <c r="DH5" i="90"/>
  <c r="DI4" i="90"/>
  <c r="DI141" i="90" s="1"/>
  <c r="DF48" i="83"/>
  <c r="DH4" i="83"/>
  <c r="DG6" i="83"/>
  <c r="DG80" i="83" s="1"/>
  <c r="DG5" i="83"/>
  <c r="DD108" i="83" l="1"/>
  <c r="DD109" i="83" s="1"/>
  <c r="DD110" i="83" s="1"/>
  <c r="DD18" i="91" s="1"/>
  <c r="DD14" i="90" s="1"/>
  <c r="DC14" i="90"/>
  <c r="DC157" i="90"/>
  <c r="DF82" i="83"/>
  <c r="DF83" i="83" s="1"/>
  <c r="DE89" i="83"/>
  <c r="DE90" i="83" s="1"/>
  <c r="DF44" i="83"/>
  <c r="DF51" i="83" s="1"/>
  <c r="DF55" i="83" s="1"/>
  <c r="DF41" i="83"/>
  <c r="DF118" i="83"/>
  <c r="DF22" i="91"/>
  <c r="DE83" i="83"/>
  <c r="DG47" i="83"/>
  <c r="DG117" i="83"/>
  <c r="DG23" i="91" s="1"/>
  <c r="DG116" i="83"/>
  <c r="DG100" i="83"/>
  <c r="DG102" i="83" s="1"/>
  <c r="DG104" i="83" s="1"/>
  <c r="DG37" i="83"/>
  <c r="DG39" i="83"/>
  <c r="DG45" i="83" s="1"/>
  <c r="DG36" i="83"/>
  <c r="DE96" i="83"/>
  <c r="DE97" i="83" s="1"/>
  <c r="DF107" i="83"/>
  <c r="CY79" i="91"/>
  <c r="CY80" i="91" s="1"/>
  <c r="CY82" i="91" s="1"/>
  <c r="DG86" i="83"/>
  <c r="DG93" i="83"/>
  <c r="DG94" i="83"/>
  <c r="DG78" i="83"/>
  <c r="CZ66" i="91"/>
  <c r="DD78" i="91"/>
  <c r="DD70" i="91"/>
  <c r="DB173" i="90"/>
  <c r="DB174" i="90" s="1"/>
  <c r="DB175" i="90" s="1"/>
  <c r="CZ12" i="90"/>
  <c r="DC162" i="90"/>
  <c r="DC173" i="90" s="1"/>
  <c r="DC174" i="90" s="1"/>
  <c r="DC175" i="90" s="1"/>
  <c r="DE64" i="83"/>
  <c r="DE65" i="83" s="1"/>
  <c r="DE149" i="90"/>
  <c r="DE153" i="90" s="1"/>
  <c r="DE62" i="91"/>
  <c r="DD160" i="90"/>
  <c r="DD161" i="90"/>
  <c r="DD159" i="90"/>
  <c r="DA26" i="91"/>
  <c r="DA12" i="90"/>
  <c r="DB10" i="91"/>
  <c r="DB12" i="91" s="1"/>
  <c r="DB73" i="83"/>
  <c r="DB74" i="83" s="1"/>
  <c r="DB15" i="91" s="1"/>
  <c r="DG28" i="83"/>
  <c r="DG26" i="83"/>
  <c r="DG24" i="83"/>
  <c r="DG29" i="83"/>
  <c r="DG25" i="83"/>
  <c r="DG27" i="83"/>
  <c r="DF30" i="83"/>
  <c r="DF32" i="83" s="1"/>
  <c r="DF21" i="91" s="1"/>
  <c r="DG62" i="83"/>
  <c r="DA64" i="91"/>
  <c r="DA71" i="91" s="1"/>
  <c r="DA72" i="91" s="1"/>
  <c r="DA74" i="91" s="1"/>
  <c r="DC69" i="83"/>
  <c r="DG72" i="83"/>
  <c r="DA11" i="90"/>
  <c r="DD68" i="83"/>
  <c r="DD155" i="90" s="1"/>
  <c r="DC86" i="91"/>
  <c r="DC29" i="90"/>
  <c r="DE24" i="91"/>
  <c r="CX37" i="90"/>
  <c r="DD25" i="90"/>
  <c r="DD85" i="91"/>
  <c r="CZ28" i="90"/>
  <c r="CZ30" i="90" s="1"/>
  <c r="CY33" i="90"/>
  <c r="E135" i="90" s="1"/>
  <c r="DH138" i="90"/>
  <c r="DI138" i="90" s="1"/>
  <c r="DF17" i="90"/>
  <c r="DF69" i="91" s="1"/>
  <c r="DA128" i="90"/>
  <c r="DB128" i="90" s="1"/>
  <c r="DC128" i="90" s="1"/>
  <c r="DD128" i="90" s="1"/>
  <c r="DE128" i="90" s="1"/>
  <c r="DF128" i="90" s="1"/>
  <c r="DG128" i="90" s="1"/>
  <c r="DH128" i="90" s="1"/>
  <c r="DI128" i="90" s="1"/>
  <c r="DJ128" i="90" s="1"/>
  <c r="DK128" i="90" s="1"/>
  <c r="DL128" i="90" s="1"/>
  <c r="DM128" i="90" s="1"/>
  <c r="AB143" i="90"/>
  <c r="AC143" i="90" s="1"/>
  <c r="AD143" i="90" s="1"/>
  <c r="AE143" i="90" s="1"/>
  <c r="AF143" i="90" s="1"/>
  <c r="AG143" i="90" s="1"/>
  <c r="AH143" i="90" s="1"/>
  <c r="AI143" i="90" s="1"/>
  <c r="AJ143" i="90" s="1"/>
  <c r="AK143" i="90" s="1"/>
  <c r="AL143" i="90" s="1"/>
  <c r="AM143" i="90" s="1"/>
  <c r="AN143" i="90" s="1"/>
  <c r="AO143" i="90" s="1"/>
  <c r="AP143" i="90" s="1"/>
  <c r="AQ143" i="90" s="1"/>
  <c r="AR143" i="90" s="1"/>
  <c r="AS143" i="90" s="1"/>
  <c r="AT143" i="90" s="1"/>
  <c r="AU143" i="90" s="1"/>
  <c r="AV143" i="90" s="1"/>
  <c r="AW143" i="90" s="1"/>
  <c r="AX143" i="90" s="1"/>
  <c r="AY143" i="90" s="1"/>
  <c r="AZ143" i="90" s="1"/>
  <c r="BA143" i="90" s="1"/>
  <c r="BB143" i="90" s="1"/>
  <c r="BC143" i="90" s="1"/>
  <c r="BD143" i="90" s="1"/>
  <c r="BE143" i="90" s="1"/>
  <c r="BF143" i="90" s="1"/>
  <c r="BG143" i="90" s="1"/>
  <c r="BH143" i="90" s="1"/>
  <c r="BI143" i="90" s="1"/>
  <c r="BJ143" i="90" s="1"/>
  <c r="BK143" i="90" s="1"/>
  <c r="BL143" i="90" s="1"/>
  <c r="BM143" i="90" s="1"/>
  <c r="BN143" i="90" s="1"/>
  <c r="BO143" i="90" s="1"/>
  <c r="BP143" i="90" s="1"/>
  <c r="BQ143" i="90" s="1"/>
  <c r="BR143" i="90" s="1"/>
  <c r="BS143" i="90" s="1"/>
  <c r="BT143" i="90" s="1"/>
  <c r="BU143" i="90" s="1"/>
  <c r="BV143" i="90" s="1"/>
  <c r="BW143" i="90" s="1"/>
  <c r="BX143" i="90" s="1"/>
  <c r="BY143" i="90" s="1"/>
  <c r="BZ143" i="90" s="1"/>
  <c r="CA143" i="90" s="1"/>
  <c r="CB143" i="90" s="1"/>
  <c r="CC143" i="90" s="1"/>
  <c r="CD143" i="90" s="1"/>
  <c r="CE143" i="90" s="1"/>
  <c r="CF143" i="90" s="1"/>
  <c r="CG143" i="90" s="1"/>
  <c r="CH143" i="90" s="1"/>
  <c r="CI143" i="90" s="1"/>
  <c r="CJ143" i="90" s="1"/>
  <c r="CK143" i="90" s="1"/>
  <c r="CL143" i="90" s="1"/>
  <c r="CM143" i="90" s="1"/>
  <c r="CN143" i="90" s="1"/>
  <c r="CO143" i="90" s="1"/>
  <c r="CP143" i="90" s="1"/>
  <c r="CQ143" i="90" s="1"/>
  <c r="CR143" i="90" s="1"/>
  <c r="CS143" i="90" s="1"/>
  <c r="CT143" i="90" s="1"/>
  <c r="CU143" i="90" s="1"/>
  <c r="CV143" i="90" s="1"/>
  <c r="CW143" i="90" s="1"/>
  <c r="CX143" i="90" s="1"/>
  <c r="CY143" i="90" s="1"/>
  <c r="CZ143" i="90" s="1"/>
  <c r="DA143" i="90" s="1"/>
  <c r="DB143" i="90" s="1"/>
  <c r="DC143" i="90" s="1"/>
  <c r="DD143" i="90" s="1"/>
  <c r="DE143" i="90" s="1"/>
  <c r="DF143" i="90" s="1"/>
  <c r="DG143" i="90" s="1"/>
  <c r="DH143" i="90" s="1"/>
  <c r="DI143" i="90" s="1"/>
  <c r="DH8" i="90"/>
  <c r="DG38" i="90"/>
  <c r="BN100" i="90"/>
  <c r="DI135" i="90"/>
  <c r="DI136" i="90"/>
  <c r="BW96" i="90"/>
  <c r="DI140" i="90"/>
  <c r="DI134" i="90"/>
  <c r="DJ134" i="90" s="1"/>
  <c r="DK134" i="90" s="1"/>
  <c r="DL134" i="90" s="1"/>
  <c r="DM134" i="90" s="1"/>
  <c r="DI139" i="90"/>
  <c r="DI137" i="90"/>
  <c r="R144" i="90"/>
  <c r="DJ45" i="90"/>
  <c r="BQ97" i="90"/>
  <c r="DG87" i="83"/>
  <c r="DK4" i="91"/>
  <c r="DJ6" i="91"/>
  <c r="DJ5" i="91"/>
  <c r="DJ4" i="90"/>
  <c r="DJ141" i="90" s="1"/>
  <c r="DI6" i="90"/>
  <c r="DI21" i="90" s="1"/>
  <c r="DI5" i="90"/>
  <c r="DG48" i="83"/>
  <c r="DI4" i="83"/>
  <c r="DH6" i="83"/>
  <c r="DH80" i="83" s="1"/>
  <c r="DH5" i="83"/>
  <c r="DF89" i="83" l="1"/>
  <c r="DF90" i="83" s="1"/>
  <c r="DD63" i="91"/>
  <c r="DD157" i="90"/>
  <c r="DG82" i="83"/>
  <c r="DE108" i="83"/>
  <c r="DE109" i="83" s="1"/>
  <c r="DE110" i="83" s="1"/>
  <c r="DG44" i="83"/>
  <c r="DG51" i="83" s="1"/>
  <c r="DG55" i="83" s="1"/>
  <c r="DG41" i="83"/>
  <c r="DH47" i="83"/>
  <c r="DH117" i="83"/>
  <c r="DH23" i="91" s="1"/>
  <c r="DH116" i="83"/>
  <c r="DH36" i="83"/>
  <c r="DH37" i="83"/>
  <c r="DH100" i="83"/>
  <c r="DH102" i="83" s="1"/>
  <c r="DH104" i="83" s="1"/>
  <c r="DH39" i="83"/>
  <c r="DH45" i="83" s="1"/>
  <c r="DG22" i="91"/>
  <c r="DG118" i="83"/>
  <c r="DF96" i="83"/>
  <c r="DF97" i="83" s="1"/>
  <c r="DG107" i="83"/>
  <c r="I71" i="93"/>
  <c r="DE77" i="93"/>
  <c r="CZ79" i="91"/>
  <c r="CZ80" i="91" s="1"/>
  <c r="CZ82" i="91" s="1"/>
  <c r="DH86" i="83"/>
  <c r="DH93" i="83"/>
  <c r="DH94" i="83"/>
  <c r="DH78" i="83"/>
  <c r="DA66" i="91"/>
  <c r="DE70" i="91"/>
  <c r="DE78" i="91"/>
  <c r="DD162" i="90"/>
  <c r="DD169" i="90" s="1"/>
  <c r="DD170" i="90" s="1"/>
  <c r="DC169" i="90"/>
  <c r="DC170" i="90" s="1"/>
  <c r="DF64" i="83"/>
  <c r="DF65" i="83" s="1"/>
  <c r="DF149" i="90"/>
  <c r="DF153" i="90" s="1"/>
  <c r="DF62" i="91"/>
  <c r="DE160" i="90"/>
  <c r="DE159" i="90"/>
  <c r="DE161" i="90"/>
  <c r="DB12" i="90"/>
  <c r="DC10" i="91"/>
  <c r="DC73" i="83"/>
  <c r="DC74" i="83" s="1"/>
  <c r="DC15" i="91" s="1"/>
  <c r="DH25" i="83"/>
  <c r="DH28" i="83"/>
  <c r="DH24" i="83"/>
  <c r="DH27" i="83"/>
  <c r="DH29" i="83"/>
  <c r="DH26" i="83"/>
  <c r="DG30" i="83"/>
  <c r="DG32" i="83" s="1"/>
  <c r="DG21" i="91" s="1"/>
  <c r="DH62" i="83"/>
  <c r="DB11" i="90"/>
  <c r="DB26" i="91"/>
  <c r="DH72" i="83"/>
  <c r="DE68" i="83"/>
  <c r="DE155" i="90" s="1"/>
  <c r="DD69" i="83"/>
  <c r="DB64" i="91"/>
  <c r="DB71" i="91" s="1"/>
  <c r="DB72" i="91" s="1"/>
  <c r="DB74" i="91" s="1"/>
  <c r="DD86" i="91"/>
  <c r="CY37" i="90"/>
  <c r="DA28" i="90"/>
  <c r="DA30" i="90" s="1"/>
  <c r="CZ33" i="90"/>
  <c r="E136" i="90" s="1"/>
  <c r="DD29" i="90"/>
  <c r="DE25" i="90"/>
  <c r="DE85" i="91"/>
  <c r="DG17" i="90"/>
  <c r="DG69" i="91" s="1"/>
  <c r="DJ139" i="90"/>
  <c r="DJ136" i="90"/>
  <c r="DJ137" i="90"/>
  <c r="DJ135" i="90"/>
  <c r="DK135" i="90" s="1"/>
  <c r="DL135" i="90" s="1"/>
  <c r="DM135" i="90" s="1"/>
  <c r="DI8" i="90"/>
  <c r="DH38" i="90"/>
  <c r="DK45" i="90"/>
  <c r="DJ138" i="90"/>
  <c r="DJ140" i="90"/>
  <c r="DJ142" i="90"/>
  <c r="DJ143" i="90"/>
  <c r="BR97" i="90"/>
  <c r="S144" i="90"/>
  <c r="BX96" i="90"/>
  <c r="BO100" i="90"/>
  <c r="DH87" i="83"/>
  <c r="DL4" i="91"/>
  <c r="DK6" i="91"/>
  <c r="DK5" i="91"/>
  <c r="DK4" i="90"/>
  <c r="DK141" i="90" s="1"/>
  <c r="DJ6" i="90"/>
  <c r="DJ21" i="90" s="1"/>
  <c r="DJ5" i="90"/>
  <c r="DH48" i="83"/>
  <c r="DJ4" i="83"/>
  <c r="DI5" i="83"/>
  <c r="DI6" i="83"/>
  <c r="DI80" i="83" s="1"/>
  <c r="DH82" i="83" l="1"/>
  <c r="DG89" i="83"/>
  <c r="DG90" i="83" s="1"/>
  <c r="DF108" i="83"/>
  <c r="DF109" i="83" s="1"/>
  <c r="DF110" i="83" s="1"/>
  <c r="DF18" i="91" s="1"/>
  <c r="DF14" i="90" s="1"/>
  <c r="DG83" i="83"/>
  <c r="DI47" i="83"/>
  <c r="DI117" i="83"/>
  <c r="DI23" i="91" s="1"/>
  <c r="DI116" i="83"/>
  <c r="DI36" i="83"/>
  <c r="DI37" i="83"/>
  <c r="DI100" i="83"/>
  <c r="DI102" i="83" s="1"/>
  <c r="DI104" i="83" s="1"/>
  <c r="DI39" i="83"/>
  <c r="DI45" i="83" s="1"/>
  <c r="DH118" i="83"/>
  <c r="DH22" i="91"/>
  <c r="DH44" i="83"/>
  <c r="DH51" i="83" s="1"/>
  <c r="DH55" i="83" s="1"/>
  <c r="DH41" i="83"/>
  <c r="DG96" i="83"/>
  <c r="DG97" i="83" s="1"/>
  <c r="DH107" i="83"/>
  <c r="DE157" i="90"/>
  <c r="DE18" i="91"/>
  <c r="E79" i="93"/>
  <c r="E78" i="93"/>
  <c r="I77" i="93"/>
  <c r="DA79" i="91"/>
  <c r="DA80" i="91" s="1"/>
  <c r="DA82" i="91" s="1"/>
  <c r="DI86" i="83"/>
  <c r="DI93" i="83"/>
  <c r="DD173" i="90"/>
  <c r="DD174" i="90" s="1"/>
  <c r="DD175" i="90" s="1"/>
  <c r="DI94" i="83"/>
  <c r="DI78" i="83"/>
  <c r="DB66" i="91"/>
  <c r="DF78" i="91"/>
  <c r="DF70" i="91"/>
  <c r="DC12" i="90"/>
  <c r="DE162" i="90"/>
  <c r="DG64" i="83"/>
  <c r="DG65" i="83" s="1"/>
  <c r="DG149" i="90"/>
  <c r="DG153" i="90" s="1"/>
  <c r="DG62" i="91"/>
  <c r="DF160" i="90"/>
  <c r="DF159" i="90"/>
  <c r="DF161" i="90"/>
  <c r="DC12" i="91"/>
  <c r="DC11" i="90" s="1"/>
  <c r="DC64" i="91"/>
  <c r="DC71" i="91" s="1"/>
  <c r="DC72" i="91" s="1"/>
  <c r="DC74" i="91" s="1"/>
  <c r="DD10" i="91"/>
  <c r="DD73" i="83"/>
  <c r="DD74" i="83" s="1"/>
  <c r="DD15" i="91" s="1"/>
  <c r="DF68" i="83"/>
  <c r="DF155" i="90" s="1"/>
  <c r="DI25" i="83"/>
  <c r="DI28" i="83"/>
  <c r="DI24" i="83"/>
  <c r="DI26" i="83"/>
  <c r="DI27" i="83"/>
  <c r="DI29" i="83"/>
  <c r="DH30" i="83"/>
  <c r="DH32" i="83" s="1"/>
  <c r="DH21" i="91" s="1"/>
  <c r="DI62" i="83"/>
  <c r="DI72" i="83"/>
  <c r="DE86" i="91"/>
  <c r="DE69" i="83"/>
  <c r="DF24" i="91"/>
  <c r="DF25" i="90" s="1"/>
  <c r="CZ37" i="90"/>
  <c r="DE29" i="90"/>
  <c r="DB28" i="90"/>
  <c r="DB30" i="90" s="1"/>
  <c r="DA33" i="90"/>
  <c r="E137" i="90" s="1"/>
  <c r="DG24" i="91"/>
  <c r="DH17" i="90"/>
  <c r="DH69" i="91" s="1"/>
  <c r="DJ8" i="90"/>
  <c r="DI38" i="90"/>
  <c r="DK137" i="90"/>
  <c r="T144" i="90"/>
  <c r="DK139" i="90"/>
  <c r="DK138" i="90"/>
  <c r="DK143" i="90"/>
  <c r="DL143" i="90" s="1"/>
  <c r="BP100" i="90"/>
  <c r="BY96" i="90"/>
  <c r="DK142" i="90"/>
  <c r="DL45" i="90"/>
  <c r="DK136" i="90"/>
  <c r="DL136" i="90" s="1"/>
  <c r="DM136" i="90" s="1"/>
  <c r="BS97" i="90"/>
  <c r="DK140" i="90"/>
  <c r="DI87" i="83"/>
  <c r="DM4" i="91"/>
  <c r="DL6" i="91"/>
  <c r="DL5" i="91"/>
  <c r="DL4" i="90"/>
  <c r="DL141" i="90" s="1"/>
  <c r="DK6" i="90"/>
  <c r="DK21" i="90" s="1"/>
  <c r="DK5" i="90"/>
  <c r="DK4" i="83"/>
  <c r="DJ6" i="83"/>
  <c r="DJ80" i="83" s="1"/>
  <c r="DJ5" i="83"/>
  <c r="DI48" i="83"/>
  <c r="DF63" i="91" l="1"/>
  <c r="DF157" i="90"/>
  <c r="DI82" i="83"/>
  <c r="DH89" i="83"/>
  <c r="DH90" i="83" s="1"/>
  <c r="DG108" i="83"/>
  <c r="DG109" i="83" s="1"/>
  <c r="DG110" i="83" s="1"/>
  <c r="DG18" i="91" s="1"/>
  <c r="DH83" i="83"/>
  <c r="DI44" i="83"/>
  <c r="DI51" i="83" s="1"/>
  <c r="DI55" i="83" s="1"/>
  <c r="DI41" i="83"/>
  <c r="DJ47" i="83"/>
  <c r="DJ117" i="83"/>
  <c r="DJ23" i="91" s="1"/>
  <c r="DJ116" i="83"/>
  <c r="DJ36" i="83"/>
  <c r="DJ100" i="83"/>
  <c r="DJ102" i="83" s="1"/>
  <c r="DJ104" i="83" s="1"/>
  <c r="DJ39" i="83"/>
  <c r="DJ45" i="83" s="1"/>
  <c r="DJ37" i="83"/>
  <c r="DI118" i="83"/>
  <c r="DI22" i="91"/>
  <c r="DH96" i="83"/>
  <c r="DH97" i="83" s="1"/>
  <c r="DE63" i="91"/>
  <c r="DE14" i="90"/>
  <c r="DI107" i="83"/>
  <c r="DB79" i="91"/>
  <c r="DB80" i="91" s="1"/>
  <c r="DB82" i="91" s="1"/>
  <c r="DJ86" i="83"/>
  <c r="DJ93" i="83"/>
  <c r="DJ94" i="83"/>
  <c r="DJ78" i="83"/>
  <c r="DC66" i="91"/>
  <c r="DG78" i="91"/>
  <c r="DG70" i="91"/>
  <c r="DD12" i="90"/>
  <c r="DF162" i="90"/>
  <c r="DG160" i="90"/>
  <c r="DG159" i="90"/>
  <c r="DG161" i="90"/>
  <c r="DC26" i="91"/>
  <c r="DH64" i="83"/>
  <c r="DH65" i="83" s="1"/>
  <c r="DH149" i="90"/>
  <c r="DH153" i="90" s="1"/>
  <c r="DH62" i="91"/>
  <c r="DE173" i="90"/>
  <c r="DE174" i="90" s="1"/>
  <c r="DE175" i="90" s="1"/>
  <c r="DE169" i="90"/>
  <c r="DE170" i="90" s="1"/>
  <c r="DD12" i="91"/>
  <c r="DD11" i="90" s="1"/>
  <c r="DE10" i="91"/>
  <c r="DE12" i="91" s="1"/>
  <c r="DE73" i="83"/>
  <c r="DE74" i="83" s="1"/>
  <c r="DE15" i="91" s="1"/>
  <c r="DI30" i="83"/>
  <c r="DI32" i="83" s="1"/>
  <c r="DI21" i="91" s="1"/>
  <c r="DJ27" i="83"/>
  <c r="DJ25" i="83"/>
  <c r="DJ26" i="83"/>
  <c r="DJ28" i="83"/>
  <c r="DJ24" i="83"/>
  <c r="DJ29" i="83"/>
  <c r="DJ62" i="83"/>
  <c r="DJ72" i="83"/>
  <c r="DG68" i="83"/>
  <c r="DG155" i="90" s="1"/>
  <c r="DD64" i="91"/>
  <c r="DD71" i="91" s="1"/>
  <c r="DD72" i="91" s="1"/>
  <c r="DD74" i="91" s="1"/>
  <c r="DF69" i="83"/>
  <c r="DF85" i="91"/>
  <c r="DF86" i="91" s="1"/>
  <c r="DG25" i="90"/>
  <c r="DG85" i="91"/>
  <c r="DA37" i="90"/>
  <c r="DF29" i="90"/>
  <c r="DC28" i="90"/>
  <c r="DC30" i="90" s="1"/>
  <c r="DB33" i="90"/>
  <c r="E138" i="90" s="1"/>
  <c r="DI17" i="90"/>
  <c r="DI69" i="91" s="1"/>
  <c r="DL139" i="90"/>
  <c r="DL140" i="90"/>
  <c r="DL138" i="90"/>
  <c r="DM138" i="90" s="1"/>
  <c r="DL137" i="90"/>
  <c r="DM137" i="90" s="1"/>
  <c r="DK8" i="90"/>
  <c r="DJ38" i="90"/>
  <c r="BZ96" i="90"/>
  <c r="DM45" i="90"/>
  <c r="BT97" i="90"/>
  <c r="DL142" i="90"/>
  <c r="BQ100" i="90"/>
  <c r="U144" i="90"/>
  <c r="DJ87" i="83"/>
  <c r="DM6" i="91"/>
  <c r="DM5" i="91"/>
  <c r="DL6" i="90"/>
  <c r="DL21" i="90" s="1"/>
  <c r="DL5" i="90"/>
  <c r="DM4" i="90"/>
  <c r="DJ48" i="83"/>
  <c r="DL4" i="83"/>
  <c r="DK6" i="83"/>
  <c r="DK80" i="83" s="1"/>
  <c r="DK5" i="83"/>
  <c r="DI89" i="83" l="1"/>
  <c r="DI90" i="83" s="1"/>
  <c r="DG157" i="90"/>
  <c r="DH108" i="83"/>
  <c r="DH109" i="83" s="1"/>
  <c r="DH110" i="83" s="1"/>
  <c r="DH18" i="91" s="1"/>
  <c r="DH63" i="91" s="1"/>
  <c r="DJ82" i="83"/>
  <c r="DI83" i="83"/>
  <c r="DJ44" i="83"/>
  <c r="DJ51" i="83" s="1"/>
  <c r="DJ55" i="83" s="1"/>
  <c r="DJ41" i="83"/>
  <c r="DJ118" i="83"/>
  <c r="DJ22" i="91"/>
  <c r="DK47" i="83"/>
  <c r="DK116" i="83"/>
  <c r="DK36" i="83"/>
  <c r="DK100" i="83"/>
  <c r="DK102" i="83" s="1"/>
  <c r="DK104" i="83" s="1"/>
  <c r="DK37" i="83"/>
  <c r="DK39" i="83"/>
  <c r="DK45" i="83" s="1"/>
  <c r="DK117" i="83"/>
  <c r="DK23" i="91" s="1"/>
  <c r="DI96" i="83"/>
  <c r="DI97" i="83" s="1"/>
  <c r="DJ107" i="83"/>
  <c r="DC79" i="91"/>
  <c r="DC80" i="91" s="1"/>
  <c r="DC82" i="91" s="1"/>
  <c r="DK86" i="83"/>
  <c r="DK93" i="83"/>
  <c r="DK94" i="83"/>
  <c r="DK78" i="83"/>
  <c r="DD66" i="91"/>
  <c r="DH78" i="91"/>
  <c r="DH70" i="91"/>
  <c r="DH161" i="90"/>
  <c r="DH159" i="90"/>
  <c r="DH160" i="90"/>
  <c r="DG162" i="90"/>
  <c r="DI64" i="83"/>
  <c r="DI65" i="83" s="1"/>
  <c r="DI149" i="90"/>
  <c r="DI153" i="90" s="1"/>
  <c r="DI62" i="91"/>
  <c r="DF173" i="90"/>
  <c r="DF174" i="90" s="1"/>
  <c r="DF175" i="90" s="1"/>
  <c r="DF169" i="90"/>
  <c r="DF170" i="90" s="1"/>
  <c r="DD26" i="91"/>
  <c r="DE12" i="90"/>
  <c r="DE26" i="91"/>
  <c r="DF10" i="91"/>
  <c r="DF12" i="91" s="1"/>
  <c r="DF73" i="83"/>
  <c r="DF74" i="83" s="1"/>
  <c r="DF15" i="91" s="1"/>
  <c r="DJ30" i="83"/>
  <c r="DJ32" i="83" s="1"/>
  <c r="DJ21" i="91" s="1"/>
  <c r="DK24" i="83"/>
  <c r="DK27" i="83"/>
  <c r="DK26" i="83"/>
  <c r="DK25" i="83"/>
  <c r="DK28" i="83"/>
  <c r="DK29" i="83"/>
  <c r="DK62" i="83"/>
  <c r="DE64" i="91"/>
  <c r="DE71" i="91" s="1"/>
  <c r="DE72" i="91" s="1"/>
  <c r="DE74" i="91" s="1"/>
  <c r="DG69" i="83"/>
  <c r="DK72" i="83"/>
  <c r="DH68" i="83"/>
  <c r="DH155" i="90" s="1"/>
  <c r="DE11" i="90"/>
  <c r="DG86" i="91"/>
  <c r="DH24" i="91"/>
  <c r="DH25" i="90" s="1"/>
  <c r="DD28" i="90"/>
  <c r="DD30" i="90" s="1"/>
  <c r="DC33" i="90"/>
  <c r="E139" i="90" s="1"/>
  <c r="DI24" i="91"/>
  <c r="DG14" i="90"/>
  <c r="DG63" i="91"/>
  <c r="DB37" i="90"/>
  <c r="DG29" i="90"/>
  <c r="DM140" i="90"/>
  <c r="DJ17" i="90"/>
  <c r="DJ69" i="91" s="1"/>
  <c r="DM141" i="90"/>
  <c r="DM142" i="90"/>
  <c r="DL8" i="90"/>
  <c r="DK38" i="90"/>
  <c r="BR100" i="90"/>
  <c r="DM139" i="90"/>
  <c r="CA96" i="90"/>
  <c r="V144" i="90"/>
  <c r="DM143" i="90"/>
  <c r="BU97" i="90"/>
  <c r="DK87" i="83"/>
  <c r="DM6" i="90"/>
  <c r="DM21" i="90" s="1"/>
  <c r="DM5" i="90"/>
  <c r="DK48" i="83"/>
  <c r="DM4" i="83"/>
  <c r="DL6" i="83"/>
  <c r="DL80" i="83" s="1"/>
  <c r="DL5" i="83"/>
  <c r="DH157" i="90" l="1"/>
  <c r="DH14" i="90"/>
  <c r="DJ89" i="83"/>
  <c r="DJ90" i="83" s="1"/>
  <c r="DK82" i="83"/>
  <c r="DK83" i="83" s="1"/>
  <c r="DJ96" i="83"/>
  <c r="DJ97" i="83" s="1"/>
  <c r="DJ83" i="83"/>
  <c r="DI108" i="83"/>
  <c r="DI109" i="83" s="1"/>
  <c r="DI110" i="83" s="1"/>
  <c r="DI18" i="91" s="1"/>
  <c r="DI14" i="90" s="1"/>
  <c r="DK44" i="83"/>
  <c r="DK51" i="83" s="1"/>
  <c r="DK55" i="83" s="1"/>
  <c r="DK41" i="83"/>
  <c r="DK118" i="83"/>
  <c r="DK22" i="91"/>
  <c r="DL47" i="83"/>
  <c r="DL116" i="83"/>
  <c r="DL36" i="83"/>
  <c r="DL37" i="83"/>
  <c r="DL100" i="83"/>
  <c r="DL102" i="83" s="1"/>
  <c r="DL104" i="83" s="1"/>
  <c r="DL39" i="83"/>
  <c r="DL45" i="83" s="1"/>
  <c r="DL117" i="83"/>
  <c r="DL23" i="91" s="1"/>
  <c r="DK107" i="83"/>
  <c r="DD79" i="91"/>
  <c r="DD80" i="91" s="1"/>
  <c r="DD82" i="91" s="1"/>
  <c r="DL86" i="83"/>
  <c r="DL93" i="83"/>
  <c r="DL94" i="83"/>
  <c r="DL78" i="83"/>
  <c r="DE66" i="91"/>
  <c r="DI78" i="91"/>
  <c r="DI70" i="91"/>
  <c r="DI160" i="90"/>
  <c r="DI159" i="90"/>
  <c r="DI161" i="90"/>
  <c r="DJ64" i="83"/>
  <c r="DJ65" i="83" s="1"/>
  <c r="DJ62" i="91"/>
  <c r="DJ149" i="90"/>
  <c r="DJ153" i="90" s="1"/>
  <c r="DG173" i="90"/>
  <c r="DG174" i="90" s="1"/>
  <c r="DG175" i="90" s="1"/>
  <c r="DG169" i="90"/>
  <c r="DG170" i="90" s="1"/>
  <c r="DH162" i="90"/>
  <c r="DF26" i="91"/>
  <c r="DG10" i="91"/>
  <c r="DG12" i="91" s="1"/>
  <c r="DG11" i="90" s="1"/>
  <c r="DG73" i="83"/>
  <c r="DG74" i="83" s="1"/>
  <c r="DG15" i="91" s="1"/>
  <c r="DF12" i="90"/>
  <c r="DL29" i="83"/>
  <c r="DL24" i="83"/>
  <c r="DL27" i="83"/>
  <c r="DL25" i="83"/>
  <c r="DL26" i="83"/>
  <c r="DL28" i="83"/>
  <c r="DK30" i="83"/>
  <c r="DK32" i="83" s="1"/>
  <c r="DK21" i="91" s="1"/>
  <c r="DL62" i="83"/>
  <c r="DH69" i="83"/>
  <c r="DF64" i="91"/>
  <c r="DF71" i="91" s="1"/>
  <c r="DF72" i="91" s="1"/>
  <c r="DF74" i="91" s="1"/>
  <c r="DF11" i="90"/>
  <c r="DI68" i="83"/>
  <c r="DI155" i="90" s="1"/>
  <c r="DL72" i="83"/>
  <c r="DH85" i="91"/>
  <c r="DH86" i="91" s="1"/>
  <c r="DI25" i="90"/>
  <c r="DI85" i="91"/>
  <c r="DH29" i="90"/>
  <c r="DC37" i="90"/>
  <c r="DE28" i="90"/>
  <c r="DE30" i="90" s="1"/>
  <c r="DD33" i="90"/>
  <c r="E140" i="90" s="1"/>
  <c r="DK17" i="90"/>
  <c r="DK69" i="91" s="1"/>
  <c r="DM8" i="90"/>
  <c r="DM38" i="90" s="1"/>
  <c r="DM17" i="90" s="1"/>
  <c r="DM69" i="91" s="1"/>
  <c r="DL38" i="90"/>
  <c r="W144" i="90"/>
  <c r="BV97" i="90"/>
  <c r="BS100" i="90"/>
  <c r="CB96" i="90"/>
  <c r="DL87" i="83"/>
  <c r="DL48" i="83"/>
  <c r="DM5" i="83"/>
  <c r="DM6" i="83"/>
  <c r="DM80" i="83" s="1"/>
  <c r="DJ108" i="83" l="1"/>
  <c r="DJ109" i="83" s="1"/>
  <c r="DJ110" i="83" s="1"/>
  <c r="DJ18" i="91" s="1"/>
  <c r="DJ14" i="90" s="1"/>
  <c r="DL82" i="83"/>
  <c r="DI63" i="91"/>
  <c r="DI157" i="90"/>
  <c r="DK96" i="83"/>
  <c r="DK97" i="83" s="1"/>
  <c r="DK89" i="83"/>
  <c r="DK90" i="83" s="1"/>
  <c r="DL44" i="83"/>
  <c r="DL51" i="83" s="1"/>
  <c r="DL55" i="83" s="1"/>
  <c r="DL41" i="83"/>
  <c r="DL118" i="83"/>
  <c r="DL22" i="91"/>
  <c r="DM47" i="83"/>
  <c r="DM116" i="83"/>
  <c r="DM37" i="83"/>
  <c r="DM100" i="83"/>
  <c r="DM117" i="83"/>
  <c r="DM36" i="83"/>
  <c r="DM39" i="83"/>
  <c r="DM45" i="83" s="1"/>
  <c r="DL107" i="83"/>
  <c r="DE79" i="91"/>
  <c r="DE80" i="91" s="1"/>
  <c r="DE82" i="91" s="1"/>
  <c r="DM86" i="83"/>
  <c r="I86" i="83" s="1"/>
  <c r="DM93" i="83"/>
  <c r="I93" i="83" s="1"/>
  <c r="DM94" i="83"/>
  <c r="DM78" i="83"/>
  <c r="I78" i="83" s="1"/>
  <c r="DF66" i="91"/>
  <c r="DJ78" i="91"/>
  <c r="DJ70" i="91"/>
  <c r="DK64" i="83"/>
  <c r="DK65" i="83" s="1"/>
  <c r="DK62" i="91"/>
  <c r="DK149" i="90"/>
  <c r="DK153" i="90" s="1"/>
  <c r="DH173" i="90"/>
  <c r="DH174" i="90" s="1"/>
  <c r="DH175" i="90" s="1"/>
  <c r="DH169" i="90"/>
  <c r="DH170" i="90" s="1"/>
  <c r="DJ160" i="90"/>
  <c r="DJ159" i="90"/>
  <c r="DJ161" i="90"/>
  <c r="DI162" i="90"/>
  <c r="DG26" i="91"/>
  <c r="DH10" i="91"/>
  <c r="DH12" i="91" s="1"/>
  <c r="DH11" i="90" s="1"/>
  <c r="DH73" i="83"/>
  <c r="DH74" i="83" s="1"/>
  <c r="DH15" i="91" s="1"/>
  <c r="DG12" i="90"/>
  <c r="DM26" i="83"/>
  <c r="DM29" i="83"/>
  <c r="DM24" i="83"/>
  <c r="DM25" i="83"/>
  <c r="DM27" i="83"/>
  <c r="DM28" i="83"/>
  <c r="DL30" i="83"/>
  <c r="DL32" i="83" s="1"/>
  <c r="DL21" i="91" s="1"/>
  <c r="DM62" i="83"/>
  <c r="DM72" i="83"/>
  <c r="DG64" i="91"/>
  <c r="DG71" i="91" s="1"/>
  <c r="DG72" i="91" s="1"/>
  <c r="DG74" i="91" s="1"/>
  <c r="DI69" i="83"/>
  <c r="DI86" i="91"/>
  <c r="DJ24" i="91"/>
  <c r="DJ85" i="91" s="1"/>
  <c r="DD37" i="90"/>
  <c r="DF28" i="90"/>
  <c r="DF30" i="90" s="1"/>
  <c r="DE33" i="90"/>
  <c r="E141" i="90" s="1"/>
  <c r="DI29" i="90"/>
  <c r="DL17" i="90"/>
  <c r="DL69" i="91" s="1"/>
  <c r="CC96" i="90"/>
  <c r="BW97" i="90"/>
  <c r="X144" i="90"/>
  <c r="BT100" i="90"/>
  <c r="BU100" i="90" s="1"/>
  <c r="DM87" i="83"/>
  <c r="DM48" i="83"/>
  <c r="DL89" i="83" l="1"/>
  <c r="DK108" i="83"/>
  <c r="DK109" i="83" s="1"/>
  <c r="DK110" i="83" s="1"/>
  <c r="DK18" i="91" s="1"/>
  <c r="DM82" i="83"/>
  <c r="DM102" i="83"/>
  <c r="DM104" i="83" s="1"/>
  <c r="I104" i="83" s="1"/>
  <c r="D34" i="80" s="1"/>
  <c r="I100" i="83"/>
  <c r="DM44" i="83"/>
  <c r="DM51" i="83" s="1"/>
  <c r="DM41" i="83"/>
  <c r="DM118" i="83"/>
  <c r="I118" i="83" s="1"/>
  <c r="DM22" i="91"/>
  <c r="I116" i="83"/>
  <c r="DM23" i="91"/>
  <c r="I23" i="91" s="1"/>
  <c r="I117" i="83"/>
  <c r="DL96" i="83"/>
  <c r="DL97" i="83" s="1"/>
  <c r="DL83" i="83"/>
  <c r="DJ63" i="91"/>
  <c r="DJ157" i="90"/>
  <c r="DF79" i="91"/>
  <c r="DF80" i="91" s="1"/>
  <c r="DF82" i="91" s="1"/>
  <c r="DL90" i="83"/>
  <c r="DG66" i="91"/>
  <c r="DK78" i="91"/>
  <c r="DK70" i="91"/>
  <c r="I27" i="83"/>
  <c r="DJ162" i="90"/>
  <c r="I29" i="83"/>
  <c r="I26" i="83"/>
  <c r="DL64" i="83"/>
  <c r="DL65" i="83" s="1"/>
  <c r="DL62" i="91"/>
  <c r="DL149" i="90"/>
  <c r="DL153" i="90" s="1"/>
  <c r="DI169" i="90"/>
  <c r="DI170" i="90" s="1"/>
  <c r="DI173" i="90"/>
  <c r="DI174" i="90" s="1"/>
  <c r="DI175" i="90" s="1"/>
  <c r="I25" i="83"/>
  <c r="DK161" i="90"/>
  <c r="DK160" i="90"/>
  <c r="DK159" i="90"/>
  <c r="DH26" i="91"/>
  <c r="DH12" i="90"/>
  <c r="DI10" i="91"/>
  <c r="DI12" i="91" s="1"/>
  <c r="DI73" i="83"/>
  <c r="DI74" i="83" s="1"/>
  <c r="DI15" i="91" s="1"/>
  <c r="DJ68" i="83"/>
  <c r="DM30" i="83"/>
  <c r="DM32" i="83" s="1"/>
  <c r="DM21" i="91" s="1"/>
  <c r="I21" i="91" s="1"/>
  <c r="I28" i="83"/>
  <c r="DK68" i="83"/>
  <c r="DK155" i="90" s="1"/>
  <c r="DH64" i="91"/>
  <c r="DH71" i="91" s="1"/>
  <c r="DH72" i="91" s="1"/>
  <c r="DH74" i="91" s="1"/>
  <c r="DJ86" i="91"/>
  <c r="DJ25" i="90"/>
  <c r="DJ29" i="90" s="1"/>
  <c r="DK24" i="91"/>
  <c r="DK25" i="90" s="1"/>
  <c r="I115" i="83"/>
  <c r="DE37" i="90"/>
  <c r="I113" i="83"/>
  <c r="DG28" i="90"/>
  <c r="DG30" i="90" s="1"/>
  <c r="DF33" i="90"/>
  <c r="E142" i="90" s="1"/>
  <c r="I24" i="83"/>
  <c r="I114" i="83"/>
  <c r="DL24" i="91"/>
  <c r="BV100" i="90"/>
  <c r="BX97" i="90"/>
  <c r="Y144" i="90"/>
  <c r="CD96" i="90"/>
  <c r="DM107" i="83" l="1"/>
  <c r="I107" i="83" s="1"/>
  <c r="DK157" i="90"/>
  <c r="DM83" i="83"/>
  <c r="I83" i="83" s="1"/>
  <c r="D31" i="80" s="1"/>
  <c r="I44" i="83"/>
  <c r="I45" i="83" s="1"/>
  <c r="DL108" i="83"/>
  <c r="DL109" i="83" s="1"/>
  <c r="DL110" i="83" s="1"/>
  <c r="DL18" i="91" s="1"/>
  <c r="DL63" i="91" s="1"/>
  <c r="I82" i="83"/>
  <c r="DM96" i="83"/>
  <c r="DG79" i="91"/>
  <c r="DG80" i="91" s="1"/>
  <c r="DG82" i="91" s="1"/>
  <c r="DH66" i="91"/>
  <c r="DL70" i="91"/>
  <c r="DL78" i="91"/>
  <c r="DL159" i="90"/>
  <c r="DL160" i="90"/>
  <c r="DL161" i="90"/>
  <c r="DK162" i="90"/>
  <c r="DJ173" i="90"/>
  <c r="DJ174" i="90" s="1"/>
  <c r="DJ175" i="90" s="1"/>
  <c r="DJ169" i="90"/>
  <c r="DJ170" i="90" s="1"/>
  <c r="DJ69" i="83"/>
  <c r="DJ10" i="91" s="1"/>
  <c r="DJ12" i="91" s="1"/>
  <c r="DJ155" i="90"/>
  <c r="DI12" i="90"/>
  <c r="DL68" i="83"/>
  <c r="DL155" i="90" s="1"/>
  <c r="DH79" i="91"/>
  <c r="DH80" i="91" s="1"/>
  <c r="DH82" i="91" s="1"/>
  <c r="DI11" i="90"/>
  <c r="DI26" i="91"/>
  <c r="DI64" i="91"/>
  <c r="DI71" i="91" s="1"/>
  <c r="DI72" i="91" s="1"/>
  <c r="DI74" i="91" s="1"/>
  <c r="DK69" i="83"/>
  <c r="DK85" i="91"/>
  <c r="DK86" i="91" s="1"/>
  <c r="DL25" i="90"/>
  <c r="DL85" i="91"/>
  <c r="DH28" i="90"/>
  <c r="DH30" i="90" s="1"/>
  <c r="DG33" i="90"/>
  <c r="I22" i="91"/>
  <c r="D45" i="80" s="1"/>
  <c r="DK29" i="90"/>
  <c r="I30" i="83"/>
  <c r="DF37" i="90"/>
  <c r="DK63" i="91"/>
  <c r="DK14" i="90"/>
  <c r="CE96" i="90"/>
  <c r="BY97" i="90"/>
  <c r="Z144" i="90"/>
  <c r="BW100" i="90"/>
  <c r="DM89" i="83"/>
  <c r="I41" i="83"/>
  <c r="D20" i="80" s="1"/>
  <c r="DL157" i="90" l="1"/>
  <c r="I47" i="83"/>
  <c r="DL14" i="90"/>
  <c r="DM97" i="83"/>
  <c r="I97" i="83" s="1"/>
  <c r="D33" i="80" s="1"/>
  <c r="I96" i="83"/>
  <c r="DM90" i="83"/>
  <c r="DM108" i="83"/>
  <c r="DM109" i="83" s="1"/>
  <c r="DI66" i="91"/>
  <c r="DJ73" i="83"/>
  <c r="DJ74" i="83" s="1"/>
  <c r="DJ15" i="91" s="1"/>
  <c r="DJ26" i="91" s="1"/>
  <c r="DK173" i="90"/>
  <c r="DK174" i="90" s="1"/>
  <c r="DK175" i="90" s="1"/>
  <c r="DK169" i="90"/>
  <c r="DK170" i="90" s="1"/>
  <c r="DL162" i="90"/>
  <c r="DK10" i="91"/>
  <c r="DK12" i="91" s="1"/>
  <c r="DK73" i="83"/>
  <c r="DK74" i="83" s="1"/>
  <c r="DK15" i="91" s="1"/>
  <c r="DG37" i="90"/>
  <c r="E143" i="90"/>
  <c r="DJ64" i="91"/>
  <c r="DJ71" i="91" s="1"/>
  <c r="DJ72" i="91" s="1"/>
  <c r="DJ74" i="91" s="1"/>
  <c r="DL86" i="91"/>
  <c r="DL69" i="83"/>
  <c r="DJ11" i="90"/>
  <c r="DL29" i="90"/>
  <c r="I32" i="83"/>
  <c r="DI28" i="90"/>
  <c r="DI30" i="90" s="1"/>
  <c r="DH33" i="90"/>
  <c r="E144" i="90" s="1"/>
  <c r="BX100" i="90"/>
  <c r="BZ97" i="90"/>
  <c r="AA144" i="90"/>
  <c r="CF96" i="90"/>
  <c r="I89" i="83"/>
  <c r="DM55" i="83"/>
  <c r="DI79" i="91" l="1"/>
  <c r="DI80" i="91" s="1"/>
  <c r="DI82" i="91" s="1"/>
  <c r="DM110" i="83"/>
  <c r="DM18" i="91" s="1"/>
  <c r="I109" i="83"/>
  <c r="DJ12" i="90"/>
  <c r="DJ66" i="91"/>
  <c r="DK12" i="90"/>
  <c r="DM64" i="83"/>
  <c r="DM65" i="83" s="1"/>
  <c r="DM62" i="91"/>
  <c r="DM149" i="90"/>
  <c r="DL169" i="90"/>
  <c r="DL170" i="90" s="1"/>
  <c r="DL173" i="90"/>
  <c r="DL174" i="90" s="1"/>
  <c r="DL175" i="90" s="1"/>
  <c r="DK26" i="91"/>
  <c r="DL10" i="91"/>
  <c r="DL73" i="83"/>
  <c r="DL74" i="83" s="1"/>
  <c r="DL15" i="91" s="1"/>
  <c r="I90" i="83"/>
  <c r="D32" i="80" s="1"/>
  <c r="D35" i="80" s="1"/>
  <c r="V146" i="90"/>
  <c r="T146" i="90"/>
  <c r="Z146" i="90"/>
  <c r="AD38" i="90" s="1"/>
  <c r="AD17" i="90" s="1"/>
  <c r="S146" i="90"/>
  <c r="R146" i="90"/>
  <c r="W146" i="90"/>
  <c r="N146" i="90"/>
  <c r="K146" i="90"/>
  <c r="Q146" i="90"/>
  <c r="M146" i="90"/>
  <c r="M171" i="90" s="1"/>
  <c r="M13" i="90" s="1"/>
  <c r="O146" i="90"/>
  <c r="L146" i="90"/>
  <c r="L171" i="90" s="1"/>
  <c r="L13" i="90" s="1"/>
  <c r="J146" i="90"/>
  <c r="P146" i="90"/>
  <c r="U146" i="90"/>
  <c r="Y146" i="90"/>
  <c r="X146" i="90"/>
  <c r="I55" i="83"/>
  <c r="DK11" i="90"/>
  <c r="DK64" i="91"/>
  <c r="DK71" i="91" s="1"/>
  <c r="DK72" i="91" s="1"/>
  <c r="DK74" i="91" s="1"/>
  <c r="DH37" i="90"/>
  <c r="DJ28" i="90"/>
  <c r="DJ30" i="90" s="1"/>
  <c r="DI33" i="90"/>
  <c r="DI37" i="90" s="1"/>
  <c r="D44" i="80"/>
  <c r="DM24" i="91"/>
  <c r="CG96" i="90"/>
  <c r="CA97" i="90"/>
  <c r="AB144" i="90"/>
  <c r="AA146" i="90"/>
  <c r="AE38" i="90" s="1"/>
  <c r="AE17" i="90" s="1"/>
  <c r="BY100" i="90"/>
  <c r="I51" i="83"/>
  <c r="AD69" i="91" l="1"/>
  <c r="AD70" i="91" s="1"/>
  <c r="AD72" i="91" s="1"/>
  <c r="AD161" i="90"/>
  <c r="AD162" i="90" s="1"/>
  <c r="AE69" i="91"/>
  <c r="AE70" i="91" s="1"/>
  <c r="AE72" i="91" s="1"/>
  <c r="AE161" i="90"/>
  <c r="AE162" i="90" s="1"/>
  <c r="AC38" i="90"/>
  <c r="AC17" i="90" s="1"/>
  <c r="D28" i="80"/>
  <c r="DJ79" i="91"/>
  <c r="DJ80" i="91" s="1"/>
  <c r="DJ82" i="91" s="1"/>
  <c r="DK66" i="91"/>
  <c r="DM78" i="91"/>
  <c r="DM70" i="91"/>
  <c r="DM153" i="90"/>
  <c r="I149" i="90"/>
  <c r="I108" i="83"/>
  <c r="L15" i="90"/>
  <c r="L30" i="91"/>
  <c r="L77" i="91" s="1"/>
  <c r="M15" i="90"/>
  <c r="M30" i="91"/>
  <c r="M77" i="91" s="1"/>
  <c r="X38" i="90"/>
  <c r="X17" i="90" s="1"/>
  <c r="X69" i="91" s="1"/>
  <c r="X70" i="91" s="1"/>
  <c r="X72" i="91" s="1"/>
  <c r="L38" i="90"/>
  <c r="L17" i="90" s="1"/>
  <c r="L69" i="91" s="1"/>
  <c r="M38" i="90"/>
  <c r="M17" i="90" s="1"/>
  <c r="M69" i="91" s="1"/>
  <c r="K171" i="90"/>
  <c r="K13" i="90" s="1"/>
  <c r="AA38" i="90"/>
  <c r="AA17" i="90" s="1"/>
  <c r="DL12" i="91"/>
  <c r="DL11" i="90" s="1"/>
  <c r="O38" i="90"/>
  <c r="O17" i="90" s="1"/>
  <c r="O69" i="91" s="1"/>
  <c r="O70" i="91" s="1"/>
  <c r="O72" i="91" s="1"/>
  <c r="DL12" i="90"/>
  <c r="R38" i="90"/>
  <c r="R17" i="90" s="1"/>
  <c r="R69" i="91" s="1"/>
  <c r="R70" i="91" s="1"/>
  <c r="R72" i="91" s="1"/>
  <c r="Q38" i="90"/>
  <c r="Q17" i="90" s="1"/>
  <c r="Q69" i="91" s="1"/>
  <c r="Q70" i="91" s="1"/>
  <c r="Q72" i="91" s="1"/>
  <c r="W38" i="90"/>
  <c r="W17" i="90" s="1"/>
  <c r="W69" i="91" s="1"/>
  <c r="W70" i="91" s="1"/>
  <c r="W72" i="91" s="1"/>
  <c r="V38" i="90"/>
  <c r="V17" i="90" s="1"/>
  <c r="V69" i="91" s="1"/>
  <c r="V70" i="91" s="1"/>
  <c r="V72" i="91" s="1"/>
  <c r="Y38" i="90"/>
  <c r="Y17" i="90" s="1"/>
  <c r="N38" i="90"/>
  <c r="N17" i="90" s="1"/>
  <c r="N69" i="91" s="1"/>
  <c r="N70" i="91" s="1"/>
  <c r="N72" i="91" s="1"/>
  <c r="P38" i="90"/>
  <c r="P17" i="90" s="1"/>
  <c r="P69" i="91" s="1"/>
  <c r="P70" i="91" s="1"/>
  <c r="P72" i="91" s="1"/>
  <c r="S38" i="90"/>
  <c r="S17" i="90" s="1"/>
  <c r="S69" i="91" s="1"/>
  <c r="S70" i="91" s="1"/>
  <c r="S72" i="91" s="1"/>
  <c r="Z38" i="90"/>
  <c r="Z17" i="90" s="1"/>
  <c r="AB38" i="90"/>
  <c r="AB17" i="90" s="1"/>
  <c r="U38" i="90"/>
  <c r="U17" i="90" s="1"/>
  <c r="U69" i="91" s="1"/>
  <c r="U70" i="91" s="1"/>
  <c r="U72" i="91" s="1"/>
  <c r="T38" i="90"/>
  <c r="T17" i="90" s="1"/>
  <c r="T69" i="91" s="1"/>
  <c r="T70" i="91" s="1"/>
  <c r="T72" i="91" s="1"/>
  <c r="DL64" i="91"/>
  <c r="DL71" i="91" s="1"/>
  <c r="DL72" i="91" s="1"/>
  <c r="DL74" i="91" s="1"/>
  <c r="DM25" i="90"/>
  <c r="DM85" i="91"/>
  <c r="I24" i="91"/>
  <c r="DK28" i="90"/>
  <c r="DK30" i="90" s="1"/>
  <c r="DJ33" i="90"/>
  <c r="DM14" i="90"/>
  <c r="DM63" i="91"/>
  <c r="I63" i="91" s="1"/>
  <c r="I18" i="91"/>
  <c r="BZ100" i="90"/>
  <c r="CB97" i="90"/>
  <c r="AC144" i="90"/>
  <c r="AB146" i="90"/>
  <c r="AF38" i="90" s="1"/>
  <c r="AF17" i="90" s="1"/>
  <c r="CH96" i="90"/>
  <c r="AE173" i="90" l="1"/>
  <c r="AE174" i="90" s="1"/>
  <c r="AE175" i="90" s="1"/>
  <c r="AE169" i="90"/>
  <c r="AE170" i="90" s="1"/>
  <c r="AE74" i="91"/>
  <c r="AE79" i="91"/>
  <c r="AD173" i="90"/>
  <c r="AD174" i="90" s="1"/>
  <c r="AD175" i="90" s="1"/>
  <c r="AD169" i="90"/>
  <c r="AD170" i="90" s="1"/>
  <c r="AF69" i="91"/>
  <c r="AF70" i="91" s="1"/>
  <c r="AF72" i="91" s="1"/>
  <c r="AF161" i="90"/>
  <c r="AF162" i="90" s="1"/>
  <c r="AD74" i="91"/>
  <c r="AD79" i="91"/>
  <c r="AC69" i="91"/>
  <c r="AC70" i="91" s="1"/>
  <c r="AC72" i="91" s="1"/>
  <c r="AC161" i="90"/>
  <c r="AC162" i="90" s="1"/>
  <c r="AB69" i="91"/>
  <c r="AB70" i="91" s="1"/>
  <c r="AB72" i="91" s="1"/>
  <c r="AB161" i="90"/>
  <c r="AB162" i="90" s="1"/>
  <c r="Z69" i="91"/>
  <c r="Z70" i="91" s="1"/>
  <c r="Z72" i="91" s="1"/>
  <c r="Z161" i="90"/>
  <c r="Z162" i="90" s="1"/>
  <c r="AA69" i="91"/>
  <c r="AA70" i="91" s="1"/>
  <c r="AA72" i="91" s="1"/>
  <c r="AA161" i="90"/>
  <c r="AA162" i="90" s="1"/>
  <c r="Y69" i="91"/>
  <c r="Y70" i="91" s="1"/>
  <c r="Y72" i="91" s="1"/>
  <c r="Y161" i="90"/>
  <c r="Y162" i="90" s="1"/>
  <c r="O74" i="91"/>
  <c r="O79" i="91"/>
  <c r="U74" i="91"/>
  <c r="U79" i="91"/>
  <c r="S74" i="91"/>
  <c r="S79" i="91"/>
  <c r="P74" i="91"/>
  <c r="P79" i="91"/>
  <c r="W74" i="91"/>
  <c r="W79" i="91"/>
  <c r="X74" i="91"/>
  <c r="X79" i="91"/>
  <c r="Q74" i="91"/>
  <c r="Q79" i="91"/>
  <c r="V74" i="91"/>
  <c r="V79" i="91"/>
  <c r="R74" i="91"/>
  <c r="R79" i="91"/>
  <c r="N74" i="91"/>
  <c r="N79" i="91"/>
  <c r="T74" i="91"/>
  <c r="T79" i="91"/>
  <c r="DK79" i="91"/>
  <c r="DK80" i="91" s="1"/>
  <c r="DK82" i="91" s="1"/>
  <c r="DL66" i="91"/>
  <c r="L18" i="90"/>
  <c r="DM160" i="90"/>
  <c r="DM161" i="90"/>
  <c r="DM159" i="90"/>
  <c r="I153" i="90"/>
  <c r="I110" i="83"/>
  <c r="DM157" i="90"/>
  <c r="I157" i="90" s="1"/>
  <c r="K15" i="90"/>
  <c r="K18" i="90" s="1"/>
  <c r="K30" i="91"/>
  <c r="K77" i="91" s="1"/>
  <c r="M18" i="90"/>
  <c r="X161" i="90"/>
  <c r="X162" i="90" s="1"/>
  <c r="T161" i="90"/>
  <c r="T162" i="90" s="1"/>
  <c r="S161" i="90"/>
  <c r="S162" i="90" s="1"/>
  <c r="P161" i="90"/>
  <c r="P162" i="90" s="1"/>
  <c r="N161" i="90"/>
  <c r="N162" i="90" s="1"/>
  <c r="DL26" i="91"/>
  <c r="V161" i="90"/>
  <c r="V162" i="90" s="1"/>
  <c r="Q161" i="90"/>
  <c r="Q162" i="90" s="1"/>
  <c r="R161" i="90"/>
  <c r="R162" i="90" s="1"/>
  <c r="U161" i="90"/>
  <c r="U162" i="90" s="1"/>
  <c r="O161" i="90"/>
  <c r="O162" i="90" s="1"/>
  <c r="W161" i="90"/>
  <c r="W162" i="90" s="1"/>
  <c r="L39" i="90"/>
  <c r="M36" i="90" s="1"/>
  <c r="M39" i="90" s="1"/>
  <c r="N36" i="90" s="1"/>
  <c r="N39" i="90" s="1"/>
  <c r="O36" i="90" s="1"/>
  <c r="O39" i="90" s="1"/>
  <c r="P36" i="90" s="1"/>
  <c r="P39" i="90" s="1"/>
  <c r="Q36" i="90" s="1"/>
  <c r="Q39" i="90" s="1"/>
  <c r="R36" i="90" s="1"/>
  <c r="R39" i="90" s="1"/>
  <c r="S36" i="90" s="1"/>
  <c r="S39" i="90" s="1"/>
  <c r="T36" i="90" s="1"/>
  <c r="T39" i="90" s="1"/>
  <c r="U36" i="90" s="1"/>
  <c r="U39" i="90" s="1"/>
  <c r="V36" i="90" s="1"/>
  <c r="V39" i="90" s="1"/>
  <c r="W36" i="90" s="1"/>
  <c r="W39" i="90" s="1"/>
  <c r="X36" i="90" s="1"/>
  <c r="X39" i="90" s="1"/>
  <c r="Y36" i="90" s="1"/>
  <c r="Y39" i="90" s="1"/>
  <c r="Z36" i="90" s="1"/>
  <c r="Z39" i="90" s="1"/>
  <c r="AA36" i="90" s="1"/>
  <c r="AA39" i="90" s="1"/>
  <c r="AB36" i="90" s="1"/>
  <c r="AB39" i="90" s="1"/>
  <c r="AC36" i="90" s="1"/>
  <c r="AC39" i="90" s="1"/>
  <c r="AD36" i="90" s="1"/>
  <c r="AD39" i="90" s="1"/>
  <c r="AE36" i="90" s="1"/>
  <c r="AE39" i="90" s="1"/>
  <c r="AF36" i="90" s="1"/>
  <c r="AF39" i="90" s="1"/>
  <c r="AG36" i="90" s="1"/>
  <c r="J171" i="90"/>
  <c r="J13" i="90" s="1"/>
  <c r="J30" i="91" s="1"/>
  <c r="J77" i="91" s="1"/>
  <c r="DL79" i="91"/>
  <c r="DL80" i="91" s="1"/>
  <c r="DL82" i="91" s="1"/>
  <c r="DL28" i="90"/>
  <c r="DL30" i="90" s="1"/>
  <c r="DK33" i="90"/>
  <c r="DK37" i="90" s="1"/>
  <c r="I14" i="90"/>
  <c r="I85" i="91"/>
  <c r="DM86" i="91"/>
  <c r="DJ37" i="90"/>
  <c r="I25" i="90"/>
  <c r="DM29" i="90"/>
  <c r="I29" i="90" s="1"/>
  <c r="AD144" i="90"/>
  <c r="AC146" i="90"/>
  <c r="AG38" i="90" s="1"/>
  <c r="AG17" i="90" s="1"/>
  <c r="CA100" i="90"/>
  <c r="CI96" i="90"/>
  <c r="CC97" i="90"/>
  <c r="I64" i="83"/>
  <c r="M20" i="90" l="1"/>
  <c r="M22" i="90" s="1"/>
  <c r="I10" i="97"/>
  <c r="L20" i="90"/>
  <c r="L22" i="90" s="1"/>
  <c r="H12" i="97" s="1"/>
  <c r="H10" i="97"/>
  <c r="K20" i="90"/>
  <c r="K22" i="90" s="1"/>
  <c r="G10" i="97"/>
  <c r="AG69" i="91"/>
  <c r="AG70" i="91" s="1"/>
  <c r="AG72" i="91" s="1"/>
  <c r="AG161" i="90"/>
  <c r="AG162" i="90" s="1"/>
  <c r="AF169" i="90"/>
  <c r="AF170" i="90" s="1"/>
  <c r="AF173" i="90"/>
  <c r="AF174" i="90" s="1"/>
  <c r="AF175" i="90" s="1"/>
  <c r="AG39" i="90"/>
  <c r="AH36" i="90" s="1"/>
  <c r="AF74" i="91"/>
  <c r="AF79" i="91"/>
  <c r="Y169" i="90"/>
  <c r="Y170" i="90" s="1"/>
  <c r="Y171" i="90" s="1"/>
  <c r="Y173" i="90"/>
  <c r="Y174" i="90" s="1"/>
  <c r="Y175" i="90" s="1"/>
  <c r="AA74" i="91"/>
  <c r="AA79" i="91"/>
  <c r="Z169" i="90"/>
  <c r="Z170" i="90" s="1"/>
  <c r="Z171" i="90" s="1"/>
  <c r="Z173" i="90"/>
  <c r="Z174" i="90" s="1"/>
  <c r="Z175" i="90" s="1"/>
  <c r="Y74" i="91"/>
  <c r="Y79" i="91"/>
  <c r="Z74" i="91"/>
  <c r="Z79" i="91"/>
  <c r="AB169" i="90"/>
  <c r="AB170" i="90" s="1"/>
  <c r="AB171" i="90" s="1"/>
  <c r="AB173" i="90"/>
  <c r="AB174" i="90" s="1"/>
  <c r="AB175" i="90" s="1"/>
  <c r="AB74" i="91"/>
  <c r="AB79" i="91"/>
  <c r="AC169" i="90"/>
  <c r="AC170" i="90" s="1"/>
  <c r="AC171" i="90" s="1"/>
  <c r="AC173" i="90"/>
  <c r="AC174" i="90" s="1"/>
  <c r="AC175" i="90" s="1"/>
  <c r="AA173" i="90"/>
  <c r="AA174" i="90" s="1"/>
  <c r="AA175" i="90" s="1"/>
  <c r="AA169" i="90"/>
  <c r="AA170" i="90" s="1"/>
  <c r="AA171" i="90" s="1"/>
  <c r="AC74" i="91"/>
  <c r="AC79" i="91"/>
  <c r="I160" i="90"/>
  <c r="DM162" i="90"/>
  <c r="DM173" i="90" s="1"/>
  <c r="DM174" i="90" s="1"/>
  <c r="DM175" i="90" s="1"/>
  <c r="O173" i="90"/>
  <c r="O174" i="90" s="1"/>
  <c r="O175" i="90" s="1"/>
  <c r="O169" i="90"/>
  <c r="O170" i="90" s="1"/>
  <c r="O171" i="90" s="1"/>
  <c r="U169" i="90"/>
  <c r="U170" i="90" s="1"/>
  <c r="U171" i="90" s="1"/>
  <c r="U173" i="90"/>
  <c r="U174" i="90" s="1"/>
  <c r="U175" i="90" s="1"/>
  <c r="P169" i="90"/>
  <c r="P170" i="90" s="1"/>
  <c r="P171" i="90" s="1"/>
  <c r="P173" i="90"/>
  <c r="P174" i="90" s="1"/>
  <c r="P175" i="90" s="1"/>
  <c r="R173" i="90"/>
  <c r="R174" i="90" s="1"/>
  <c r="R175" i="90" s="1"/>
  <c r="R169" i="90"/>
  <c r="R170" i="90" s="1"/>
  <c r="R171" i="90" s="1"/>
  <c r="S169" i="90"/>
  <c r="S170" i="90" s="1"/>
  <c r="S171" i="90" s="1"/>
  <c r="S173" i="90"/>
  <c r="S174" i="90" s="1"/>
  <c r="S175" i="90" s="1"/>
  <c r="Q169" i="90"/>
  <c r="Q170" i="90" s="1"/>
  <c r="Q171" i="90" s="1"/>
  <c r="Q173" i="90"/>
  <c r="Q174" i="90" s="1"/>
  <c r="Q175" i="90" s="1"/>
  <c r="N173" i="90"/>
  <c r="N174" i="90" s="1"/>
  <c r="N169" i="90"/>
  <c r="N170" i="90" s="1"/>
  <c r="N171" i="90" s="1"/>
  <c r="T169" i="90"/>
  <c r="T170" i="90" s="1"/>
  <c r="T171" i="90" s="1"/>
  <c r="T173" i="90"/>
  <c r="T174" i="90" s="1"/>
  <c r="T175" i="90" s="1"/>
  <c r="J15" i="90"/>
  <c r="J18" i="90" s="1"/>
  <c r="V173" i="90"/>
  <c r="V174" i="90" s="1"/>
  <c r="V175" i="90" s="1"/>
  <c r="V169" i="90"/>
  <c r="V170" i="90" s="1"/>
  <c r="V171" i="90" s="1"/>
  <c r="X169" i="90"/>
  <c r="X170" i="90" s="1"/>
  <c r="X171" i="90" s="1"/>
  <c r="X173" i="90"/>
  <c r="X174" i="90" s="1"/>
  <c r="X175" i="90" s="1"/>
  <c r="W169" i="90"/>
  <c r="W170" i="90" s="1"/>
  <c r="W171" i="90" s="1"/>
  <c r="W173" i="90"/>
  <c r="W174" i="90" s="1"/>
  <c r="W175" i="90" s="1"/>
  <c r="I62" i="83"/>
  <c r="D7" i="80" s="1"/>
  <c r="DM28" i="90"/>
  <c r="DM30" i="90" s="1"/>
  <c r="DM33" i="90" s="1"/>
  <c r="DM37" i="90" s="1"/>
  <c r="DL33" i="90"/>
  <c r="CJ96" i="90"/>
  <c r="AE144" i="90"/>
  <c r="AD146" i="90"/>
  <c r="CD97" i="90"/>
  <c r="CB100" i="90"/>
  <c r="DM68" i="83"/>
  <c r="DM155" i="90" s="1"/>
  <c r="I155" i="90" s="1"/>
  <c r="I159" i="90" s="1"/>
  <c r="I65" i="83"/>
  <c r="K28" i="91" l="1"/>
  <c r="K32" i="91" s="1"/>
  <c r="K33" i="91" s="1"/>
  <c r="K14" i="92" s="1"/>
  <c r="G12" i="97"/>
  <c r="G15" i="97" s="1"/>
  <c r="H15" i="97"/>
  <c r="J20" i="90"/>
  <c r="J22" i="90" s="1"/>
  <c r="F12" i="97" s="1"/>
  <c r="F10" i="97"/>
  <c r="M28" i="91"/>
  <c r="M32" i="91" s="1"/>
  <c r="M33" i="91" s="1"/>
  <c r="I12" i="97"/>
  <c r="I15" i="97" s="1"/>
  <c r="K53" i="91"/>
  <c r="AD171" i="90"/>
  <c r="AD13" i="90" s="1"/>
  <c r="AD30" i="91" s="1"/>
  <c r="AD77" i="91" s="1"/>
  <c r="AD78" i="91" s="1"/>
  <c r="AD80" i="91" s="1"/>
  <c r="AD82" i="91" s="1"/>
  <c r="AH38" i="90"/>
  <c r="AH17" i="90" s="1"/>
  <c r="AG173" i="90"/>
  <c r="AG174" i="90" s="1"/>
  <c r="AG175" i="90" s="1"/>
  <c r="AG169" i="90"/>
  <c r="AG170" i="90" s="1"/>
  <c r="AG74" i="91"/>
  <c r="AG79" i="91"/>
  <c r="Z13" i="90"/>
  <c r="Z15" i="90" s="1"/>
  <c r="Z18" i="90" s="1"/>
  <c r="K16" i="93"/>
  <c r="K32" i="93" s="1"/>
  <c r="K37" i="93" s="1"/>
  <c r="K61" i="93" s="1"/>
  <c r="K73" i="93" s="1"/>
  <c r="K109" i="93" s="1"/>
  <c r="K115" i="93" s="1"/>
  <c r="AC13" i="90"/>
  <c r="AC30" i="91" s="1"/>
  <c r="AC77" i="91" s="1"/>
  <c r="AC78" i="91" s="1"/>
  <c r="AC80" i="91" s="1"/>
  <c r="AC82" i="91" s="1"/>
  <c r="Y13" i="90"/>
  <c r="Y15" i="90" s="1"/>
  <c r="Y18" i="90" s="1"/>
  <c r="AA13" i="90"/>
  <c r="AB13" i="90"/>
  <c r="DM169" i="90"/>
  <c r="DM170" i="90" s="1"/>
  <c r="V13" i="90"/>
  <c r="V15" i="90" s="1"/>
  <c r="V18" i="90" s="1"/>
  <c r="O13" i="90"/>
  <c r="R13" i="90"/>
  <c r="X13" i="90"/>
  <c r="S13" i="90"/>
  <c r="P13" i="90"/>
  <c r="T13" i="90"/>
  <c r="U13" i="90"/>
  <c r="W13" i="90"/>
  <c r="Q13" i="90"/>
  <c r="N175" i="90"/>
  <c r="DM69" i="83"/>
  <c r="DM73" i="83" s="1"/>
  <c r="L28" i="91"/>
  <c r="L32" i="91" s="1"/>
  <c r="L33" i="91" s="1"/>
  <c r="DL37" i="90"/>
  <c r="I33" i="90"/>
  <c r="CC100" i="90"/>
  <c r="AF144" i="90"/>
  <c r="AE146" i="90"/>
  <c r="AE171" i="90" s="1"/>
  <c r="AE13" i="90" s="1"/>
  <c r="CE97" i="90"/>
  <c r="CK96" i="90"/>
  <c r="I68" i="83"/>
  <c r="F15" i="97" l="1"/>
  <c r="F17" i="97" s="1"/>
  <c r="F21" i="97" s="1"/>
  <c r="F25" i="97" s="1"/>
  <c r="F26" i="97" s="1"/>
  <c r="I17" i="97"/>
  <c r="I21" i="97" s="1"/>
  <c r="I25" i="97" s="1"/>
  <c r="H17" i="97"/>
  <c r="H21" i="97" s="1"/>
  <c r="H25" i="97" s="1"/>
  <c r="G17" i="97"/>
  <c r="G21" i="97" s="1"/>
  <c r="G25" i="97" s="1"/>
  <c r="M53" i="91"/>
  <c r="M14" i="92"/>
  <c r="M16" i="93"/>
  <c r="M32" i="93" s="1"/>
  <c r="V20" i="90"/>
  <c r="V22" i="90" s="1"/>
  <c r="R10" i="97"/>
  <c r="Z20" i="90"/>
  <c r="Z22" i="90" s="1"/>
  <c r="V10" i="97"/>
  <c r="J28" i="91"/>
  <c r="J32" i="91" s="1"/>
  <c r="J33" i="91" s="1"/>
  <c r="Y20" i="90"/>
  <c r="Y22" i="90" s="1"/>
  <c r="U10" i="97"/>
  <c r="AD15" i="90"/>
  <c r="AD18" i="90" s="1"/>
  <c r="AD20" i="90" s="1"/>
  <c r="AD22" i="90" s="1"/>
  <c r="AD28" i="91" s="1"/>
  <c r="AD32" i="91" s="1"/>
  <c r="AD33" i="91" s="1"/>
  <c r="L53" i="91"/>
  <c r="K56" i="93"/>
  <c r="Y30" i="91"/>
  <c r="Y77" i="91" s="1"/>
  <c r="Y78" i="91" s="1"/>
  <c r="Y80" i="91" s="1"/>
  <c r="Y82" i="91" s="1"/>
  <c r="Z30" i="91"/>
  <c r="Z77" i="91" s="1"/>
  <c r="Z78" i="91" s="1"/>
  <c r="Z80" i="91" s="1"/>
  <c r="Z82" i="91" s="1"/>
  <c r="AH39" i="90"/>
  <c r="AI36" i="90" s="1"/>
  <c r="AI39" i="90" s="1"/>
  <c r="AJ36" i="90" s="1"/>
  <c r="AJ39" i="90" s="1"/>
  <c r="AK36" i="90" s="1"/>
  <c r="AK39" i="90" s="1"/>
  <c r="AL36" i="90" s="1"/>
  <c r="AL39" i="90" s="1"/>
  <c r="AM36" i="90" s="1"/>
  <c r="AM39" i="90" s="1"/>
  <c r="AN36" i="90" s="1"/>
  <c r="AN39" i="90" s="1"/>
  <c r="AO36" i="90" s="1"/>
  <c r="AO39" i="90" s="1"/>
  <c r="AP36" i="90" s="1"/>
  <c r="AP39" i="90" s="1"/>
  <c r="AQ36" i="90" s="1"/>
  <c r="AQ39" i="90" s="1"/>
  <c r="AR36" i="90" s="1"/>
  <c r="AR39" i="90" s="1"/>
  <c r="AS36" i="90" s="1"/>
  <c r="AS39" i="90" s="1"/>
  <c r="AT36" i="90" s="1"/>
  <c r="AT39" i="90" s="1"/>
  <c r="AU36" i="90" s="1"/>
  <c r="AU39" i="90" s="1"/>
  <c r="AV36" i="90" s="1"/>
  <c r="AV39" i="90" s="1"/>
  <c r="AW36" i="90" s="1"/>
  <c r="AW39" i="90" s="1"/>
  <c r="AX36" i="90" s="1"/>
  <c r="AX39" i="90" s="1"/>
  <c r="AY36" i="90" s="1"/>
  <c r="AY39" i="90" s="1"/>
  <c r="AZ36" i="90" s="1"/>
  <c r="AZ39" i="90" s="1"/>
  <c r="BA36" i="90" s="1"/>
  <c r="BA39" i="90" s="1"/>
  <c r="BB36" i="90" s="1"/>
  <c r="BB39" i="90" s="1"/>
  <c r="BC36" i="90" s="1"/>
  <c r="BC39" i="90" s="1"/>
  <c r="BD36" i="90" s="1"/>
  <c r="BD39" i="90" s="1"/>
  <c r="BE36" i="90" s="1"/>
  <c r="BE39" i="90" s="1"/>
  <c r="BF36" i="90" s="1"/>
  <c r="BF39" i="90" s="1"/>
  <c r="BG36" i="90" s="1"/>
  <c r="BG39" i="90" s="1"/>
  <c r="BH36" i="90" s="1"/>
  <c r="BH39" i="90" s="1"/>
  <c r="BI36" i="90" s="1"/>
  <c r="BI39" i="90" s="1"/>
  <c r="BJ36" i="90" s="1"/>
  <c r="BJ39" i="90" s="1"/>
  <c r="BK36" i="90" s="1"/>
  <c r="BK39" i="90" s="1"/>
  <c r="BL36" i="90" s="1"/>
  <c r="BL39" i="90" s="1"/>
  <c r="BM36" i="90" s="1"/>
  <c r="BM39" i="90" s="1"/>
  <c r="BN36" i="90" s="1"/>
  <c r="BN39" i="90" s="1"/>
  <c r="BO36" i="90" s="1"/>
  <c r="BO39" i="90" s="1"/>
  <c r="BP36" i="90" s="1"/>
  <c r="BP39" i="90" s="1"/>
  <c r="BQ36" i="90" s="1"/>
  <c r="BQ39" i="90" s="1"/>
  <c r="BR36" i="90" s="1"/>
  <c r="BR39" i="90" s="1"/>
  <c r="BS36" i="90" s="1"/>
  <c r="BS39" i="90" s="1"/>
  <c r="BT36" i="90" s="1"/>
  <c r="BT39" i="90" s="1"/>
  <c r="BU36" i="90" s="1"/>
  <c r="BU39" i="90" s="1"/>
  <c r="BV36" i="90" s="1"/>
  <c r="BV39" i="90" s="1"/>
  <c r="BW36" i="90" s="1"/>
  <c r="BW39" i="90" s="1"/>
  <c r="BX36" i="90" s="1"/>
  <c r="BX39" i="90" s="1"/>
  <c r="BY36" i="90" s="1"/>
  <c r="BY39" i="90" s="1"/>
  <c r="BZ36" i="90" s="1"/>
  <c r="BZ39" i="90" s="1"/>
  <c r="CA36" i="90" s="1"/>
  <c r="CA39" i="90" s="1"/>
  <c r="CB36" i="90" s="1"/>
  <c r="CB39" i="90" s="1"/>
  <c r="CC36" i="90" s="1"/>
  <c r="CC39" i="90" s="1"/>
  <c r="CD36" i="90" s="1"/>
  <c r="CD39" i="90" s="1"/>
  <c r="CE36" i="90" s="1"/>
  <c r="CE39" i="90" s="1"/>
  <c r="CF36" i="90" s="1"/>
  <c r="CF39" i="90" s="1"/>
  <c r="CG36" i="90" s="1"/>
  <c r="CG39" i="90" s="1"/>
  <c r="CH36" i="90" s="1"/>
  <c r="CH39" i="90" s="1"/>
  <c r="CI36" i="90" s="1"/>
  <c r="CI39" i="90" s="1"/>
  <c r="CJ36" i="90" s="1"/>
  <c r="CJ39" i="90" s="1"/>
  <c r="CK36" i="90" s="1"/>
  <c r="CK39" i="90" s="1"/>
  <c r="CL36" i="90" s="1"/>
  <c r="CL39" i="90" s="1"/>
  <c r="CM36" i="90" s="1"/>
  <c r="CM39" i="90" s="1"/>
  <c r="CN36" i="90" s="1"/>
  <c r="CN39" i="90" s="1"/>
  <c r="CO36" i="90" s="1"/>
  <c r="CO39" i="90" s="1"/>
  <c r="CP36" i="90" s="1"/>
  <c r="CP39" i="90" s="1"/>
  <c r="CQ36" i="90" s="1"/>
  <c r="CQ39" i="90" s="1"/>
  <c r="CR36" i="90" s="1"/>
  <c r="CR39" i="90" s="1"/>
  <c r="CS36" i="90" s="1"/>
  <c r="CS39" i="90" s="1"/>
  <c r="CT36" i="90" s="1"/>
  <c r="CT39" i="90" s="1"/>
  <c r="CU36" i="90" s="1"/>
  <c r="CU39" i="90" s="1"/>
  <c r="CV36" i="90" s="1"/>
  <c r="CV39" i="90" s="1"/>
  <c r="CW36" i="90" s="1"/>
  <c r="CW39" i="90" s="1"/>
  <c r="CX36" i="90" s="1"/>
  <c r="CX39" i="90" s="1"/>
  <c r="CY36" i="90" s="1"/>
  <c r="CY39" i="90" s="1"/>
  <c r="CZ36" i="90" s="1"/>
  <c r="CZ39" i="90" s="1"/>
  <c r="DA36" i="90" s="1"/>
  <c r="DA39" i="90" s="1"/>
  <c r="DB36" i="90" s="1"/>
  <c r="DB39" i="90" s="1"/>
  <c r="DC36" i="90" s="1"/>
  <c r="DC39" i="90" s="1"/>
  <c r="DD36" i="90" s="1"/>
  <c r="DD39" i="90" s="1"/>
  <c r="DE36" i="90" s="1"/>
  <c r="DE39" i="90" s="1"/>
  <c r="DF36" i="90" s="1"/>
  <c r="DF39" i="90" s="1"/>
  <c r="DG36" i="90" s="1"/>
  <c r="DG39" i="90" s="1"/>
  <c r="DH36" i="90" s="1"/>
  <c r="DH39" i="90" s="1"/>
  <c r="DI36" i="90" s="1"/>
  <c r="DI39" i="90" s="1"/>
  <c r="DJ36" i="90" s="1"/>
  <c r="DJ39" i="90" s="1"/>
  <c r="DK36" i="90" s="1"/>
  <c r="DK39" i="90" s="1"/>
  <c r="DL36" i="90" s="1"/>
  <c r="DL39" i="90" s="1"/>
  <c r="DM36" i="90" s="1"/>
  <c r="DM39" i="90" s="1"/>
  <c r="AH69" i="91"/>
  <c r="AH161" i="90"/>
  <c r="AH162" i="90" s="1"/>
  <c r="I17" i="90"/>
  <c r="I161" i="90" s="1"/>
  <c r="AC15" i="90"/>
  <c r="AC18" i="90" s="1"/>
  <c r="AC20" i="90" s="1"/>
  <c r="AC22" i="90" s="1"/>
  <c r="AC28" i="91" s="1"/>
  <c r="AC32" i="91" s="1"/>
  <c r="AC33" i="91" s="1"/>
  <c r="AB15" i="90"/>
  <c r="AB18" i="90" s="1"/>
  <c r="AB30" i="91"/>
  <c r="AB77" i="91" s="1"/>
  <c r="AB78" i="91" s="1"/>
  <c r="AB80" i="91" s="1"/>
  <c r="AB82" i="91" s="1"/>
  <c r="AA15" i="90"/>
  <c r="AA18" i="90" s="1"/>
  <c r="AA30" i="91"/>
  <c r="AA77" i="91" s="1"/>
  <c r="AA78" i="91" s="1"/>
  <c r="AA80" i="91" s="1"/>
  <c r="AA82" i="91" s="1"/>
  <c r="V30" i="91"/>
  <c r="V77" i="91" s="1"/>
  <c r="V78" i="91" s="1"/>
  <c r="V80" i="91" s="1"/>
  <c r="V82" i="91" s="1"/>
  <c r="L16" i="93"/>
  <c r="L32" i="93" s="1"/>
  <c r="L14" i="92"/>
  <c r="U15" i="90"/>
  <c r="U18" i="90" s="1"/>
  <c r="U30" i="91"/>
  <c r="U77" i="91" s="1"/>
  <c r="U78" i="91" s="1"/>
  <c r="U80" i="91" s="1"/>
  <c r="U82" i="91" s="1"/>
  <c r="X15" i="90"/>
  <c r="X18" i="90" s="1"/>
  <c r="X30" i="91"/>
  <c r="X77" i="91" s="1"/>
  <c r="X78" i="91" s="1"/>
  <c r="X80" i="91" s="1"/>
  <c r="X82" i="91" s="1"/>
  <c r="AE15" i="90"/>
  <c r="AE18" i="90" s="1"/>
  <c r="AE20" i="90" s="1"/>
  <c r="AE22" i="90" s="1"/>
  <c r="AE28" i="91" s="1"/>
  <c r="AE30" i="91"/>
  <c r="AE77" i="91" s="1"/>
  <c r="AE78" i="91" s="1"/>
  <c r="AE80" i="91" s="1"/>
  <c r="AE82" i="91" s="1"/>
  <c r="O15" i="90"/>
  <c r="O18" i="90" s="1"/>
  <c r="O30" i="91"/>
  <c r="O77" i="91" s="1"/>
  <c r="O78" i="91" s="1"/>
  <c r="O80" i="91" s="1"/>
  <c r="O82" i="91" s="1"/>
  <c r="T15" i="90"/>
  <c r="T18" i="90" s="1"/>
  <c r="T30" i="91"/>
  <c r="T77" i="91" s="1"/>
  <c r="T78" i="91" s="1"/>
  <c r="T80" i="91" s="1"/>
  <c r="T82" i="91" s="1"/>
  <c r="S15" i="90"/>
  <c r="S18" i="90" s="1"/>
  <c r="S30" i="91"/>
  <c r="S77" i="91" s="1"/>
  <c r="S78" i="91" s="1"/>
  <c r="S80" i="91" s="1"/>
  <c r="S82" i="91" s="1"/>
  <c r="R15" i="90"/>
  <c r="R18" i="90" s="1"/>
  <c r="R30" i="91"/>
  <c r="R77" i="91" s="1"/>
  <c r="R78" i="91" s="1"/>
  <c r="R80" i="91" s="1"/>
  <c r="R82" i="91" s="1"/>
  <c r="P15" i="90"/>
  <c r="P18" i="90" s="1"/>
  <c r="P30" i="91"/>
  <c r="P77" i="91" s="1"/>
  <c r="P78" i="91" s="1"/>
  <c r="P80" i="91" s="1"/>
  <c r="P82" i="91" s="1"/>
  <c r="Q15" i="90"/>
  <c r="Q18" i="90" s="1"/>
  <c r="Q30" i="91"/>
  <c r="Q77" i="91" s="1"/>
  <c r="Q78" i="91" s="1"/>
  <c r="Q80" i="91" s="1"/>
  <c r="Q82" i="91" s="1"/>
  <c r="W15" i="90"/>
  <c r="W18" i="90" s="1"/>
  <c r="W30" i="91"/>
  <c r="W77" i="91" s="1"/>
  <c r="W78" i="91" s="1"/>
  <c r="W80" i="91" s="1"/>
  <c r="W82" i="91" s="1"/>
  <c r="N13" i="90"/>
  <c r="N30" i="91" s="1"/>
  <c r="N77" i="91" s="1"/>
  <c r="I73" i="83"/>
  <c r="DM74" i="83"/>
  <c r="I69" i="83"/>
  <c r="DM10" i="91"/>
  <c r="CL96" i="90"/>
  <c r="AG144" i="90"/>
  <c r="AF146" i="90"/>
  <c r="AF171" i="90" s="1"/>
  <c r="AF13" i="90" s="1"/>
  <c r="CF97" i="90"/>
  <c r="CD100" i="90"/>
  <c r="G26" i="97" l="1"/>
  <c r="H26" i="97" s="1"/>
  <c r="I26" i="97" s="1"/>
  <c r="J53" i="91"/>
  <c r="J36" i="91"/>
  <c r="K35" i="91" s="1"/>
  <c r="K36" i="91" s="1"/>
  <c r="L35" i="91" s="1"/>
  <c r="L36" i="91" s="1"/>
  <c r="J14" i="92"/>
  <c r="J16" i="92" s="1"/>
  <c r="K16" i="92" s="1"/>
  <c r="L16" i="92" s="1"/>
  <c r="M16" i="92" s="1"/>
  <c r="J16" i="93"/>
  <c r="J32" i="93" s="1"/>
  <c r="J37" i="93" s="1"/>
  <c r="AA20" i="90"/>
  <c r="AA22" i="90" s="1"/>
  <c r="W10" i="97"/>
  <c r="Z28" i="91"/>
  <c r="Z32" i="91" s="1"/>
  <c r="Z33" i="91" s="1"/>
  <c r="V12" i="97"/>
  <c r="V15" i="97" s="1"/>
  <c r="V17" i="97" s="1"/>
  <c r="V21" i="97" s="1"/>
  <c r="V25" i="97" s="1"/>
  <c r="W20" i="90"/>
  <c r="W22" i="90" s="1"/>
  <c r="S10" i="97"/>
  <c r="T20" i="90"/>
  <c r="T22" i="90" s="1"/>
  <c r="P10" i="97"/>
  <c r="S20" i="90"/>
  <c r="S22" i="90" s="1"/>
  <c r="O10" i="97"/>
  <c r="U20" i="90"/>
  <c r="U22" i="90" s="1"/>
  <c r="Q10" i="97"/>
  <c r="V28" i="91"/>
  <c r="V32" i="91" s="1"/>
  <c r="V33" i="91" s="1"/>
  <c r="R12" i="97"/>
  <c r="R15" i="97" s="1"/>
  <c r="AB20" i="90"/>
  <c r="AB22" i="90" s="1"/>
  <c r="X10" i="97"/>
  <c r="Q20" i="90"/>
  <c r="Q22" i="90" s="1"/>
  <c r="M10" i="97"/>
  <c r="O20" i="90"/>
  <c r="O22" i="90" s="1"/>
  <c r="K10" i="97"/>
  <c r="M56" i="93"/>
  <c r="M37" i="93"/>
  <c r="M61" i="93" s="1"/>
  <c r="M73" i="93" s="1"/>
  <c r="M109" i="93" s="1"/>
  <c r="M115" i="93" s="1"/>
  <c r="Y28" i="91"/>
  <c r="Y32" i="91" s="1"/>
  <c r="Y33" i="91" s="1"/>
  <c r="U12" i="97"/>
  <c r="U15" i="97" s="1"/>
  <c r="U17" i="97" s="1"/>
  <c r="U21" i="97" s="1"/>
  <c r="U25" i="97" s="1"/>
  <c r="P20" i="90"/>
  <c r="P22" i="90" s="1"/>
  <c r="L10" i="97"/>
  <c r="R20" i="90"/>
  <c r="R22" i="90" s="1"/>
  <c r="N10" i="97"/>
  <c r="X20" i="90"/>
  <c r="X22" i="90" s="1"/>
  <c r="T10" i="97"/>
  <c r="AC53" i="91"/>
  <c r="AD53" i="91"/>
  <c r="AC14" i="92"/>
  <c r="AH169" i="90"/>
  <c r="AH170" i="90" s="1"/>
  <c r="AH173" i="90"/>
  <c r="AH174" i="90" s="1"/>
  <c r="I162" i="90"/>
  <c r="AH70" i="91"/>
  <c r="AH72" i="91" s="1"/>
  <c r="I69" i="91"/>
  <c r="AC16" i="93"/>
  <c r="AC32" i="93" s="1"/>
  <c r="AC56" i="93" s="1"/>
  <c r="AE32" i="91"/>
  <c r="AE33" i="91" s="1"/>
  <c r="L37" i="93"/>
  <c r="L61" i="93" s="1"/>
  <c r="L73" i="93" s="1"/>
  <c r="L109" i="93" s="1"/>
  <c r="L115" i="93" s="1"/>
  <c r="L56" i="93"/>
  <c r="N78" i="91"/>
  <c r="N80" i="91" s="1"/>
  <c r="N82" i="91" s="1"/>
  <c r="AD14" i="92"/>
  <c r="AD16" i="93"/>
  <c r="AD32" i="93" s="1"/>
  <c r="AD56" i="93" s="1"/>
  <c r="AF15" i="90"/>
  <c r="AF18" i="90" s="1"/>
  <c r="AF20" i="90" s="1"/>
  <c r="AF22" i="90" s="1"/>
  <c r="AF28" i="91" s="1"/>
  <c r="AF30" i="91"/>
  <c r="AF77" i="91" s="1"/>
  <c r="AF78" i="91" s="1"/>
  <c r="AF80" i="91" s="1"/>
  <c r="AF82" i="91" s="1"/>
  <c r="N15" i="90"/>
  <c r="N18" i="90" s="1"/>
  <c r="I74" i="83"/>
  <c r="DM15" i="91"/>
  <c r="DM12" i="91"/>
  <c r="I10" i="91"/>
  <c r="H8" i="80" s="1"/>
  <c r="CE100" i="90"/>
  <c r="AH144" i="90"/>
  <c r="AG146" i="90"/>
  <c r="AG171" i="90" s="1"/>
  <c r="AG13" i="90" s="1"/>
  <c r="CG97" i="90"/>
  <c r="CM96" i="90"/>
  <c r="W39" i="92"/>
  <c r="J47" i="91" l="1"/>
  <c r="K47" i="91" s="1"/>
  <c r="L48" i="91" s="1"/>
  <c r="R17" i="97"/>
  <c r="R21" i="97" s="1"/>
  <c r="R25" i="97" s="1"/>
  <c r="R28" i="91"/>
  <c r="R32" i="91" s="1"/>
  <c r="R33" i="91" s="1"/>
  <c r="R53" i="91" s="1"/>
  <c r="N12" i="97"/>
  <c r="N15" i="97" s="1"/>
  <c r="Q28" i="91"/>
  <c r="Q32" i="91" s="1"/>
  <c r="Q33" i="91" s="1"/>
  <c r="Q53" i="91" s="1"/>
  <c r="M12" i="97"/>
  <c r="M15" i="97" s="1"/>
  <c r="S28" i="91"/>
  <c r="S32" i="91" s="1"/>
  <c r="S33" i="91" s="1"/>
  <c r="S53" i="91" s="1"/>
  <c r="O12" i="97"/>
  <c r="O15" i="97" s="1"/>
  <c r="P28" i="91"/>
  <c r="P32" i="91" s="1"/>
  <c r="P33" i="91" s="1"/>
  <c r="P14" i="92" s="1"/>
  <c r="L12" i="97"/>
  <c r="L15" i="97" s="1"/>
  <c r="T28" i="91"/>
  <c r="T32" i="91" s="1"/>
  <c r="T33" i="91" s="1"/>
  <c r="T16" i="93" s="1"/>
  <c r="T32" i="93" s="1"/>
  <c r="T56" i="93" s="1"/>
  <c r="P12" i="97"/>
  <c r="P15" i="97" s="1"/>
  <c r="O28" i="91"/>
  <c r="O32" i="91" s="1"/>
  <c r="O33" i="91" s="1"/>
  <c r="O53" i="91" s="1"/>
  <c r="K12" i="97"/>
  <c r="K15" i="97" s="1"/>
  <c r="AB28" i="91"/>
  <c r="AB32" i="91" s="1"/>
  <c r="AB33" i="91" s="1"/>
  <c r="X12" i="97"/>
  <c r="X15" i="97" s="1"/>
  <c r="X17" i="97" s="1"/>
  <c r="X21" i="97" s="1"/>
  <c r="X25" i="97" s="1"/>
  <c r="W28" i="91"/>
  <c r="W32" i="91" s="1"/>
  <c r="W33" i="91" s="1"/>
  <c r="W53" i="91" s="1"/>
  <c r="S12" i="97"/>
  <c r="S15" i="97" s="1"/>
  <c r="Y53" i="91"/>
  <c r="N20" i="90"/>
  <c r="N22" i="90" s="1"/>
  <c r="J10" i="97"/>
  <c r="Y14" i="92"/>
  <c r="X28" i="91"/>
  <c r="X32" i="91" s="1"/>
  <c r="X33" i="91" s="1"/>
  <c r="X16" i="93" s="1"/>
  <c r="X32" i="93" s="1"/>
  <c r="X56" i="93" s="1"/>
  <c r="T12" i="97"/>
  <c r="T15" i="97" s="1"/>
  <c r="U28" i="91"/>
  <c r="U32" i="91" s="1"/>
  <c r="U33" i="91" s="1"/>
  <c r="Q12" i="97"/>
  <c r="Q15" i="97" s="1"/>
  <c r="AA28" i="91"/>
  <c r="AA32" i="91" s="1"/>
  <c r="AA33" i="91" s="1"/>
  <c r="W12" i="97"/>
  <c r="W15" i="97" s="1"/>
  <c r="W17" i="97" s="1"/>
  <c r="W21" i="97" s="1"/>
  <c r="W25" i="97" s="1"/>
  <c r="W26" i="97" s="1"/>
  <c r="Y16" i="93"/>
  <c r="Y32" i="93" s="1"/>
  <c r="Y56" i="93" s="1"/>
  <c r="V53" i="91"/>
  <c r="Z53" i="91"/>
  <c r="Z14" i="92"/>
  <c r="AE53" i="91"/>
  <c r="Z16" i="93"/>
  <c r="Z32" i="93" s="1"/>
  <c r="Z56" i="93" s="1"/>
  <c r="AC37" i="93"/>
  <c r="AC61" i="93" s="1"/>
  <c r="AC73" i="93" s="1"/>
  <c r="AC109" i="93" s="1"/>
  <c r="AC115" i="93" s="1"/>
  <c r="AH74" i="91"/>
  <c r="AH79" i="91"/>
  <c r="AH175" i="90"/>
  <c r="I175" i="90" s="1"/>
  <c r="I174" i="90"/>
  <c r="AE16" i="93"/>
  <c r="AE32" i="93" s="1"/>
  <c r="AE56" i="93" s="1"/>
  <c r="AD37" i="93"/>
  <c r="AD61" i="93" s="1"/>
  <c r="AD73" i="93" s="1"/>
  <c r="AD109" i="93" s="1"/>
  <c r="AD115" i="93" s="1"/>
  <c r="V14" i="92"/>
  <c r="AF32" i="91"/>
  <c r="AF33" i="91" s="1"/>
  <c r="V16" i="93"/>
  <c r="V32" i="93" s="1"/>
  <c r="V56" i="93" s="1"/>
  <c r="AE14" i="92"/>
  <c r="W48" i="92"/>
  <c r="W42" i="92"/>
  <c r="W51" i="92" s="1"/>
  <c r="V42" i="92"/>
  <c r="V51" i="92" s="1"/>
  <c r="AG15" i="90"/>
  <c r="AG18" i="90" s="1"/>
  <c r="AG20" i="90" s="1"/>
  <c r="AG22" i="90" s="1"/>
  <c r="AG28" i="91" s="1"/>
  <c r="AG30" i="91"/>
  <c r="AG77" i="91" s="1"/>
  <c r="AG78" i="91" s="1"/>
  <c r="AG80" i="91" s="1"/>
  <c r="AG82" i="91" s="1"/>
  <c r="DM12" i="90"/>
  <c r="I12" i="90" s="1"/>
  <c r="I15" i="91"/>
  <c r="H9" i="80" s="1"/>
  <c r="H10" i="80" s="1"/>
  <c r="DM26" i="91"/>
  <c r="DM11" i="90"/>
  <c r="I12" i="91"/>
  <c r="DM64" i="91"/>
  <c r="DM71" i="91" s="1"/>
  <c r="DM72" i="91" s="1"/>
  <c r="DM74" i="91" s="1"/>
  <c r="I62" i="91"/>
  <c r="L47" i="91"/>
  <c r="M35" i="91"/>
  <c r="M36" i="91" s="1"/>
  <c r="N35" i="91" s="1"/>
  <c r="CN96" i="90"/>
  <c r="AI144" i="90"/>
  <c r="AH146" i="90"/>
  <c r="AH171" i="90" s="1"/>
  <c r="CH97" i="90"/>
  <c r="CF100" i="90"/>
  <c r="V39" i="92"/>
  <c r="S39" i="92"/>
  <c r="T39" i="92"/>
  <c r="U39" i="92"/>
  <c r="K48" i="91" l="1"/>
  <c r="R14" i="92"/>
  <c r="R42" i="92" s="1"/>
  <c r="R51" i="92" s="1"/>
  <c r="S17" i="97"/>
  <c r="S21" i="97" s="1"/>
  <c r="S25" i="97" s="1"/>
  <c r="O17" i="97"/>
  <c r="O21" i="97" s="1"/>
  <c r="O25" i="97" s="1"/>
  <c r="Q17" i="97"/>
  <c r="Q21" i="97" s="1"/>
  <c r="Q25" i="97" s="1"/>
  <c r="P17" i="97"/>
  <c r="P21" i="97" s="1"/>
  <c r="P25" i="97" s="1"/>
  <c r="M17" i="97"/>
  <c r="M21" i="97" s="1"/>
  <c r="M25" i="97" s="1"/>
  <c r="T17" i="97"/>
  <c r="T21" i="97" s="1"/>
  <c r="T25" i="97" s="1"/>
  <c r="K17" i="97"/>
  <c r="K21" i="97" s="1"/>
  <c r="K25" i="97" s="1"/>
  <c r="N17" i="97"/>
  <c r="N21" i="97" s="1"/>
  <c r="N25" i="97" s="1"/>
  <c r="L17" i="97"/>
  <c r="L21" i="97" s="1"/>
  <c r="L25" i="97" s="1"/>
  <c r="O16" i="93"/>
  <c r="O32" i="93" s="1"/>
  <c r="O56" i="93" s="1"/>
  <c r="S16" i="93"/>
  <c r="S32" i="93" s="1"/>
  <c r="S56" i="93" s="1"/>
  <c r="S14" i="92"/>
  <c r="S42" i="92" s="1"/>
  <c r="S51" i="92" s="1"/>
  <c r="Q14" i="92"/>
  <c r="W16" i="93"/>
  <c r="W32" i="93" s="1"/>
  <c r="W56" i="93" s="1"/>
  <c r="X14" i="92"/>
  <c r="X53" i="91"/>
  <c r="T14" i="92"/>
  <c r="O14" i="92"/>
  <c r="P16" i="93"/>
  <c r="P32" i="93" s="1"/>
  <c r="P56" i="93" s="1"/>
  <c r="AA16" i="93"/>
  <c r="AA32" i="93" s="1"/>
  <c r="AA37" i="93" s="1"/>
  <c r="AA61" i="93" s="1"/>
  <c r="AA73" i="93" s="1"/>
  <c r="AA109" i="93" s="1"/>
  <c r="AA115" i="93" s="1"/>
  <c r="AA53" i="91"/>
  <c r="W14" i="92"/>
  <c r="P53" i="91"/>
  <c r="R16" i="93"/>
  <c r="R32" i="93" s="1"/>
  <c r="R56" i="93" s="1"/>
  <c r="Q16" i="93"/>
  <c r="Q32" i="93" s="1"/>
  <c r="Q56" i="93" s="1"/>
  <c r="AB16" i="93"/>
  <c r="AB32" i="93" s="1"/>
  <c r="AB37" i="93" s="1"/>
  <c r="AB61" i="93" s="1"/>
  <c r="AB73" i="93" s="1"/>
  <c r="AB109" i="93" s="1"/>
  <c r="AB115" i="93" s="1"/>
  <c r="AB14" i="92"/>
  <c r="U53" i="91"/>
  <c r="N28" i="91"/>
  <c r="N32" i="91" s="1"/>
  <c r="N33" i="91" s="1"/>
  <c r="J12" i="97"/>
  <c r="J15" i="97" s="1"/>
  <c r="U16" i="93"/>
  <c r="U32" i="93" s="1"/>
  <c r="U56" i="93" s="1"/>
  <c r="X26" i="97"/>
  <c r="AB53" i="91"/>
  <c r="T53" i="91"/>
  <c r="U14" i="92"/>
  <c r="AA14" i="92"/>
  <c r="Y37" i="93"/>
  <c r="Y61" i="93" s="1"/>
  <c r="Y73" i="93" s="1"/>
  <c r="Y109" i="93" s="1"/>
  <c r="Y115" i="93" s="1"/>
  <c r="Z37" i="93"/>
  <c r="Z61" i="93" s="1"/>
  <c r="Z73" i="93" s="1"/>
  <c r="Z109" i="93" s="1"/>
  <c r="Z115" i="93" s="1"/>
  <c r="AF53" i="91"/>
  <c r="AH13" i="90"/>
  <c r="AH30" i="91" s="1"/>
  <c r="AH77" i="91" s="1"/>
  <c r="AH78" i="91" s="1"/>
  <c r="AH80" i="91" s="1"/>
  <c r="AH82" i="91" s="1"/>
  <c r="AE37" i="93"/>
  <c r="AE61" i="93" s="1"/>
  <c r="AE73" i="93" s="1"/>
  <c r="AE109" i="93" s="1"/>
  <c r="AE115" i="93" s="1"/>
  <c r="T37" i="93"/>
  <c r="T61" i="93" s="1"/>
  <c r="T73" i="93" s="1"/>
  <c r="T109" i="93" s="1"/>
  <c r="T115" i="93" s="1"/>
  <c r="V37" i="93"/>
  <c r="V61" i="93" s="1"/>
  <c r="V73" i="93" s="1"/>
  <c r="V109" i="93" s="1"/>
  <c r="V115" i="93" s="1"/>
  <c r="X37" i="93"/>
  <c r="X61" i="93" s="1"/>
  <c r="X73" i="93" s="1"/>
  <c r="X109" i="93" s="1"/>
  <c r="X115" i="93" s="1"/>
  <c r="V48" i="92"/>
  <c r="AG32" i="91"/>
  <c r="DM66" i="91"/>
  <c r="I70" i="91"/>
  <c r="S48" i="92"/>
  <c r="T48" i="92"/>
  <c r="U48" i="92"/>
  <c r="P42" i="92"/>
  <c r="P51" i="92" s="1"/>
  <c r="AF16" i="93"/>
  <c r="AF32" i="93" s="1"/>
  <c r="AF56" i="93" s="1"/>
  <c r="AF14" i="92"/>
  <c r="T42" i="92"/>
  <c r="T51" i="92" s="1"/>
  <c r="U42" i="92"/>
  <c r="U51" i="92" s="1"/>
  <c r="DM79" i="91"/>
  <c r="DM80" i="91" s="1"/>
  <c r="DM82" i="91" s="1"/>
  <c r="M47" i="91"/>
  <c r="M48" i="91"/>
  <c r="I64" i="91"/>
  <c r="I66" i="91" s="1"/>
  <c r="I26" i="91"/>
  <c r="I11" i="90"/>
  <c r="CG100" i="90"/>
  <c r="AJ144" i="90"/>
  <c r="AI146" i="90"/>
  <c r="AI171" i="90" s="1"/>
  <c r="AI13" i="90" s="1"/>
  <c r="CI97" i="90"/>
  <c r="CO96" i="90"/>
  <c r="Q39" i="92"/>
  <c r="R39" i="92"/>
  <c r="O39" i="92"/>
  <c r="P39" i="92"/>
  <c r="R48" i="92" l="1"/>
  <c r="J17" i="97"/>
  <c r="J21" i="97" s="1"/>
  <c r="J25" i="97" s="1"/>
  <c r="C31" i="97" s="1"/>
  <c r="S37" i="93"/>
  <c r="S61" i="93" s="1"/>
  <c r="S73" i="93" s="1"/>
  <c r="S109" i="93" s="1"/>
  <c r="S115" i="93" s="1"/>
  <c r="O37" i="93"/>
  <c r="O61" i="93" s="1"/>
  <c r="O73" i="93" s="1"/>
  <c r="O109" i="93" s="1"/>
  <c r="O115" i="93" s="1"/>
  <c r="W37" i="93"/>
  <c r="W61" i="93" s="1"/>
  <c r="W73" i="93" s="1"/>
  <c r="W109" i="93" s="1"/>
  <c r="W115" i="93" s="1"/>
  <c r="Q48" i="92"/>
  <c r="P48" i="92"/>
  <c r="Q42" i="92"/>
  <c r="Q51" i="92" s="1"/>
  <c r="P37" i="93"/>
  <c r="P61" i="93" s="1"/>
  <c r="P73" i="93" s="1"/>
  <c r="P109" i="93" s="1"/>
  <c r="P115" i="93" s="1"/>
  <c r="U37" i="93"/>
  <c r="U61" i="93" s="1"/>
  <c r="U73" i="93" s="1"/>
  <c r="U109" i="93" s="1"/>
  <c r="U115" i="93" s="1"/>
  <c r="AA56" i="93"/>
  <c r="O48" i="92"/>
  <c r="O42" i="92"/>
  <c r="O51" i="92" s="1"/>
  <c r="Q37" i="93"/>
  <c r="Q61" i="93" s="1"/>
  <c r="Q73" i="93" s="1"/>
  <c r="Q109" i="93" s="1"/>
  <c r="Q115" i="93" s="1"/>
  <c r="R37" i="93"/>
  <c r="R61" i="93" s="1"/>
  <c r="R73" i="93" s="1"/>
  <c r="R109" i="93" s="1"/>
  <c r="R115" i="93" s="1"/>
  <c r="AB56" i="93"/>
  <c r="N14" i="92"/>
  <c r="N42" i="92" s="1"/>
  <c r="N51" i="92" s="1"/>
  <c r="N16" i="93"/>
  <c r="N32" i="93" s="1"/>
  <c r="N56" i="93" s="1"/>
  <c r="N36" i="91"/>
  <c r="O35" i="91" s="1"/>
  <c r="O36" i="91" s="1"/>
  <c r="P35" i="91" s="1"/>
  <c r="P36" i="91" s="1"/>
  <c r="Q35" i="91" s="1"/>
  <c r="Q36" i="91" s="1"/>
  <c r="R35" i="91" s="1"/>
  <c r="R36" i="91" s="1"/>
  <c r="S35" i="91" s="1"/>
  <c r="S36" i="91" s="1"/>
  <c r="T35" i="91" s="1"/>
  <c r="T36" i="91" s="1"/>
  <c r="U35" i="91" s="1"/>
  <c r="U36" i="91" s="1"/>
  <c r="V35" i="91" s="1"/>
  <c r="V36" i="91" s="1"/>
  <c r="W35" i="91" s="1"/>
  <c r="W36" i="91" s="1"/>
  <c r="X35" i="91" s="1"/>
  <c r="X36" i="91" s="1"/>
  <c r="Y35" i="91" s="1"/>
  <c r="Y36" i="91" s="1"/>
  <c r="Z35" i="91" s="1"/>
  <c r="Z36" i="91" s="1"/>
  <c r="AA35" i="91" s="1"/>
  <c r="AA36" i="91" s="1"/>
  <c r="AB35" i="91" s="1"/>
  <c r="AB36" i="91" s="1"/>
  <c r="AC35" i="91" s="1"/>
  <c r="AC36" i="91" s="1"/>
  <c r="AD35" i="91" s="1"/>
  <c r="AD36" i="91" s="1"/>
  <c r="AE35" i="91" s="1"/>
  <c r="AE36" i="91" s="1"/>
  <c r="AF35" i="91" s="1"/>
  <c r="AF36" i="91" s="1"/>
  <c r="AG35" i="91" s="1"/>
  <c r="N53" i="91"/>
  <c r="AH15" i="90"/>
  <c r="AH18" i="90" s="1"/>
  <c r="AH20" i="90" s="1"/>
  <c r="AH22" i="90" s="1"/>
  <c r="AH28" i="91" s="1"/>
  <c r="AH32" i="91" s="1"/>
  <c r="AH33" i="91" s="1"/>
  <c r="AH14" i="92" s="1"/>
  <c r="AF37" i="93"/>
  <c r="AF61" i="93" s="1"/>
  <c r="AF73" i="93" s="1"/>
  <c r="AF109" i="93" s="1"/>
  <c r="AF115" i="93" s="1"/>
  <c r="AG33" i="91"/>
  <c r="AI15" i="90"/>
  <c r="AI18" i="90" s="1"/>
  <c r="AI20" i="90" s="1"/>
  <c r="AI22" i="90" s="1"/>
  <c r="AI28" i="91" s="1"/>
  <c r="AI30" i="91"/>
  <c r="AI77" i="91" s="1"/>
  <c r="D37" i="80"/>
  <c r="I71" i="91"/>
  <c r="I72" i="91" s="1"/>
  <c r="I74" i="91" s="1"/>
  <c r="N48" i="91"/>
  <c r="CP96" i="90"/>
  <c r="AK144" i="90"/>
  <c r="AJ146" i="90"/>
  <c r="AJ171" i="90" s="1"/>
  <c r="AJ13" i="90" s="1"/>
  <c r="CJ97" i="90"/>
  <c r="CH100" i="90"/>
  <c r="N39" i="92"/>
  <c r="C30" i="97" l="1"/>
  <c r="J26" i="97"/>
  <c r="K26" i="97" s="1"/>
  <c r="L26" i="97" s="1"/>
  <c r="M26" i="97" s="1"/>
  <c r="N26" i="97" s="1"/>
  <c r="O26" i="97" s="1"/>
  <c r="P26" i="97" s="1"/>
  <c r="Q26" i="97" s="1"/>
  <c r="R26" i="97" s="1"/>
  <c r="S26" i="97" s="1"/>
  <c r="T26" i="97" s="1"/>
  <c r="U26" i="97" s="1"/>
  <c r="N16" i="92"/>
  <c r="O16" i="92" s="1"/>
  <c r="P16" i="92" s="1"/>
  <c r="Q16" i="92" s="1"/>
  <c r="R16" i="92" s="1"/>
  <c r="S16" i="92" s="1"/>
  <c r="T16" i="92" s="1"/>
  <c r="U16" i="92" s="1"/>
  <c r="V16" i="92" s="1"/>
  <c r="W16" i="92" s="1"/>
  <c r="X16" i="92" s="1"/>
  <c r="Y16" i="92" s="1"/>
  <c r="N37" i="93"/>
  <c r="N61" i="93" s="1"/>
  <c r="N73" i="93" s="1"/>
  <c r="N109" i="93" s="1"/>
  <c r="N115" i="93" s="1"/>
  <c r="N48" i="92"/>
  <c r="N47" i="91"/>
  <c r="O48" i="91" s="1"/>
  <c r="AH53" i="91"/>
  <c r="AH16" i="93"/>
  <c r="AH32" i="93" s="1"/>
  <c r="AH56" i="93" s="1"/>
  <c r="AG53" i="91"/>
  <c r="AG36" i="91"/>
  <c r="AH35" i="91" s="1"/>
  <c r="AH36" i="91" s="1"/>
  <c r="AI35" i="91" s="1"/>
  <c r="AG14" i="92"/>
  <c r="AG16" i="93"/>
  <c r="AG32" i="93" s="1"/>
  <c r="AG56" i="93" s="1"/>
  <c r="AI32" i="91"/>
  <c r="AI33" i="91" s="1"/>
  <c r="AJ15" i="90"/>
  <c r="AJ18" i="90" s="1"/>
  <c r="AJ20" i="90" s="1"/>
  <c r="AJ22" i="90" s="1"/>
  <c r="AJ28" i="91" s="1"/>
  <c r="AJ30" i="91"/>
  <c r="AJ77" i="91" s="1"/>
  <c r="I79" i="91"/>
  <c r="D39" i="80"/>
  <c r="CI100" i="90"/>
  <c r="AL144" i="90"/>
  <c r="AK146" i="90"/>
  <c r="AK171" i="90" s="1"/>
  <c r="AK13" i="90" s="1"/>
  <c r="CK97" i="90"/>
  <c r="CQ96" i="90"/>
  <c r="O47" i="91" l="1"/>
  <c r="P47" i="91" s="1"/>
  <c r="Q47" i="91" s="1"/>
  <c r="R47" i="91" s="1"/>
  <c r="S48" i="91" s="1"/>
  <c r="AH37" i="93"/>
  <c r="AH61" i="93" s="1"/>
  <c r="AH73" i="93" s="1"/>
  <c r="AH109" i="93" s="1"/>
  <c r="AH115" i="93" s="1"/>
  <c r="AI53" i="91"/>
  <c r="AJ32" i="91"/>
  <c r="AJ33" i="91" s="1"/>
  <c r="AG37" i="93"/>
  <c r="AI16" i="93"/>
  <c r="AI14" i="92"/>
  <c r="AK15" i="90"/>
  <c r="AK18" i="90" s="1"/>
  <c r="AK20" i="90" s="1"/>
  <c r="AK22" i="90" s="1"/>
  <c r="AK28" i="91" s="1"/>
  <c r="AK30" i="91"/>
  <c r="AK77" i="91" s="1"/>
  <c r="AI36" i="91"/>
  <c r="AJ35" i="91" s="1"/>
  <c r="CR96" i="90"/>
  <c r="AM144" i="90"/>
  <c r="AL146" i="90"/>
  <c r="AL171" i="90" s="1"/>
  <c r="AL13" i="90" s="1"/>
  <c r="CL97" i="90"/>
  <c r="CJ100" i="90"/>
  <c r="R48" i="91" l="1"/>
  <c r="S47" i="91"/>
  <c r="T48" i="91" s="1"/>
  <c r="P48" i="91"/>
  <c r="Q48" i="91"/>
  <c r="AJ53" i="91"/>
  <c r="AK32" i="91"/>
  <c r="AK33" i="91" s="1"/>
  <c r="AI32" i="93"/>
  <c r="AI56" i="93" s="1"/>
  <c r="AG61" i="93"/>
  <c r="AG73" i="93" s="1"/>
  <c r="AG109" i="93" s="1"/>
  <c r="AG115" i="93" s="1"/>
  <c r="AJ16" i="93"/>
  <c r="AJ32" i="93" s="1"/>
  <c r="AJ56" i="93" s="1"/>
  <c r="AJ14" i="92"/>
  <c r="AL15" i="90"/>
  <c r="AL18" i="90" s="1"/>
  <c r="AL20" i="90" s="1"/>
  <c r="AL30" i="91"/>
  <c r="AL77" i="91" s="1"/>
  <c r="AJ36" i="91"/>
  <c r="AK35" i="91" s="1"/>
  <c r="CM97" i="90"/>
  <c r="CS96" i="90"/>
  <c r="CK100" i="90"/>
  <c r="AN144" i="90"/>
  <c r="AM146" i="90"/>
  <c r="AM171" i="90" s="1"/>
  <c r="AM13" i="90" s="1"/>
  <c r="T47" i="91" l="1"/>
  <c r="U48" i="91" s="1"/>
  <c r="AK53" i="91"/>
  <c r="AJ37" i="93"/>
  <c r="AJ61" i="93" s="1"/>
  <c r="AJ73" i="93" s="1"/>
  <c r="AJ109" i="93" s="1"/>
  <c r="AJ115" i="93" s="1"/>
  <c r="AK36" i="91"/>
  <c r="AL35" i="91" s="1"/>
  <c r="AK16" i="93"/>
  <c r="AK32" i="93" s="1"/>
  <c r="AK56" i="93" s="1"/>
  <c r="AK14" i="92"/>
  <c r="AI37" i="93"/>
  <c r="AM15" i="90"/>
  <c r="AM18" i="90" s="1"/>
  <c r="AM20" i="90" s="1"/>
  <c r="AM22" i="90" s="1"/>
  <c r="AM28" i="91" s="1"/>
  <c r="AM30" i="91"/>
  <c r="AM77" i="91" s="1"/>
  <c r="AL22" i="90"/>
  <c r="CL100" i="90"/>
  <c r="CN97" i="90"/>
  <c r="AO144" i="90"/>
  <c r="AN146" i="90"/>
  <c r="AN171" i="90" s="1"/>
  <c r="AN13" i="90" s="1"/>
  <c r="CT96" i="90"/>
  <c r="U47" i="91" l="1"/>
  <c r="V48" i="91" s="1"/>
  <c r="AK37" i="93"/>
  <c r="AK61" i="93" s="1"/>
  <c r="AK73" i="93" s="1"/>
  <c r="AK109" i="93" s="1"/>
  <c r="AK115" i="93" s="1"/>
  <c r="AM32" i="91"/>
  <c r="AM33" i="91" s="1"/>
  <c r="AI61" i="93"/>
  <c r="AI73" i="93" s="1"/>
  <c r="AI109" i="93" s="1"/>
  <c r="AI115" i="93" s="1"/>
  <c r="AN15" i="90"/>
  <c r="AN18" i="90" s="1"/>
  <c r="AN20" i="90" s="1"/>
  <c r="AN22" i="90" s="1"/>
  <c r="AN28" i="91" s="1"/>
  <c r="AN30" i="91"/>
  <c r="AN77" i="91" s="1"/>
  <c r="AL28" i="91"/>
  <c r="AL32" i="91" s="1"/>
  <c r="AL33" i="91" s="1"/>
  <c r="V47" i="91"/>
  <c r="CU96" i="90"/>
  <c r="CO97" i="90"/>
  <c r="AP144" i="90"/>
  <c r="AO146" i="90"/>
  <c r="AO171" i="90" s="1"/>
  <c r="AO13" i="90" s="1"/>
  <c r="CM100" i="90"/>
  <c r="AL53" i="91" l="1"/>
  <c r="AM53" i="91"/>
  <c r="AN32" i="91"/>
  <c r="AN33" i="91" s="1"/>
  <c r="AL14" i="92"/>
  <c r="AL16" i="93"/>
  <c r="AM14" i="92"/>
  <c r="AM16" i="93"/>
  <c r="AM32" i="93" s="1"/>
  <c r="AM56" i="93" s="1"/>
  <c r="AO15" i="90"/>
  <c r="AO18" i="90" s="1"/>
  <c r="AO20" i="90" s="1"/>
  <c r="AO22" i="90" s="1"/>
  <c r="AO28" i="91" s="1"/>
  <c r="AO30" i="91"/>
  <c r="AO77" i="91" s="1"/>
  <c r="W48" i="91"/>
  <c r="W47" i="91"/>
  <c r="CN100" i="90"/>
  <c r="CP97" i="90"/>
  <c r="AQ144" i="90"/>
  <c r="AP146" i="90"/>
  <c r="AP171" i="90" s="1"/>
  <c r="AP13" i="90" s="1"/>
  <c r="CV96" i="90"/>
  <c r="AN53" i="91" l="1"/>
  <c r="AO32" i="91"/>
  <c r="AO33" i="91" s="1"/>
  <c r="AM37" i="93"/>
  <c r="AM61" i="93" s="1"/>
  <c r="AM73" i="93" s="1"/>
  <c r="AM109" i="93" s="1"/>
  <c r="AM115" i="93" s="1"/>
  <c r="AL32" i="93"/>
  <c r="AL56" i="93" s="1"/>
  <c r="AN14" i="92"/>
  <c r="AN16" i="93"/>
  <c r="AN32" i="93" s="1"/>
  <c r="AN56" i="93" s="1"/>
  <c r="AP15" i="90"/>
  <c r="AP18" i="90" s="1"/>
  <c r="AP20" i="90" s="1"/>
  <c r="AP30" i="91"/>
  <c r="AP77" i="91" s="1"/>
  <c r="AL36" i="91"/>
  <c r="AM35" i="91" s="1"/>
  <c r="AM36" i="91" s="1"/>
  <c r="AN35" i="91" s="1"/>
  <c r="AN36" i="91" s="1"/>
  <c r="AO35" i="91" s="1"/>
  <c r="X48" i="91"/>
  <c r="X47" i="91"/>
  <c r="AR144" i="90"/>
  <c r="AQ146" i="90"/>
  <c r="AQ171" i="90" s="1"/>
  <c r="AQ13" i="90" s="1"/>
  <c r="CO100" i="90"/>
  <c r="CW96" i="90"/>
  <c r="CQ97" i="90"/>
  <c r="AO53" i="91" l="1"/>
  <c r="AN37" i="93"/>
  <c r="AN61" i="93" s="1"/>
  <c r="AN73" i="93" s="1"/>
  <c r="AN109" i="93" s="1"/>
  <c r="AN115" i="93" s="1"/>
  <c r="AO36" i="91"/>
  <c r="AP35" i="91" s="1"/>
  <c r="AL37" i="93"/>
  <c r="AO14" i="92"/>
  <c r="AO16" i="93"/>
  <c r="AO32" i="93" s="1"/>
  <c r="AO56" i="93" s="1"/>
  <c r="AQ15" i="90"/>
  <c r="AQ18" i="90" s="1"/>
  <c r="AQ20" i="90" s="1"/>
  <c r="AQ22" i="90" s="1"/>
  <c r="AQ28" i="91" s="1"/>
  <c r="AQ30" i="91"/>
  <c r="AQ77" i="91" s="1"/>
  <c r="AP22" i="90"/>
  <c r="Y48" i="91"/>
  <c r="Y47" i="91"/>
  <c r="Z48" i="91" s="1"/>
  <c r="CR97" i="90"/>
  <c r="CP100" i="90"/>
  <c r="CX96" i="90"/>
  <c r="AS144" i="90"/>
  <c r="AR146" i="90"/>
  <c r="AR171" i="90" s="1"/>
  <c r="AR13" i="90" s="1"/>
  <c r="AQ32" i="91" l="1"/>
  <c r="AQ33" i="91" s="1"/>
  <c r="AO37" i="93"/>
  <c r="AO61" i="93" s="1"/>
  <c r="AO73" i="93" s="1"/>
  <c r="AO109" i="93" s="1"/>
  <c r="AO115" i="93" s="1"/>
  <c r="AL61" i="93"/>
  <c r="AL73" i="93" s="1"/>
  <c r="AL109" i="93" s="1"/>
  <c r="AL115" i="93" s="1"/>
  <c r="AR15" i="90"/>
  <c r="AR18" i="90" s="1"/>
  <c r="AR20" i="90" s="1"/>
  <c r="AR22" i="90" s="1"/>
  <c r="AR28" i="91" s="1"/>
  <c r="AR30" i="91"/>
  <c r="AR77" i="91" s="1"/>
  <c r="AP28" i="91"/>
  <c r="AP32" i="91" s="1"/>
  <c r="AP33" i="91" s="1"/>
  <c r="Z47" i="91"/>
  <c r="AA47" i="91" s="1"/>
  <c r="AB47" i="91" s="1"/>
  <c r="AC47" i="91" s="1"/>
  <c r="AT144" i="90"/>
  <c r="AS146" i="90"/>
  <c r="AS171" i="90" s="1"/>
  <c r="AS13" i="90" s="1"/>
  <c r="CQ100" i="90"/>
  <c r="CY96" i="90"/>
  <c r="CS97" i="90"/>
  <c r="AP53" i="91" l="1"/>
  <c r="AQ53" i="91"/>
  <c r="AR32" i="91"/>
  <c r="AR33" i="91" s="1"/>
  <c r="AP14" i="92"/>
  <c r="AP16" i="93"/>
  <c r="AP32" i="93" s="1"/>
  <c r="AP56" i="93" s="1"/>
  <c r="AQ16" i="93"/>
  <c r="AQ32" i="93" s="1"/>
  <c r="AQ56" i="93" s="1"/>
  <c r="AQ14" i="92"/>
  <c r="AS15" i="90"/>
  <c r="AS18" i="90" s="1"/>
  <c r="AS20" i="90" s="1"/>
  <c r="AS22" i="90" s="1"/>
  <c r="AS28" i="91" s="1"/>
  <c r="AS30" i="91"/>
  <c r="AS77" i="91" s="1"/>
  <c r="AC48" i="91"/>
  <c r="AA48" i="91"/>
  <c r="AD47" i="91"/>
  <c r="AE48" i="91" s="1"/>
  <c r="AD48" i="91"/>
  <c r="AB48" i="91"/>
  <c r="CT97" i="90"/>
  <c r="CR100" i="90"/>
  <c r="CZ96" i="90"/>
  <c r="AU144" i="90"/>
  <c r="AT146" i="90"/>
  <c r="AT171" i="90" s="1"/>
  <c r="AT13" i="90" s="1"/>
  <c r="AR53" i="91" l="1"/>
  <c r="AS32" i="91"/>
  <c r="AS33" i="91" s="1"/>
  <c r="AQ37" i="93"/>
  <c r="AQ61" i="93" s="1"/>
  <c r="AQ73" i="93" s="1"/>
  <c r="AQ109" i="93" s="1"/>
  <c r="AQ115" i="93" s="1"/>
  <c r="AP37" i="93"/>
  <c r="AP61" i="93" s="1"/>
  <c r="AP73" i="93" s="1"/>
  <c r="AP109" i="93" s="1"/>
  <c r="AP115" i="93" s="1"/>
  <c r="AR16" i="93"/>
  <c r="AR32" i="93" s="1"/>
  <c r="AR56" i="93" s="1"/>
  <c r="AR14" i="92"/>
  <c r="AT15" i="90"/>
  <c r="AT18" i="90" s="1"/>
  <c r="AT20" i="90" s="1"/>
  <c r="AT22" i="90" s="1"/>
  <c r="AT28" i="91" s="1"/>
  <c r="AT30" i="91"/>
  <c r="AT77" i="91" s="1"/>
  <c r="AP36" i="91"/>
  <c r="AQ35" i="91" s="1"/>
  <c r="AQ36" i="91" s="1"/>
  <c r="AR35" i="91" s="1"/>
  <c r="AR36" i="91" s="1"/>
  <c r="AS35" i="91" s="1"/>
  <c r="AE47" i="91"/>
  <c r="AF48" i="91" s="1"/>
  <c r="AV144" i="90"/>
  <c r="AU146" i="90"/>
  <c r="AU171" i="90" s="1"/>
  <c r="AU13" i="90" s="1"/>
  <c r="CS100" i="90"/>
  <c r="DA96" i="90"/>
  <c r="CU97" i="90"/>
  <c r="AS53" i="91" l="1"/>
  <c r="AT32" i="91"/>
  <c r="AT33" i="91" s="1"/>
  <c r="AR37" i="93"/>
  <c r="AR61" i="93" s="1"/>
  <c r="AR73" i="93" s="1"/>
  <c r="AR109" i="93" s="1"/>
  <c r="AR115" i="93" s="1"/>
  <c r="AS36" i="91"/>
  <c r="AT35" i="91" s="1"/>
  <c r="AS16" i="93"/>
  <c r="AS32" i="93" s="1"/>
  <c r="AS56" i="93" s="1"/>
  <c r="AS14" i="92"/>
  <c r="AU15" i="90"/>
  <c r="AU18" i="90" s="1"/>
  <c r="AU20" i="90" s="1"/>
  <c r="AU22" i="90" s="1"/>
  <c r="AU28" i="91" s="1"/>
  <c r="AU30" i="91"/>
  <c r="AU77" i="91" s="1"/>
  <c r="AF47" i="91"/>
  <c r="AG48" i="91" s="1"/>
  <c r="CV97" i="90"/>
  <c r="CT100" i="90"/>
  <c r="DB96" i="90"/>
  <c r="AW144" i="90"/>
  <c r="AV146" i="90"/>
  <c r="AV171" i="90" s="1"/>
  <c r="AV13" i="90" s="1"/>
  <c r="AT53" i="91" l="1"/>
  <c r="AS37" i="93"/>
  <c r="AS61" i="93" s="1"/>
  <c r="AS73" i="93" s="1"/>
  <c r="AS109" i="93" s="1"/>
  <c r="AS115" i="93" s="1"/>
  <c r="AU32" i="91"/>
  <c r="AU33" i="91" s="1"/>
  <c r="AT16" i="93"/>
  <c r="AT32" i="93" s="1"/>
  <c r="AT56" i="93" s="1"/>
  <c r="AT14" i="92"/>
  <c r="AV15" i="90"/>
  <c r="AV18" i="90" s="1"/>
  <c r="AV20" i="90" s="1"/>
  <c r="AV22" i="90" s="1"/>
  <c r="AV28" i="91" s="1"/>
  <c r="AV30" i="91"/>
  <c r="AV77" i="91" s="1"/>
  <c r="AT36" i="91"/>
  <c r="AU35" i="91" s="1"/>
  <c r="AG47" i="91"/>
  <c r="AH47" i="91" s="1"/>
  <c r="AI47" i="91" s="1"/>
  <c r="AJ48" i="91" s="1"/>
  <c r="AX144" i="90"/>
  <c r="AW146" i="90"/>
  <c r="AW171" i="90" s="1"/>
  <c r="AW13" i="90" s="1"/>
  <c r="CU100" i="90"/>
  <c r="DC96" i="90"/>
  <c r="CW97" i="90"/>
  <c r="AU53" i="91" l="1"/>
  <c r="AT37" i="93"/>
  <c r="AT61" i="93" s="1"/>
  <c r="AT73" i="93" s="1"/>
  <c r="AT109" i="93" s="1"/>
  <c r="AT115" i="93" s="1"/>
  <c r="AV32" i="91"/>
  <c r="AV33" i="91" s="1"/>
  <c r="AU14" i="92"/>
  <c r="AU16" i="93"/>
  <c r="AU32" i="93" s="1"/>
  <c r="AU56" i="93" s="1"/>
  <c r="AW15" i="90"/>
  <c r="AW18" i="90" s="1"/>
  <c r="AW20" i="90" s="1"/>
  <c r="AW22" i="90" s="1"/>
  <c r="AW28" i="91" s="1"/>
  <c r="AW30" i="91"/>
  <c r="AW77" i="91" s="1"/>
  <c r="AU36" i="91"/>
  <c r="AV35" i="91" s="1"/>
  <c r="AH48" i="91"/>
  <c r="AJ47" i="91"/>
  <c r="AI48" i="91"/>
  <c r="CX97" i="90"/>
  <c r="CV100" i="90"/>
  <c r="DD96" i="90"/>
  <c r="AY144" i="90"/>
  <c r="AX146" i="90"/>
  <c r="AX171" i="90" s="1"/>
  <c r="AX13" i="90" s="1"/>
  <c r="AV53" i="91" l="1"/>
  <c r="AU37" i="93"/>
  <c r="AU61" i="93" s="1"/>
  <c r="AU73" i="93" s="1"/>
  <c r="AU109" i="93" s="1"/>
  <c r="AU115" i="93" s="1"/>
  <c r="AW32" i="91"/>
  <c r="AW33" i="91" s="1"/>
  <c r="AV36" i="91"/>
  <c r="AW35" i="91" s="1"/>
  <c r="AV16" i="93"/>
  <c r="AV32" i="93" s="1"/>
  <c r="AV56" i="93" s="1"/>
  <c r="AV14" i="92"/>
  <c r="AX15" i="90"/>
  <c r="AX18" i="90" s="1"/>
  <c r="AX20" i="90" s="1"/>
  <c r="AX22" i="90" s="1"/>
  <c r="AX28" i="91" s="1"/>
  <c r="AX30" i="91"/>
  <c r="AX77" i="91" s="1"/>
  <c r="AK48" i="91"/>
  <c r="AK47" i="91"/>
  <c r="AZ144" i="90"/>
  <c r="AY146" i="90"/>
  <c r="AY171" i="90" s="1"/>
  <c r="AY13" i="90" s="1"/>
  <c r="CW100" i="90"/>
  <c r="DE96" i="90"/>
  <c r="CY97" i="90"/>
  <c r="AW53" i="91" l="1"/>
  <c r="AV37" i="93"/>
  <c r="AV61" i="93" s="1"/>
  <c r="AV73" i="93" s="1"/>
  <c r="AV109" i="93" s="1"/>
  <c r="AV115" i="93" s="1"/>
  <c r="AX32" i="91"/>
  <c r="AX33" i="91" s="1"/>
  <c r="AW14" i="92"/>
  <c r="AW16" i="93"/>
  <c r="AW32" i="93" s="1"/>
  <c r="AW56" i="93" s="1"/>
  <c r="AY15" i="90"/>
  <c r="AY18" i="90" s="1"/>
  <c r="AY20" i="90" s="1"/>
  <c r="AY22" i="90" s="1"/>
  <c r="AY28" i="91" s="1"/>
  <c r="AY30" i="91"/>
  <c r="AY77" i="91" s="1"/>
  <c r="AW36" i="91"/>
  <c r="AX35" i="91" s="1"/>
  <c r="AL48" i="91"/>
  <c r="AL47" i="91"/>
  <c r="AM48" i="91" s="1"/>
  <c r="CZ97" i="90"/>
  <c r="CX100" i="90"/>
  <c r="DF96" i="90"/>
  <c r="BA144" i="90"/>
  <c r="AZ146" i="90"/>
  <c r="AZ171" i="90" s="1"/>
  <c r="AZ13" i="90" s="1"/>
  <c r="AX53" i="91" l="1"/>
  <c r="AW37" i="93"/>
  <c r="AW61" i="93" s="1"/>
  <c r="AW73" i="93" s="1"/>
  <c r="AW109" i="93" s="1"/>
  <c r="AW115" i="93" s="1"/>
  <c r="AY32" i="91"/>
  <c r="AY33" i="91" s="1"/>
  <c r="AX14" i="92"/>
  <c r="AX16" i="93"/>
  <c r="AX32" i="93" s="1"/>
  <c r="AX56" i="93" s="1"/>
  <c r="AZ15" i="90"/>
  <c r="AZ18" i="90" s="1"/>
  <c r="AZ20" i="90" s="1"/>
  <c r="AZ22" i="90" s="1"/>
  <c r="AZ28" i="91" s="1"/>
  <c r="AZ30" i="91"/>
  <c r="AZ77" i="91" s="1"/>
  <c r="AX36" i="91"/>
  <c r="AY35" i="91" s="1"/>
  <c r="AM47" i="91"/>
  <c r="AN48" i="91" s="1"/>
  <c r="BB144" i="90"/>
  <c r="BA146" i="90"/>
  <c r="BA171" i="90" s="1"/>
  <c r="BA13" i="90" s="1"/>
  <c r="CY100" i="90"/>
  <c r="DG96" i="90"/>
  <c r="DA97" i="90"/>
  <c r="AY53" i="91" l="1"/>
  <c r="AZ32" i="91"/>
  <c r="AZ33" i="91" s="1"/>
  <c r="AX37" i="93"/>
  <c r="AX61" i="93" s="1"/>
  <c r="AX73" i="93" s="1"/>
  <c r="AX109" i="93" s="1"/>
  <c r="AX115" i="93" s="1"/>
  <c r="AY14" i="92"/>
  <c r="AY16" i="93"/>
  <c r="AY32" i="93" s="1"/>
  <c r="AY56" i="93" s="1"/>
  <c r="BA15" i="90"/>
  <c r="BA18" i="90" s="1"/>
  <c r="BA20" i="90" s="1"/>
  <c r="BA22" i="90" s="1"/>
  <c r="BA28" i="91" s="1"/>
  <c r="BA30" i="91"/>
  <c r="BA77" i="91" s="1"/>
  <c r="AY36" i="91"/>
  <c r="AZ35" i="91" s="1"/>
  <c r="AN47" i="91"/>
  <c r="AO47" i="91" s="1"/>
  <c r="AP47" i="91" s="1"/>
  <c r="AQ47" i="91" s="1"/>
  <c r="AR47" i="91" s="1"/>
  <c r="DB97" i="90"/>
  <c r="CZ100" i="90"/>
  <c r="DH96" i="90"/>
  <c r="BC144" i="90"/>
  <c r="BB146" i="90"/>
  <c r="BB171" i="90" s="1"/>
  <c r="BB13" i="90" s="1"/>
  <c r="AZ53" i="91" l="1"/>
  <c r="AY37" i="93"/>
  <c r="AY61" i="93" s="1"/>
  <c r="AY73" i="93" s="1"/>
  <c r="AY109" i="93" s="1"/>
  <c r="AY115" i="93" s="1"/>
  <c r="BA32" i="91"/>
  <c r="BA33" i="91" s="1"/>
  <c r="AZ14" i="92"/>
  <c r="AZ16" i="93"/>
  <c r="AZ32" i="93" s="1"/>
  <c r="AZ56" i="93" s="1"/>
  <c r="BB15" i="90"/>
  <c r="BB18" i="90" s="1"/>
  <c r="BB20" i="90" s="1"/>
  <c r="BB22" i="90" s="1"/>
  <c r="BB28" i="91" s="1"/>
  <c r="BB30" i="91"/>
  <c r="BB77" i="91" s="1"/>
  <c r="AZ36" i="91"/>
  <c r="BA35" i="91" s="1"/>
  <c r="AO48" i="91"/>
  <c r="AP48" i="91"/>
  <c r="AQ48" i="91"/>
  <c r="AR48" i="91"/>
  <c r="AS47" i="91"/>
  <c r="AS48" i="91"/>
  <c r="BD144" i="90"/>
  <c r="BC146" i="90"/>
  <c r="BC171" i="90" s="1"/>
  <c r="BC13" i="90" s="1"/>
  <c r="DA100" i="90"/>
  <c r="DI96" i="90"/>
  <c r="DC97" i="90"/>
  <c r="BA53" i="91" l="1"/>
  <c r="AZ37" i="93"/>
  <c r="AZ61" i="93" s="1"/>
  <c r="AZ73" i="93" s="1"/>
  <c r="AZ109" i="93" s="1"/>
  <c r="AZ115" i="93" s="1"/>
  <c r="BB32" i="91"/>
  <c r="BB33" i="91" s="1"/>
  <c r="BA36" i="91"/>
  <c r="BB35" i="91" s="1"/>
  <c r="BA16" i="93"/>
  <c r="BA32" i="93" s="1"/>
  <c r="BA56" i="93" s="1"/>
  <c r="BA14" i="92"/>
  <c r="BC15" i="90"/>
  <c r="BC18" i="90" s="1"/>
  <c r="BC20" i="90" s="1"/>
  <c r="BC22" i="90" s="1"/>
  <c r="BC28" i="91" s="1"/>
  <c r="BC30" i="91"/>
  <c r="BC77" i="91" s="1"/>
  <c r="AT47" i="91"/>
  <c r="AT48" i="91"/>
  <c r="DD97" i="90"/>
  <c r="DB100" i="90"/>
  <c r="DJ96" i="90"/>
  <c r="BE144" i="90"/>
  <c r="BD146" i="90"/>
  <c r="BD171" i="90" s="1"/>
  <c r="BD13" i="90" s="1"/>
  <c r="BB53" i="91" l="1"/>
  <c r="BA37" i="93"/>
  <c r="BA61" i="93" s="1"/>
  <c r="BA73" i="93" s="1"/>
  <c r="BA109" i="93" s="1"/>
  <c r="BA115" i="93" s="1"/>
  <c r="BC32" i="91"/>
  <c r="BC33" i="91" s="1"/>
  <c r="BB14" i="92"/>
  <c r="BB16" i="93"/>
  <c r="BB32" i="93" s="1"/>
  <c r="BB56" i="93" s="1"/>
  <c r="BD15" i="90"/>
  <c r="BD18" i="90" s="1"/>
  <c r="BD20" i="90" s="1"/>
  <c r="BD22" i="90" s="1"/>
  <c r="BD28" i="91" s="1"/>
  <c r="BD30" i="91"/>
  <c r="BD77" i="91" s="1"/>
  <c r="BB36" i="91"/>
  <c r="BC35" i="91" s="1"/>
  <c r="AU47" i="91"/>
  <c r="AU48" i="91"/>
  <c r="BF144" i="90"/>
  <c r="BE146" i="90"/>
  <c r="BE171" i="90" s="1"/>
  <c r="BE13" i="90" s="1"/>
  <c r="DC100" i="90"/>
  <c r="DK96" i="90"/>
  <c r="DE97" i="90"/>
  <c r="BC53" i="91" l="1"/>
  <c r="BB37" i="93"/>
  <c r="BB61" i="93" s="1"/>
  <c r="BB73" i="93" s="1"/>
  <c r="BB109" i="93" s="1"/>
  <c r="BB115" i="93" s="1"/>
  <c r="BD32" i="91"/>
  <c r="BD33" i="91" s="1"/>
  <c r="BC16" i="93"/>
  <c r="BC32" i="93" s="1"/>
  <c r="BC56" i="93" s="1"/>
  <c r="BC14" i="92"/>
  <c r="BC36" i="91"/>
  <c r="BD35" i="91" s="1"/>
  <c r="BE15" i="90"/>
  <c r="BE18" i="90" s="1"/>
  <c r="BE20" i="90" s="1"/>
  <c r="BE22" i="90" s="1"/>
  <c r="BE28" i="91" s="1"/>
  <c r="BE30" i="91"/>
  <c r="BE77" i="91" s="1"/>
  <c r="AV47" i="91"/>
  <c r="AV48" i="91"/>
  <c r="DF97" i="90"/>
  <c r="DD100" i="90"/>
  <c r="DL96" i="90"/>
  <c r="BG144" i="90"/>
  <c r="BF146" i="90"/>
  <c r="BF171" i="90" s="1"/>
  <c r="BF13" i="90" s="1"/>
  <c r="BD53" i="91" l="1"/>
  <c r="BC37" i="93"/>
  <c r="BC61" i="93" s="1"/>
  <c r="BC73" i="93" s="1"/>
  <c r="BC109" i="93" s="1"/>
  <c r="BC115" i="93" s="1"/>
  <c r="BE32" i="91"/>
  <c r="BE33" i="91" s="1"/>
  <c r="BD36" i="91"/>
  <c r="BE35" i="91" s="1"/>
  <c r="BD16" i="93"/>
  <c r="BD32" i="93" s="1"/>
  <c r="BD56" i="93" s="1"/>
  <c r="BD14" i="92"/>
  <c r="BF15" i="90"/>
  <c r="BF18" i="90" s="1"/>
  <c r="BF20" i="90" s="1"/>
  <c r="BF22" i="90" s="1"/>
  <c r="BF28" i="91" s="1"/>
  <c r="BF30" i="91"/>
  <c r="BF77" i="91" s="1"/>
  <c r="AW47" i="91"/>
  <c r="AW48" i="91"/>
  <c r="BH144" i="90"/>
  <c r="BG146" i="90"/>
  <c r="BG171" i="90" s="1"/>
  <c r="BG13" i="90" s="1"/>
  <c r="DE100" i="90"/>
  <c r="DM96" i="90"/>
  <c r="DG97" i="90"/>
  <c r="BE53" i="91" l="1"/>
  <c r="BD37" i="93"/>
  <c r="BD61" i="93" s="1"/>
  <c r="BD73" i="93" s="1"/>
  <c r="BD109" i="93" s="1"/>
  <c r="BD115" i="93" s="1"/>
  <c r="BF32" i="91"/>
  <c r="BF33" i="91" s="1"/>
  <c r="BE16" i="93"/>
  <c r="BE32" i="93" s="1"/>
  <c r="BE56" i="93" s="1"/>
  <c r="BE14" i="92"/>
  <c r="BG15" i="90"/>
  <c r="BG18" i="90" s="1"/>
  <c r="BG20" i="90" s="1"/>
  <c r="BG22" i="90" s="1"/>
  <c r="BG28" i="91" s="1"/>
  <c r="BG30" i="91"/>
  <c r="BG77" i="91" s="1"/>
  <c r="BE36" i="91"/>
  <c r="BF35" i="91" s="1"/>
  <c r="AX47" i="91"/>
  <c r="AX48" i="91"/>
  <c r="DH97" i="90"/>
  <c r="DF100" i="90"/>
  <c r="BI144" i="90"/>
  <c r="BH146" i="90"/>
  <c r="BH171" i="90" s="1"/>
  <c r="BH13" i="90" s="1"/>
  <c r="BF53" i="91" l="1"/>
  <c r="BE37" i="93"/>
  <c r="BE61" i="93" s="1"/>
  <c r="BE73" i="93" s="1"/>
  <c r="BE109" i="93" s="1"/>
  <c r="BE115" i="93" s="1"/>
  <c r="BG32" i="91"/>
  <c r="BG33" i="91" s="1"/>
  <c r="BF16" i="93"/>
  <c r="BF32" i="93" s="1"/>
  <c r="BF56" i="93" s="1"/>
  <c r="BF14" i="92"/>
  <c r="BH15" i="90"/>
  <c r="BH18" i="90" s="1"/>
  <c r="BH20" i="90" s="1"/>
  <c r="BH22" i="90" s="1"/>
  <c r="BH28" i="91" s="1"/>
  <c r="BH30" i="91"/>
  <c r="BH77" i="91" s="1"/>
  <c r="BF36" i="91"/>
  <c r="BG35" i="91" s="1"/>
  <c r="AY47" i="91"/>
  <c r="AY48" i="91"/>
  <c r="DG100" i="90"/>
  <c r="BJ144" i="90"/>
  <c r="BI146" i="90"/>
  <c r="BI171" i="90" s="1"/>
  <c r="BI13" i="90" s="1"/>
  <c r="DI97" i="90"/>
  <c r="BG53" i="91" l="1"/>
  <c r="BH32" i="91"/>
  <c r="BH33" i="91" s="1"/>
  <c r="BG16" i="93"/>
  <c r="BG32" i="93" s="1"/>
  <c r="BG56" i="93" s="1"/>
  <c r="BG14" i="92"/>
  <c r="BF37" i="93"/>
  <c r="BF61" i="93" s="1"/>
  <c r="BF73" i="93" s="1"/>
  <c r="BF109" i="93" s="1"/>
  <c r="BF115" i="93" s="1"/>
  <c r="BI15" i="90"/>
  <c r="BI18" i="90" s="1"/>
  <c r="BI20" i="90" s="1"/>
  <c r="BI22" i="90" s="1"/>
  <c r="BI28" i="91" s="1"/>
  <c r="BI30" i="91"/>
  <c r="BI77" i="91" s="1"/>
  <c r="BG36" i="91"/>
  <c r="BH35" i="91" s="1"/>
  <c r="AZ47" i="91"/>
  <c r="AZ48" i="91"/>
  <c r="BK144" i="90"/>
  <c r="BJ146" i="90"/>
  <c r="BJ171" i="90" s="1"/>
  <c r="BJ13" i="90" s="1"/>
  <c r="DJ97" i="90"/>
  <c r="DH100" i="90"/>
  <c r="BH53" i="91" l="1"/>
  <c r="BI32" i="91"/>
  <c r="BI33" i="91" s="1"/>
  <c r="BG37" i="93"/>
  <c r="BG61" i="93" s="1"/>
  <c r="BG73" i="93" s="1"/>
  <c r="BG109" i="93" s="1"/>
  <c r="BG115" i="93" s="1"/>
  <c r="BH16" i="93"/>
  <c r="BH32" i="93" s="1"/>
  <c r="BH56" i="93" s="1"/>
  <c r="BH14" i="92"/>
  <c r="BJ15" i="90"/>
  <c r="BJ18" i="90" s="1"/>
  <c r="BJ20" i="90" s="1"/>
  <c r="BJ22" i="90" s="1"/>
  <c r="BJ28" i="91" s="1"/>
  <c r="BJ30" i="91"/>
  <c r="BJ77" i="91" s="1"/>
  <c r="BH36" i="91"/>
  <c r="BI35" i="91" s="1"/>
  <c r="BA47" i="91"/>
  <c r="BA48" i="91"/>
  <c r="DK97" i="90"/>
  <c r="DI100" i="90"/>
  <c r="BL144" i="90"/>
  <c r="BK146" i="90"/>
  <c r="BK171" i="90" s="1"/>
  <c r="BK13" i="90" s="1"/>
  <c r="BI53" i="91" l="1"/>
  <c r="BH37" i="93"/>
  <c r="BH61" i="93" s="1"/>
  <c r="BH73" i="93" s="1"/>
  <c r="BH109" i="93" s="1"/>
  <c r="BH115" i="93" s="1"/>
  <c r="BJ32" i="91"/>
  <c r="BJ33" i="91" s="1"/>
  <c r="BI14" i="92"/>
  <c r="BI16" i="93"/>
  <c r="BI32" i="93" s="1"/>
  <c r="BI56" i="93" s="1"/>
  <c r="BK15" i="90"/>
  <c r="BK18" i="90" s="1"/>
  <c r="BK20" i="90" s="1"/>
  <c r="BK22" i="90" s="1"/>
  <c r="BK28" i="91" s="1"/>
  <c r="BK30" i="91"/>
  <c r="BK77" i="91" s="1"/>
  <c r="BI36" i="91"/>
  <c r="BJ35" i="91" s="1"/>
  <c r="BB47" i="91"/>
  <c r="BB48" i="91"/>
  <c r="DJ100" i="90"/>
  <c r="BM144" i="90"/>
  <c r="BL146" i="90"/>
  <c r="BL171" i="90" s="1"/>
  <c r="BL13" i="90" s="1"/>
  <c r="DL97" i="90"/>
  <c r="BJ53" i="91" l="1"/>
  <c r="BI37" i="93"/>
  <c r="BI61" i="93" s="1"/>
  <c r="BI73" i="93" s="1"/>
  <c r="BI109" i="93" s="1"/>
  <c r="BI115" i="93" s="1"/>
  <c r="BK32" i="91"/>
  <c r="BK33" i="91" s="1"/>
  <c r="BJ14" i="92"/>
  <c r="BJ16" i="93"/>
  <c r="BJ32" i="93" s="1"/>
  <c r="BJ56" i="93" s="1"/>
  <c r="BL15" i="90"/>
  <c r="BL18" i="90" s="1"/>
  <c r="BL20" i="90" s="1"/>
  <c r="BL22" i="90" s="1"/>
  <c r="BL28" i="91" s="1"/>
  <c r="BL30" i="91"/>
  <c r="BL77" i="91" s="1"/>
  <c r="BJ36" i="91"/>
  <c r="BK35" i="91" s="1"/>
  <c r="BC47" i="91"/>
  <c r="BC48" i="91"/>
  <c r="BN144" i="90"/>
  <c r="BM146" i="90"/>
  <c r="BM171" i="90" s="1"/>
  <c r="BM13" i="90" s="1"/>
  <c r="DM97" i="90"/>
  <c r="DK100" i="90"/>
  <c r="BK53" i="91" l="1"/>
  <c r="BJ37" i="93"/>
  <c r="BJ61" i="93" s="1"/>
  <c r="BJ73" i="93" s="1"/>
  <c r="BJ109" i="93" s="1"/>
  <c r="BJ115" i="93" s="1"/>
  <c r="BL32" i="91"/>
  <c r="BL33" i="91" s="1"/>
  <c r="BK14" i="92"/>
  <c r="BK16" i="93"/>
  <c r="BK32" i="93" s="1"/>
  <c r="BK56" i="93" s="1"/>
  <c r="BM15" i="90"/>
  <c r="BM18" i="90" s="1"/>
  <c r="BM20" i="90" s="1"/>
  <c r="BM22" i="90" s="1"/>
  <c r="BM28" i="91" s="1"/>
  <c r="BM30" i="91"/>
  <c r="BM77" i="91" s="1"/>
  <c r="BK36" i="91"/>
  <c r="BL35" i="91" s="1"/>
  <c r="BD47" i="91"/>
  <c r="BD48" i="91"/>
  <c r="DL100" i="90"/>
  <c r="BO144" i="90"/>
  <c r="BN146" i="90"/>
  <c r="BN171" i="90" s="1"/>
  <c r="BN13" i="90" s="1"/>
  <c r="BL53" i="91" l="1"/>
  <c r="BM32" i="91"/>
  <c r="BM33" i="91" s="1"/>
  <c r="BK37" i="93"/>
  <c r="BK61" i="93" s="1"/>
  <c r="BK73" i="93" s="1"/>
  <c r="BK109" i="93" s="1"/>
  <c r="BK115" i="93" s="1"/>
  <c r="BL14" i="92"/>
  <c r="BL36" i="91"/>
  <c r="BM35" i="91" s="1"/>
  <c r="BL16" i="93"/>
  <c r="BL32" i="93" s="1"/>
  <c r="BL56" i="93" s="1"/>
  <c r="BN15" i="90"/>
  <c r="BN18" i="90" s="1"/>
  <c r="BN20" i="90" s="1"/>
  <c r="BN22" i="90" s="1"/>
  <c r="BN28" i="91" s="1"/>
  <c r="BN30" i="91"/>
  <c r="BN77" i="91" s="1"/>
  <c r="BE47" i="91"/>
  <c r="BE48" i="91"/>
  <c r="BP144" i="90"/>
  <c r="BO146" i="90"/>
  <c r="BO171" i="90" s="1"/>
  <c r="BO13" i="90" s="1"/>
  <c r="DM100" i="90"/>
  <c r="BM53" i="91" l="1"/>
  <c r="BN32" i="91"/>
  <c r="BN33" i="91" s="1"/>
  <c r="BL37" i="93"/>
  <c r="BL61" i="93" s="1"/>
  <c r="BL73" i="93" s="1"/>
  <c r="BL109" i="93" s="1"/>
  <c r="BL115" i="93" s="1"/>
  <c r="BM14" i="92"/>
  <c r="BM16" i="93"/>
  <c r="BM32" i="93" s="1"/>
  <c r="BM56" i="93" s="1"/>
  <c r="BO15" i="90"/>
  <c r="BO18" i="90" s="1"/>
  <c r="BO20" i="90" s="1"/>
  <c r="BO22" i="90" s="1"/>
  <c r="BO28" i="91" s="1"/>
  <c r="BO30" i="91"/>
  <c r="BO77" i="91" s="1"/>
  <c r="BM36" i="91"/>
  <c r="BN35" i="91" s="1"/>
  <c r="BF47" i="91"/>
  <c r="BF48" i="91"/>
  <c r="BQ144" i="90"/>
  <c r="BP146" i="90"/>
  <c r="BP171" i="90" s="1"/>
  <c r="BP13" i="90" s="1"/>
  <c r="BN53" i="91" l="1"/>
  <c r="BM37" i="93"/>
  <c r="BM61" i="93" s="1"/>
  <c r="BM73" i="93" s="1"/>
  <c r="BM109" i="93" s="1"/>
  <c r="BM115" i="93" s="1"/>
  <c r="BO32" i="91"/>
  <c r="BO33" i="91" s="1"/>
  <c r="BN14" i="92"/>
  <c r="BN16" i="93"/>
  <c r="BN32" i="93" s="1"/>
  <c r="BN56" i="93" s="1"/>
  <c r="BP15" i="90"/>
  <c r="BP18" i="90" s="1"/>
  <c r="BP20" i="90" s="1"/>
  <c r="BP22" i="90" s="1"/>
  <c r="BP28" i="91" s="1"/>
  <c r="BP30" i="91"/>
  <c r="BP77" i="91" s="1"/>
  <c r="BN36" i="91"/>
  <c r="BO35" i="91" s="1"/>
  <c r="BG47" i="91"/>
  <c r="BG48" i="91"/>
  <c r="BR144" i="90"/>
  <c r="BQ146" i="90"/>
  <c r="BQ171" i="90" s="1"/>
  <c r="BQ13" i="90" s="1"/>
  <c r="BO53" i="91" l="1"/>
  <c r="BP32" i="91"/>
  <c r="BP33" i="91" s="1"/>
  <c r="BN37" i="93"/>
  <c r="BN61" i="93" s="1"/>
  <c r="BN73" i="93" s="1"/>
  <c r="BN109" i="93" s="1"/>
  <c r="BN115" i="93" s="1"/>
  <c r="BO16" i="93"/>
  <c r="BO32" i="93" s="1"/>
  <c r="BO56" i="93" s="1"/>
  <c r="BO14" i="92"/>
  <c r="BQ15" i="90"/>
  <c r="BQ18" i="90" s="1"/>
  <c r="BQ20" i="90" s="1"/>
  <c r="BQ22" i="90" s="1"/>
  <c r="BQ28" i="91" s="1"/>
  <c r="BQ30" i="91"/>
  <c r="BQ77" i="91" s="1"/>
  <c r="BO36" i="91"/>
  <c r="BP35" i="91" s="1"/>
  <c r="BH47" i="91"/>
  <c r="BH48" i="91"/>
  <c r="BS144" i="90"/>
  <c r="BR146" i="90"/>
  <c r="BR171" i="90" s="1"/>
  <c r="BR13" i="90" s="1"/>
  <c r="BP53" i="91" l="1"/>
  <c r="BQ32" i="91"/>
  <c r="BQ33" i="91" s="1"/>
  <c r="BO37" i="93"/>
  <c r="BO61" i="93" s="1"/>
  <c r="BO73" i="93" s="1"/>
  <c r="BO109" i="93" s="1"/>
  <c r="BO115" i="93" s="1"/>
  <c r="BP16" i="93"/>
  <c r="BP32" i="93" s="1"/>
  <c r="BP56" i="93" s="1"/>
  <c r="BP14" i="92"/>
  <c r="BR15" i="90"/>
  <c r="BR18" i="90" s="1"/>
  <c r="BR20" i="90" s="1"/>
  <c r="BR22" i="90" s="1"/>
  <c r="BR28" i="91" s="1"/>
  <c r="BR30" i="91"/>
  <c r="BR77" i="91" s="1"/>
  <c r="BP36" i="91"/>
  <c r="BQ35" i="91" s="1"/>
  <c r="BI47" i="91"/>
  <c r="BI48" i="91"/>
  <c r="BT144" i="90"/>
  <c r="BS146" i="90"/>
  <c r="BS171" i="90" s="1"/>
  <c r="BS13" i="90" s="1"/>
  <c r="BQ53" i="91" l="1"/>
  <c r="BP37" i="93"/>
  <c r="BP61" i="93" s="1"/>
  <c r="BP73" i="93" s="1"/>
  <c r="BP109" i="93" s="1"/>
  <c r="BP115" i="93" s="1"/>
  <c r="BR32" i="91"/>
  <c r="BR33" i="91" s="1"/>
  <c r="BQ16" i="93"/>
  <c r="BQ32" i="93" s="1"/>
  <c r="BQ56" i="93" s="1"/>
  <c r="BQ14" i="92"/>
  <c r="BS15" i="90"/>
  <c r="BS18" i="90" s="1"/>
  <c r="BS20" i="90" s="1"/>
  <c r="BS22" i="90" s="1"/>
  <c r="BS28" i="91" s="1"/>
  <c r="BS30" i="91"/>
  <c r="BS77" i="91" s="1"/>
  <c r="BQ36" i="91"/>
  <c r="BR35" i="91" s="1"/>
  <c r="BJ47" i="91"/>
  <c r="BJ48" i="91"/>
  <c r="BU144" i="90"/>
  <c r="BT146" i="90"/>
  <c r="BT171" i="90" s="1"/>
  <c r="BT13" i="90" s="1"/>
  <c r="BR53" i="91" l="1"/>
  <c r="BQ37" i="93"/>
  <c r="BQ61" i="93" s="1"/>
  <c r="BQ73" i="93" s="1"/>
  <c r="BQ109" i="93" s="1"/>
  <c r="BQ115" i="93" s="1"/>
  <c r="BS32" i="91"/>
  <c r="BS33" i="91" s="1"/>
  <c r="BR36" i="91"/>
  <c r="BS35" i="91" s="1"/>
  <c r="BR14" i="92"/>
  <c r="BR16" i="93"/>
  <c r="BR32" i="93" s="1"/>
  <c r="BR56" i="93" s="1"/>
  <c r="BT15" i="90"/>
  <c r="BT18" i="90" s="1"/>
  <c r="BT20" i="90" s="1"/>
  <c r="BT22" i="90" s="1"/>
  <c r="BT28" i="91" s="1"/>
  <c r="BT30" i="91"/>
  <c r="BT77" i="91" s="1"/>
  <c r="BK47" i="91"/>
  <c r="BK48" i="91"/>
  <c r="BV144" i="90"/>
  <c r="BU146" i="90"/>
  <c r="BU171" i="90" s="1"/>
  <c r="BU13" i="90" s="1"/>
  <c r="BS53" i="91" l="1"/>
  <c r="BR37" i="93"/>
  <c r="BR61" i="93" s="1"/>
  <c r="BR73" i="93" s="1"/>
  <c r="BR109" i="93" s="1"/>
  <c r="BR115" i="93" s="1"/>
  <c r="BT32" i="91"/>
  <c r="BT33" i="91" s="1"/>
  <c r="BS16" i="93"/>
  <c r="BS32" i="93" s="1"/>
  <c r="BS56" i="93" s="1"/>
  <c r="BS14" i="92"/>
  <c r="BU15" i="90"/>
  <c r="BU18" i="90" s="1"/>
  <c r="BU20" i="90" s="1"/>
  <c r="BU22" i="90" s="1"/>
  <c r="BU28" i="91" s="1"/>
  <c r="BU30" i="91"/>
  <c r="BU77" i="91" s="1"/>
  <c r="BS36" i="91"/>
  <c r="BT35" i="91" s="1"/>
  <c r="BL47" i="91"/>
  <c r="BL48" i="91"/>
  <c r="BW144" i="90"/>
  <c r="BV146" i="90"/>
  <c r="BV171" i="90" s="1"/>
  <c r="BV13" i="90" s="1"/>
  <c r="BT53" i="91" l="1"/>
  <c r="BU32" i="91"/>
  <c r="BU33" i="91" s="1"/>
  <c r="BS37" i="93"/>
  <c r="BS61" i="93" s="1"/>
  <c r="BS73" i="93" s="1"/>
  <c r="BS109" i="93" s="1"/>
  <c r="BS115" i="93" s="1"/>
  <c r="BT16" i="93"/>
  <c r="BT32" i="93" s="1"/>
  <c r="BT56" i="93" s="1"/>
  <c r="BT14" i="92"/>
  <c r="BV15" i="90"/>
  <c r="BV18" i="90" s="1"/>
  <c r="BV20" i="90" s="1"/>
  <c r="BV22" i="90" s="1"/>
  <c r="BV28" i="91" s="1"/>
  <c r="BV30" i="91"/>
  <c r="BV77" i="91" s="1"/>
  <c r="BT36" i="91"/>
  <c r="BU35" i="91" s="1"/>
  <c r="BM47" i="91"/>
  <c r="BM48" i="91"/>
  <c r="BX144" i="90"/>
  <c r="BW146" i="90"/>
  <c r="BW171" i="90" s="1"/>
  <c r="BW13" i="90" s="1"/>
  <c r="BU53" i="91" l="1"/>
  <c r="BV32" i="91"/>
  <c r="BV33" i="91" s="1"/>
  <c r="BT37" i="93"/>
  <c r="BT61" i="93" s="1"/>
  <c r="BT73" i="93" s="1"/>
  <c r="BT109" i="93" s="1"/>
  <c r="BT115" i="93" s="1"/>
  <c r="BU14" i="92"/>
  <c r="BU16" i="93"/>
  <c r="BU32" i="93" s="1"/>
  <c r="BU56" i="93" s="1"/>
  <c r="BW15" i="90"/>
  <c r="BW18" i="90" s="1"/>
  <c r="BW20" i="90" s="1"/>
  <c r="BW22" i="90" s="1"/>
  <c r="BW28" i="91" s="1"/>
  <c r="BW30" i="91"/>
  <c r="BW77" i="91" s="1"/>
  <c r="BU36" i="91"/>
  <c r="BV35" i="91" s="1"/>
  <c r="BN47" i="91"/>
  <c r="BN48" i="91"/>
  <c r="BY144" i="90"/>
  <c r="BX146" i="90"/>
  <c r="BX171" i="90" s="1"/>
  <c r="BX13" i="90" s="1"/>
  <c r="BV53" i="91" l="1"/>
  <c r="BW32" i="91"/>
  <c r="BW33" i="91" s="1"/>
  <c r="BU37" i="93"/>
  <c r="BU61" i="93" s="1"/>
  <c r="BU73" i="93" s="1"/>
  <c r="BU109" i="93" s="1"/>
  <c r="BU115" i="93" s="1"/>
  <c r="BV14" i="92"/>
  <c r="BV16" i="93"/>
  <c r="BV32" i="93" s="1"/>
  <c r="BV56" i="93" s="1"/>
  <c r="BX15" i="90"/>
  <c r="BX18" i="90" s="1"/>
  <c r="BX20" i="90" s="1"/>
  <c r="BX22" i="90" s="1"/>
  <c r="BX28" i="91" s="1"/>
  <c r="BX30" i="91"/>
  <c r="BX77" i="91" s="1"/>
  <c r="BV36" i="91"/>
  <c r="BW35" i="91" s="1"/>
  <c r="BO47" i="91"/>
  <c r="BO48" i="91"/>
  <c r="BZ144" i="90"/>
  <c r="BY146" i="90"/>
  <c r="BY171" i="90" s="1"/>
  <c r="BY13" i="90" s="1"/>
  <c r="BW53" i="91" l="1"/>
  <c r="BX32" i="91"/>
  <c r="BX33" i="91" s="1"/>
  <c r="BV37" i="93"/>
  <c r="BV61" i="93" s="1"/>
  <c r="BV73" i="93" s="1"/>
  <c r="BV109" i="93" s="1"/>
  <c r="BV115" i="93" s="1"/>
  <c r="BW14" i="92"/>
  <c r="BW16" i="93"/>
  <c r="BW32" i="93" s="1"/>
  <c r="BW56" i="93" s="1"/>
  <c r="BY15" i="90"/>
  <c r="BY18" i="90" s="1"/>
  <c r="BY20" i="90" s="1"/>
  <c r="BY22" i="90" s="1"/>
  <c r="BY28" i="91" s="1"/>
  <c r="BY30" i="91"/>
  <c r="BY77" i="91" s="1"/>
  <c r="BW36" i="91"/>
  <c r="BX35" i="91" s="1"/>
  <c r="BP47" i="91"/>
  <c r="BP48" i="91"/>
  <c r="CA144" i="90"/>
  <c r="BZ146" i="90"/>
  <c r="BZ171" i="90" s="1"/>
  <c r="BZ13" i="90" s="1"/>
  <c r="BX53" i="91" l="1"/>
  <c r="BW37" i="93"/>
  <c r="BW61" i="93" s="1"/>
  <c r="BW73" i="93" s="1"/>
  <c r="BW109" i="93" s="1"/>
  <c r="BW115" i="93" s="1"/>
  <c r="BY32" i="91"/>
  <c r="BY33" i="91" s="1"/>
  <c r="BX14" i="92"/>
  <c r="BX16" i="93"/>
  <c r="BX32" i="93" s="1"/>
  <c r="BX56" i="93" s="1"/>
  <c r="BZ15" i="90"/>
  <c r="BZ18" i="90" s="1"/>
  <c r="BZ20" i="90" s="1"/>
  <c r="BZ22" i="90" s="1"/>
  <c r="BZ28" i="91" s="1"/>
  <c r="BZ30" i="91"/>
  <c r="BZ77" i="91" s="1"/>
  <c r="BX36" i="91"/>
  <c r="BY35" i="91" s="1"/>
  <c r="BQ47" i="91"/>
  <c r="BQ48" i="91"/>
  <c r="CB144" i="90"/>
  <c r="CA146" i="90"/>
  <c r="CA171" i="90" s="1"/>
  <c r="CA13" i="90" s="1"/>
  <c r="BY53" i="91" l="1"/>
  <c r="BX37" i="93"/>
  <c r="BX61" i="93" s="1"/>
  <c r="BX73" i="93" s="1"/>
  <c r="BX109" i="93" s="1"/>
  <c r="BX115" i="93" s="1"/>
  <c r="BZ32" i="91"/>
  <c r="BZ33" i="91" s="1"/>
  <c r="BY14" i="92"/>
  <c r="BY16" i="93"/>
  <c r="BY32" i="93" s="1"/>
  <c r="BY56" i="93" s="1"/>
  <c r="CA15" i="90"/>
  <c r="CA18" i="90" s="1"/>
  <c r="CA20" i="90" s="1"/>
  <c r="CA22" i="90" s="1"/>
  <c r="CA28" i="91" s="1"/>
  <c r="CA30" i="91"/>
  <c r="CA77" i="91" s="1"/>
  <c r="BY36" i="91"/>
  <c r="BZ35" i="91" s="1"/>
  <c r="BR47" i="91"/>
  <c r="BR48" i="91"/>
  <c r="CC144" i="90"/>
  <c r="CB146" i="90"/>
  <c r="CB171" i="90" s="1"/>
  <c r="CB13" i="90" s="1"/>
  <c r="BZ53" i="91" l="1"/>
  <c r="CA32" i="91"/>
  <c r="CA33" i="91" s="1"/>
  <c r="BZ14" i="92"/>
  <c r="BZ36" i="91"/>
  <c r="CA35" i="91" s="1"/>
  <c r="BZ16" i="93"/>
  <c r="BZ32" i="93" s="1"/>
  <c r="BZ56" i="93" s="1"/>
  <c r="BY37" i="93"/>
  <c r="BY61" i="93" s="1"/>
  <c r="BY73" i="93" s="1"/>
  <c r="CB15" i="90"/>
  <c r="CB18" i="90" s="1"/>
  <c r="CB20" i="90" s="1"/>
  <c r="CB22" i="90" s="1"/>
  <c r="CB28" i="91" s="1"/>
  <c r="CB30" i="91"/>
  <c r="CB77" i="91" s="1"/>
  <c r="BS47" i="91"/>
  <c r="BS48" i="91"/>
  <c r="CD144" i="90"/>
  <c r="CC146" i="90"/>
  <c r="CC171" i="90" s="1"/>
  <c r="CC13" i="90" s="1"/>
  <c r="CA53" i="91" l="1"/>
  <c r="BZ37" i="93"/>
  <c r="BZ61" i="93" s="1"/>
  <c r="BZ73" i="93" s="1"/>
  <c r="BZ109" i="93" s="1"/>
  <c r="BZ115" i="93" s="1"/>
  <c r="CB32" i="91"/>
  <c r="CB33" i="91" s="1"/>
  <c r="CA16" i="93"/>
  <c r="CA32" i="93" s="1"/>
  <c r="CA56" i="93" s="1"/>
  <c r="CA14" i="92"/>
  <c r="BY109" i="93"/>
  <c r="BY115" i="93" s="1"/>
  <c r="CC15" i="90"/>
  <c r="CC18" i="90" s="1"/>
  <c r="CC20" i="90" s="1"/>
  <c r="CC22" i="90" s="1"/>
  <c r="CC28" i="91" s="1"/>
  <c r="CC30" i="91"/>
  <c r="CC77" i="91" s="1"/>
  <c r="CA36" i="91"/>
  <c r="CB35" i="91" s="1"/>
  <c r="BT47" i="91"/>
  <c r="BT48" i="91"/>
  <c r="CE144" i="90"/>
  <c r="CD146" i="90"/>
  <c r="CD171" i="90" s="1"/>
  <c r="CD13" i="90" s="1"/>
  <c r="CB53" i="91" l="1"/>
  <c r="CA37" i="93"/>
  <c r="CA61" i="93" s="1"/>
  <c r="CA73" i="93" s="1"/>
  <c r="CA109" i="93" s="1"/>
  <c r="CA115" i="93" s="1"/>
  <c r="CC32" i="91"/>
  <c r="CC33" i="91" s="1"/>
  <c r="CB16" i="93"/>
  <c r="CB32" i="93" s="1"/>
  <c r="CB56" i="93" s="1"/>
  <c r="CB14" i="92"/>
  <c r="CD15" i="90"/>
  <c r="CD18" i="90" s="1"/>
  <c r="CD20" i="90" s="1"/>
  <c r="CD22" i="90" s="1"/>
  <c r="CD28" i="91" s="1"/>
  <c r="CD30" i="91"/>
  <c r="CD77" i="91" s="1"/>
  <c r="CB36" i="91"/>
  <c r="CC35" i="91" s="1"/>
  <c r="BU47" i="91"/>
  <c r="BU48" i="91"/>
  <c r="CF144" i="90"/>
  <c r="CE146" i="90"/>
  <c r="CE171" i="90" s="1"/>
  <c r="CE13" i="90" s="1"/>
  <c r="CC53" i="91" l="1"/>
  <c r="CD32" i="91"/>
  <c r="CD33" i="91" s="1"/>
  <c r="CB37" i="93"/>
  <c r="CB61" i="93" s="1"/>
  <c r="CB73" i="93" s="1"/>
  <c r="CB109" i="93" s="1"/>
  <c r="CB115" i="93" s="1"/>
  <c r="CC16" i="93"/>
  <c r="CC32" i="93" s="1"/>
  <c r="CC56" i="93" s="1"/>
  <c r="CC36" i="91"/>
  <c r="CD35" i="91" s="1"/>
  <c r="CC14" i="92"/>
  <c r="CE15" i="90"/>
  <c r="CE18" i="90" s="1"/>
  <c r="CE20" i="90" s="1"/>
  <c r="CE22" i="90" s="1"/>
  <c r="CE28" i="91" s="1"/>
  <c r="CE30" i="91"/>
  <c r="CE77" i="91" s="1"/>
  <c r="BV47" i="91"/>
  <c r="BV48" i="91"/>
  <c r="CG144" i="90"/>
  <c r="CF146" i="90"/>
  <c r="CF171" i="90" s="1"/>
  <c r="CF13" i="90" s="1"/>
  <c r="CD53" i="91" l="1"/>
  <c r="CE32" i="91"/>
  <c r="CE33" i="91" s="1"/>
  <c r="CC37" i="93"/>
  <c r="CC61" i="93" s="1"/>
  <c r="CC73" i="93" s="1"/>
  <c r="CC109" i="93" s="1"/>
  <c r="CC115" i="93" s="1"/>
  <c r="CD16" i="93"/>
  <c r="CD32" i="93" s="1"/>
  <c r="CD56" i="93" s="1"/>
  <c r="CD14" i="92"/>
  <c r="CF15" i="90"/>
  <c r="CF18" i="90" s="1"/>
  <c r="CF20" i="90" s="1"/>
  <c r="CF22" i="90" s="1"/>
  <c r="CF28" i="91" s="1"/>
  <c r="CF30" i="91"/>
  <c r="CF77" i="91" s="1"/>
  <c r="CD36" i="91"/>
  <c r="CE35" i="91" s="1"/>
  <c r="BW47" i="91"/>
  <c r="BW48" i="91"/>
  <c r="CH144" i="90"/>
  <c r="CG146" i="90"/>
  <c r="CG171" i="90" s="1"/>
  <c r="CG13" i="90" s="1"/>
  <c r="CE53" i="91" l="1"/>
  <c r="CF32" i="91"/>
  <c r="CF33" i="91" s="1"/>
  <c r="CD37" i="93"/>
  <c r="CD61" i="93" s="1"/>
  <c r="CD73" i="93" s="1"/>
  <c r="CD109" i="93" s="1"/>
  <c r="CD115" i="93" s="1"/>
  <c r="CE14" i="92"/>
  <c r="CE16" i="93"/>
  <c r="CE32" i="93" s="1"/>
  <c r="CE56" i="93" s="1"/>
  <c r="CE36" i="91"/>
  <c r="CF35" i="91" s="1"/>
  <c r="CG15" i="90"/>
  <c r="CG18" i="90" s="1"/>
  <c r="CG20" i="90" s="1"/>
  <c r="CG22" i="90" s="1"/>
  <c r="CG28" i="91" s="1"/>
  <c r="CG30" i="91"/>
  <c r="CG77" i="91" s="1"/>
  <c r="BX47" i="91"/>
  <c r="BX48" i="91"/>
  <c r="CI144" i="90"/>
  <c r="CH146" i="90"/>
  <c r="CH171" i="90" s="1"/>
  <c r="CH13" i="90" s="1"/>
  <c r="CF53" i="91" l="1"/>
  <c r="CG32" i="91"/>
  <c r="CG33" i="91" s="1"/>
  <c r="CE37" i="93"/>
  <c r="CE61" i="93" s="1"/>
  <c r="CE73" i="93" s="1"/>
  <c r="CE109" i="93" s="1"/>
  <c r="CE115" i="93" s="1"/>
  <c r="CF16" i="93"/>
  <c r="CF32" i="93" s="1"/>
  <c r="CF56" i="93" s="1"/>
  <c r="CF14" i="92"/>
  <c r="CH15" i="90"/>
  <c r="CH18" i="90" s="1"/>
  <c r="CH20" i="90" s="1"/>
  <c r="CH22" i="90" s="1"/>
  <c r="CH28" i="91" s="1"/>
  <c r="CH30" i="91"/>
  <c r="CH77" i="91" s="1"/>
  <c r="CF36" i="91"/>
  <c r="CG35" i="91" s="1"/>
  <c r="BY47" i="91"/>
  <c r="BY48" i="91"/>
  <c r="CJ144" i="90"/>
  <c r="CI146" i="90"/>
  <c r="CI171" i="90" s="1"/>
  <c r="CI13" i="90" s="1"/>
  <c r="CG53" i="91" l="1"/>
  <c r="CH32" i="91"/>
  <c r="CH33" i="91" s="1"/>
  <c r="CF37" i="93"/>
  <c r="CF61" i="93" s="1"/>
  <c r="CF73" i="93" s="1"/>
  <c r="CF109" i="93" s="1"/>
  <c r="CF115" i="93" s="1"/>
  <c r="CG14" i="92"/>
  <c r="CG16" i="93"/>
  <c r="CG32" i="93" s="1"/>
  <c r="CG56" i="93" s="1"/>
  <c r="CI15" i="90"/>
  <c r="CI18" i="90" s="1"/>
  <c r="CI20" i="90" s="1"/>
  <c r="CI22" i="90" s="1"/>
  <c r="CI28" i="91" s="1"/>
  <c r="CI30" i="91"/>
  <c r="CI77" i="91" s="1"/>
  <c r="CG36" i="91"/>
  <c r="CH35" i="91" s="1"/>
  <c r="BZ47" i="91"/>
  <c r="BZ48" i="91"/>
  <c r="CK144" i="90"/>
  <c r="CJ146" i="90"/>
  <c r="CJ171" i="90" s="1"/>
  <c r="CJ13" i="90" s="1"/>
  <c r="CH53" i="91" l="1"/>
  <c r="CI32" i="91"/>
  <c r="CI33" i="91" s="1"/>
  <c r="CG37" i="93"/>
  <c r="CG61" i="93" s="1"/>
  <c r="CG73" i="93" s="1"/>
  <c r="CG109" i="93" s="1"/>
  <c r="CG115" i="93" s="1"/>
  <c r="CH14" i="92"/>
  <c r="CH16" i="93"/>
  <c r="CH32" i="93" s="1"/>
  <c r="CH56" i="93" s="1"/>
  <c r="CJ15" i="90"/>
  <c r="CJ18" i="90" s="1"/>
  <c r="CJ20" i="90" s="1"/>
  <c r="CJ22" i="90" s="1"/>
  <c r="CJ28" i="91" s="1"/>
  <c r="CJ30" i="91"/>
  <c r="CJ77" i="91" s="1"/>
  <c r="CH36" i="91"/>
  <c r="CI35" i="91" s="1"/>
  <c r="CA47" i="91"/>
  <c r="CA48" i="91"/>
  <c r="CL144" i="90"/>
  <c r="CK146" i="90"/>
  <c r="CK171" i="90" s="1"/>
  <c r="CK13" i="90" s="1"/>
  <c r="CI53" i="91" l="1"/>
  <c r="CJ32" i="91"/>
  <c r="CJ33" i="91" s="1"/>
  <c r="CH37" i="93"/>
  <c r="CH61" i="93" s="1"/>
  <c r="CH73" i="93" s="1"/>
  <c r="CH109" i="93" s="1"/>
  <c r="CH115" i="93" s="1"/>
  <c r="CI14" i="92"/>
  <c r="CI16" i="93"/>
  <c r="CI32" i="93" s="1"/>
  <c r="CI56" i="93" s="1"/>
  <c r="CK15" i="90"/>
  <c r="CK18" i="90" s="1"/>
  <c r="CK20" i="90" s="1"/>
  <c r="CK22" i="90" s="1"/>
  <c r="CK28" i="91" s="1"/>
  <c r="CK30" i="91"/>
  <c r="CK77" i="91" s="1"/>
  <c r="CI36" i="91"/>
  <c r="CJ35" i="91" s="1"/>
  <c r="CB47" i="91"/>
  <c r="CB48" i="91"/>
  <c r="CM144" i="90"/>
  <c r="CL146" i="90"/>
  <c r="CL171" i="90" s="1"/>
  <c r="CL13" i="90" s="1"/>
  <c r="CJ53" i="91" l="1"/>
  <c r="CK32" i="91"/>
  <c r="CK33" i="91" s="1"/>
  <c r="CI37" i="93"/>
  <c r="CI61" i="93" s="1"/>
  <c r="CI73" i="93" s="1"/>
  <c r="CI109" i="93" s="1"/>
  <c r="CI115" i="93" s="1"/>
  <c r="CJ16" i="93"/>
  <c r="CJ32" i="93" s="1"/>
  <c r="CJ56" i="93" s="1"/>
  <c r="CJ14" i="92"/>
  <c r="CL15" i="90"/>
  <c r="CL18" i="90" s="1"/>
  <c r="CL20" i="90" s="1"/>
  <c r="CL22" i="90" s="1"/>
  <c r="CL28" i="91" s="1"/>
  <c r="CL30" i="91"/>
  <c r="CL77" i="91" s="1"/>
  <c r="CJ36" i="91"/>
  <c r="CK35" i="91" s="1"/>
  <c r="CC47" i="91"/>
  <c r="CC48" i="91"/>
  <c r="CN144" i="90"/>
  <c r="CM146" i="90"/>
  <c r="CM171" i="90" s="1"/>
  <c r="CM13" i="90" s="1"/>
  <c r="CK53" i="91" l="1"/>
  <c r="CL32" i="91"/>
  <c r="CL33" i="91" s="1"/>
  <c r="CJ37" i="93"/>
  <c r="CJ61" i="93" s="1"/>
  <c r="CJ73" i="93" s="1"/>
  <c r="CJ109" i="93" s="1"/>
  <c r="CJ115" i="93" s="1"/>
  <c r="CK14" i="92"/>
  <c r="CK36" i="91"/>
  <c r="CL35" i="91" s="1"/>
  <c r="CK16" i="93"/>
  <c r="CK32" i="93" s="1"/>
  <c r="CK56" i="93" s="1"/>
  <c r="CM15" i="90"/>
  <c r="CM18" i="90" s="1"/>
  <c r="CM20" i="90" s="1"/>
  <c r="CM22" i="90" s="1"/>
  <c r="CM28" i="91" s="1"/>
  <c r="CM30" i="91"/>
  <c r="CM77" i="91" s="1"/>
  <c r="CD47" i="91"/>
  <c r="CD48" i="91"/>
  <c r="CO144" i="90"/>
  <c r="CN146" i="90"/>
  <c r="CN171" i="90" s="1"/>
  <c r="CN13" i="90" s="1"/>
  <c r="CL53" i="91" l="1"/>
  <c r="CL16" i="93"/>
  <c r="CL32" i="93" s="1"/>
  <c r="CL56" i="93" s="1"/>
  <c r="CM32" i="91"/>
  <c r="CM33" i="91" s="1"/>
  <c r="CM16" i="93" s="1"/>
  <c r="CM32" i="93" s="1"/>
  <c r="CM56" i="93" s="1"/>
  <c r="CK37" i="93"/>
  <c r="CK61" i="93" s="1"/>
  <c r="CK73" i="93" s="1"/>
  <c r="CK109" i="93" s="1"/>
  <c r="CK115" i="93" s="1"/>
  <c r="CL14" i="92"/>
  <c r="CL36" i="91"/>
  <c r="CM35" i="91" s="1"/>
  <c r="CN15" i="90"/>
  <c r="CN18" i="90" s="1"/>
  <c r="CN20" i="90" s="1"/>
  <c r="CN22" i="90" s="1"/>
  <c r="CN28" i="91" s="1"/>
  <c r="CN30" i="91"/>
  <c r="CN77" i="91" s="1"/>
  <c r="CE47" i="91"/>
  <c r="CE48" i="91"/>
  <c r="CP144" i="90"/>
  <c r="CO146" i="90"/>
  <c r="CO171" i="90" s="1"/>
  <c r="CO13" i="90" s="1"/>
  <c r="CM53" i="91" l="1"/>
  <c r="CL37" i="93"/>
  <c r="CL61" i="93" s="1"/>
  <c r="CL73" i="93" s="1"/>
  <c r="CL109" i="93" s="1"/>
  <c r="CL115" i="93" s="1"/>
  <c r="CM37" i="93"/>
  <c r="CM61" i="93" s="1"/>
  <c r="CM73" i="93" s="1"/>
  <c r="CM109" i="93" s="1"/>
  <c r="CM115" i="93" s="1"/>
  <c r="CN32" i="91"/>
  <c r="CN33" i="91" s="1"/>
  <c r="CM36" i="91"/>
  <c r="CN35" i="91" s="1"/>
  <c r="CM14" i="92"/>
  <c r="CO15" i="90"/>
  <c r="CO18" i="90" s="1"/>
  <c r="CO20" i="90" s="1"/>
  <c r="CO22" i="90" s="1"/>
  <c r="CO28" i="91" s="1"/>
  <c r="CO30" i="91"/>
  <c r="CO77" i="91" s="1"/>
  <c r="CF47" i="91"/>
  <c r="CF48" i="91"/>
  <c r="CQ144" i="90"/>
  <c r="CP146" i="90"/>
  <c r="CP171" i="90" s="1"/>
  <c r="CP13" i="90" s="1"/>
  <c r="CN53" i="91" l="1"/>
  <c r="CO32" i="91"/>
  <c r="CO33" i="91" s="1"/>
  <c r="CN16" i="93"/>
  <c r="CN32" i="93" s="1"/>
  <c r="CN56" i="93" s="1"/>
  <c r="CN36" i="91"/>
  <c r="CO35" i="91" s="1"/>
  <c r="CN14" i="92"/>
  <c r="CP15" i="90"/>
  <c r="CP18" i="90" s="1"/>
  <c r="CP20" i="90" s="1"/>
  <c r="CP22" i="90" s="1"/>
  <c r="CP28" i="91" s="1"/>
  <c r="CP30" i="91"/>
  <c r="CP77" i="91" s="1"/>
  <c r="CG47" i="91"/>
  <c r="CG48" i="91"/>
  <c r="CR144" i="90"/>
  <c r="CQ146" i="90"/>
  <c r="CQ171" i="90" s="1"/>
  <c r="CQ13" i="90" s="1"/>
  <c r="CO53" i="91" l="1"/>
  <c r="CP32" i="91"/>
  <c r="CP33" i="91" s="1"/>
  <c r="CN37" i="93"/>
  <c r="CN61" i="93" s="1"/>
  <c r="CN73" i="93" s="1"/>
  <c r="CN109" i="93" s="1"/>
  <c r="CN115" i="93" s="1"/>
  <c r="CO16" i="93"/>
  <c r="CO32" i="93" s="1"/>
  <c r="CO56" i="93" s="1"/>
  <c r="CO14" i="92"/>
  <c r="CO36" i="91"/>
  <c r="CP35" i="91" s="1"/>
  <c r="CQ15" i="90"/>
  <c r="CQ18" i="90" s="1"/>
  <c r="CQ20" i="90" s="1"/>
  <c r="CQ22" i="90" s="1"/>
  <c r="CQ28" i="91" s="1"/>
  <c r="CQ30" i="91"/>
  <c r="CQ77" i="91" s="1"/>
  <c r="CH47" i="91"/>
  <c r="CH48" i="91"/>
  <c r="CS144" i="90"/>
  <c r="CR146" i="90"/>
  <c r="CR171" i="90" s="1"/>
  <c r="CR13" i="90" s="1"/>
  <c r="CP53" i="91" l="1"/>
  <c r="CQ32" i="91"/>
  <c r="CQ33" i="91" s="1"/>
  <c r="CO37" i="93"/>
  <c r="CO61" i="93" s="1"/>
  <c r="CO73" i="93" s="1"/>
  <c r="CO109" i="93" s="1"/>
  <c r="CO115" i="93" s="1"/>
  <c r="CP16" i="93"/>
  <c r="CP32" i="93" s="1"/>
  <c r="CP56" i="93" s="1"/>
  <c r="CP14" i="92"/>
  <c r="CR15" i="90"/>
  <c r="CR18" i="90" s="1"/>
  <c r="CR20" i="90" s="1"/>
  <c r="CR22" i="90" s="1"/>
  <c r="CR28" i="91" s="1"/>
  <c r="CR30" i="91"/>
  <c r="CR77" i="91" s="1"/>
  <c r="CP36" i="91"/>
  <c r="CQ35" i="91" s="1"/>
  <c r="CI47" i="91"/>
  <c r="CI48" i="91"/>
  <c r="CT144" i="90"/>
  <c r="CS146" i="90"/>
  <c r="CS171" i="90" s="1"/>
  <c r="CS13" i="90" s="1"/>
  <c r="CQ53" i="91" l="1"/>
  <c r="CR32" i="91"/>
  <c r="CR33" i="91" s="1"/>
  <c r="CQ16" i="93"/>
  <c r="CQ32" i="93" s="1"/>
  <c r="CQ56" i="93" s="1"/>
  <c r="CP37" i="93"/>
  <c r="CP61" i="93" s="1"/>
  <c r="CP73" i="93" s="1"/>
  <c r="CP109" i="93" s="1"/>
  <c r="CP115" i="93" s="1"/>
  <c r="CQ36" i="91"/>
  <c r="CR35" i="91" s="1"/>
  <c r="CQ14" i="92"/>
  <c r="CS15" i="90"/>
  <c r="CS18" i="90" s="1"/>
  <c r="CS20" i="90" s="1"/>
  <c r="CS22" i="90" s="1"/>
  <c r="CS28" i="91" s="1"/>
  <c r="CS30" i="91"/>
  <c r="CS77" i="91" s="1"/>
  <c r="CJ47" i="91"/>
  <c r="CJ48" i="91"/>
  <c r="CU144" i="90"/>
  <c r="CT146" i="90"/>
  <c r="CT171" i="90" s="1"/>
  <c r="CT13" i="90" s="1"/>
  <c r="CR53" i="91" l="1"/>
  <c r="CQ37" i="93"/>
  <c r="CQ61" i="93" s="1"/>
  <c r="CQ73" i="93" s="1"/>
  <c r="CQ109" i="93" s="1"/>
  <c r="CQ115" i="93" s="1"/>
  <c r="CS32" i="91"/>
  <c r="CS33" i="91" s="1"/>
  <c r="CR16" i="93"/>
  <c r="CR32" i="93" s="1"/>
  <c r="CR56" i="93" s="1"/>
  <c r="CR36" i="91"/>
  <c r="CS35" i="91" s="1"/>
  <c r="CR14" i="92"/>
  <c r="CT15" i="90"/>
  <c r="CT18" i="90" s="1"/>
  <c r="CT20" i="90" s="1"/>
  <c r="CT22" i="90" s="1"/>
  <c r="CT28" i="91" s="1"/>
  <c r="CT30" i="91"/>
  <c r="CT77" i="91" s="1"/>
  <c r="CK47" i="91"/>
  <c r="CK48" i="91"/>
  <c r="CV144" i="90"/>
  <c r="CU146" i="90"/>
  <c r="CU171" i="90" s="1"/>
  <c r="CU13" i="90" s="1"/>
  <c r="CS53" i="91" l="1"/>
  <c r="CT32" i="91"/>
  <c r="CT33" i="91" s="1"/>
  <c r="CR37" i="93"/>
  <c r="CR61" i="93" s="1"/>
  <c r="CR73" i="93" s="1"/>
  <c r="CR109" i="93" s="1"/>
  <c r="CR115" i="93" s="1"/>
  <c r="CS36" i="91"/>
  <c r="CT35" i="91" s="1"/>
  <c r="CS16" i="93"/>
  <c r="CS32" i="93" s="1"/>
  <c r="CS56" i="93" s="1"/>
  <c r="CS14" i="92"/>
  <c r="CU15" i="90"/>
  <c r="CU18" i="90" s="1"/>
  <c r="CU20" i="90" s="1"/>
  <c r="CU22" i="90" s="1"/>
  <c r="CU28" i="91" s="1"/>
  <c r="CU30" i="91"/>
  <c r="CU77" i="91" s="1"/>
  <c r="CL47" i="91"/>
  <c r="CL48" i="91"/>
  <c r="CW144" i="90"/>
  <c r="CV146" i="90"/>
  <c r="CV171" i="90" s="1"/>
  <c r="CV13" i="90" s="1"/>
  <c r="CT53" i="91" l="1"/>
  <c r="CU32" i="91"/>
  <c r="CU33" i="91" s="1"/>
  <c r="CS37" i="93"/>
  <c r="CS61" i="93" s="1"/>
  <c r="CS73" i="93" s="1"/>
  <c r="CS109" i="93" s="1"/>
  <c r="CS115" i="93" s="1"/>
  <c r="CT36" i="91"/>
  <c r="CU35" i="91" s="1"/>
  <c r="CT16" i="93"/>
  <c r="CT32" i="93" s="1"/>
  <c r="CT56" i="93" s="1"/>
  <c r="CT14" i="92"/>
  <c r="CV15" i="90"/>
  <c r="CV18" i="90" s="1"/>
  <c r="CV20" i="90" s="1"/>
  <c r="CV22" i="90" s="1"/>
  <c r="CV28" i="91" s="1"/>
  <c r="CV30" i="91"/>
  <c r="CV77" i="91" s="1"/>
  <c r="CM47" i="91"/>
  <c r="CM48" i="91"/>
  <c r="CX144" i="90"/>
  <c r="CW146" i="90"/>
  <c r="CW171" i="90" s="1"/>
  <c r="CW13" i="90" s="1"/>
  <c r="CU53" i="91" l="1"/>
  <c r="CV32" i="91"/>
  <c r="CV33" i="91" s="1"/>
  <c r="CT37" i="93"/>
  <c r="CT61" i="93" s="1"/>
  <c r="CT73" i="93" s="1"/>
  <c r="CT109" i="93" s="1"/>
  <c r="CT115" i="93" s="1"/>
  <c r="CU36" i="91"/>
  <c r="CV35" i="91" s="1"/>
  <c r="CU16" i="93"/>
  <c r="CU32" i="93" s="1"/>
  <c r="CU56" i="93" s="1"/>
  <c r="CU14" i="92"/>
  <c r="CW15" i="90"/>
  <c r="CW18" i="90" s="1"/>
  <c r="CW20" i="90" s="1"/>
  <c r="CW22" i="90" s="1"/>
  <c r="CW28" i="91" s="1"/>
  <c r="CW30" i="91"/>
  <c r="CW77" i="91" s="1"/>
  <c r="CN47" i="91"/>
  <c r="CN48" i="91"/>
  <c r="CY144" i="90"/>
  <c r="CX146" i="90"/>
  <c r="CX171" i="90" s="1"/>
  <c r="CX13" i="90" s="1"/>
  <c r="CV53" i="91" l="1"/>
  <c r="CW32" i="91"/>
  <c r="CW33" i="91" s="1"/>
  <c r="CU37" i="93"/>
  <c r="CU61" i="93" s="1"/>
  <c r="CU73" i="93" s="1"/>
  <c r="CU109" i="93" s="1"/>
  <c r="CU115" i="93" s="1"/>
  <c r="CV36" i="91"/>
  <c r="CW35" i="91" s="1"/>
  <c r="CV16" i="93"/>
  <c r="CV32" i="93" s="1"/>
  <c r="CV56" i="93" s="1"/>
  <c r="CV14" i="92"/>
  <c r="CX15" i="90"/>
  <c r="CX18" i="90" s="1"/>
  <c r="CX20" i="90" s="1"/>
  <c r="CX22" i="90" s="1"/>
  <c r="CX28" i="91" s="1"/>
  <c r="CX30" i="91"/>
  <c r="CX77" i="91" s="1"/>
  <c r="CO47" i="91"/>
  <c r="CO48" i="91"/>
  <c r="CZ144" i="90"/>
  <c r="CY146" i="90"/>
  <c r="CY171" i="90" s="1"/>
  <c r="CY13" i="90" s="1"/>
  <c r="CW53" i="91" l="1"/>
  <c r="CX32" i="91"/>
  <c r="CX33" i="91" s="1"/>
  <c r="CV37" i="93"/>
  <c r="CV61" i="93" s="1"/>
  <c r="CV73" i="93" s="1"/>
  <c r="CV109" i="93" s="1"/>
  <c r="CV115" i="93" s="1"/>
  <c r="CW16" i="93"/>
  <c r="CW32" i="93" s="1"/>
  <c r="CW56" i="93" s="1"/>
  <c r="CW14" i="92"/>
  <c r="CW36" i="91"/>
  <c r="CX35" i="91" s="1"/>
  <c r="CY15" i="90"/>
  <c r="CY18" i="90" s="1"/>
  <c r="CY20" i="90" s="1"/>
  <c r="CY22" i="90" s="1"/>
  <c r="CY28" i="91" s="1"/>
  <c r="CY30" i="91"/>
  <c r="CY77" i="91" s="1"/>
  <c r="CP47" i="91"/>
  <c r="CP48" i="91"/>
  <c r="DA144" i="90"/>
  <c r="CZ146" i="90"/>
  <c r="CZ171" i="90" s="1"/>
  <c r="CZ13" i="90" s="1"/>
  <c r="CX53" i="91" l="1"/>
  <c r="CY32" i="91"/>
  <c r="CY33" i="91" s="1"/>
  <c r="CW37" i="93"/>
  <c r="CW61" i="93" s="1"/>
  <c r="CW73" i="93" s="1"/>
  <c r="CW109" i="93" s="1"/>
  <c r="CW115" i="93" s="1"/>
  <c r="CX36" i="91"/>
  <c r="CY35" i="91" s="1"/>
  <c r="CX16" i="93"/>
  <c r="CX32" i="93" s="1"/>
  <c r="CX56" i="93" s="1"/>
  <c r="CX14" i="92"/>
  <c r="CZ15" i="90"/>
  <c r="CZ18" i="90" s="1"/>
  <c r="CZ20" i="90" s="1"/>
  <c r="CZ22" i="90" s="1"/>
  <c r="CZ28" i="91" s="1"/>
  <c r="CZ30" i="91"/>
  <c r="CZ77" i="91" s="1"/>
  <c r="CQ47" i="91"/>
  <c r="CQ48" i="91"/>
  <c r="DB144" i="90"/>
  <c r="DA146" i="90"/>
  <c r="DA171" i="90" s="1"/>
  <c r="DA13" i="90" s="1"/>
  <c r="CY53" i="91" l="1"/>
  <c r="CZ32" i="91"/>
  <c r="CZ33" i="91" s="1"/>
  <c r="CX37" i="93"/>
  <c r="CX61" i="93" s="1"/>
  <c r="CX73" i="93" s="1"/>
  <c r="CX109" i="93" s="1"/>
  <c r="CX115" i="93" s="1"/>
  <c r="CY16" i="93"/>
  <c r="CY32" i="93" s="1"/>
  <c r="CY56" i="93" s="1"/>
  <c r="CY14" i="92"/>
  <c r="DA15" i="90"/>
  <c r="DA18" i="90" s="1"/>
  <c r="DA20" i="90" s="1"/>
  <c r="DA22" i="90" s="1"/>
  <c r="DA28" i="91" s="1"/>
  <c r="DA30" i="91"/>
  <c r="DA77" i="91" s="1"/>
  <c r="CY36" i="91"/>
  <c r="CZ35" i="91" s="1"/>
  <c r="CR47" i="91"/>
  <c r="CR48" i="91"/>
  <c r="DC144" i="90"/>
  <c r="DB146" i="90"/>
  <c r="DB171" i="90" s="1"/>
  <c r="DB13" i="90" s="1"/>
  <c r="CZ53" i="91" l="1"/>
  <c r="DA32" i="91"/>
  <c r="DA33" i="91" s="1"/>
  <c r="CY37" i="93"/>
  <c r="CY61" i="93" s="1"/>
  <c r="CY73" i="93" s="1"/>
  <c r="CY109" i="93" s="1"/>
  <c r="CY115" i="93" s="1"/>
  <c r="CZ14" i="92"/>
  <c r="CZ16" i="93"/>
  <c r="CZ32" i="93" s="1"/>
  <c r="CZ56" i="93" s="1"/>
  <c r="DB15" i="90"/>
  <c r="DB18" i="90" s="1"/>
  <c r="DB20" i="90" s="1"/>
  <c r="DB22" i="90" s="1"/>
  <c r="DB28" i="91" s="1"/>
  <c r="DB30" i="91"/>
  <c r="DB77" i="91" s="1"/>
  <c r="CZ36" i="91"/>
  <c r="DA35" i="91" s="1"/>
  <c r="CS47" i="91"/>
  <c r="CS48" i="91"/>
  <c r="DD144" i="90"/>
  <c r="DC146" i="90"/>
  <c r="DC171" i="90" s="1"/>
  <c r="DC13" i="90" s="1"/>
  <c r="DA53" i="91" l="1"/>
  <c r="DB32" i="91"/>
  <c r="DB33" i="91" s="1"/>
  <c r="CZ37" i="93"/>
  <c r="CZ61" i="93" s="1"/>
  <c r="CZ73" i="93" s="1"/>
  <c r="CZ109" i="93" s="1"/>
  <c r="CZ115" i="93" s="1"/>
  <c r="DA16" i="93"/>
  <c r="DA32" i="93" s="1"/>
  <c r="DA56" i="93" s="1"/>
  <c r="DA14" i="92"/>
  <c r="DC15" i="90"/>
  <c r="DC18" i="90" s="1"/>
  <c r="DC20" i="90" s="1"/>
  <c r="DC22" i="90" s="1"/>
  <c r="DC28" i="91" s="1"/>
  <c r="DC30" i="91"/>
  <c r="DC77" i="91" s="1"/>
  <c r="DA36" i="91"/>
  <c r="DB35" i="91" s="1"/>
  <c r="CT47" i="91"/>
  <c r="CT48" i="91"/>
  <c r="DE144" i="90"/>
  <c r="DD146" i="90"/>
  <c r="DD171" i="90" s="1"/>
  <c r="DD13" i="90" s="1"/>
  <c r="DB53" i="91" l="1"/>
  <c r="DC32" i="91"/>
  <c r="DC33" i="91" s="1"/>
  <c r="DA37" i="93"/>
  <c r="DA61" i="93" s="1"/>
  <c r="DA73" i="93" s="1"/>
  <c r="DA109" i="93" s="1"/>
  <c r="DA115" i="93" s="1"/>
  <c r="DB36" i="91"/>
  <c r="DC35" i="91" s="1"/>
  <c r="DB16" i="93"/>
  <c r="DB32" i="93" s="1"/>
  <c r="DB56" i="93" s="1"/>
  <c r="DB14" i="92"/>
  <c r="DD15" i="90"/>
  <c r="DD18" i="90" s="1"/>
  <c r="DD20" i="90" s="1"/>
  <c r="DD22" i="90" s="1"/>
  <c r="DD28" i="91" s="1"/>
  <c r="DD30" i="91"/>
  <c r="DD77" i="91" s="1"/>
  <c r="CU47" i="91"/>
  <c r="CU48" i="91"/>
  <c r="DF144" i="90"/>
  <c r="DE146" i="90"/>
  <c r="DE171" i="90" s="1"/>
  <c r="DE13" i="90" s="1"/>
  <c r="DC53" i="91" l="1"/>
  <c r="DD32" i="91"/>
  <c r="DD33" i="91" s="1"/>
  <c r="DB37" i="93"/>
  <c r="DB61" i="93" s="1"/>
  <c r="DB73" i="93" s="1"/>
  <c r="DB109" i="93" s="1"/>
  <c r="DB115" i="93" s="1"/>
  <c r="DC16" i="93"/>
  <c r="DC32" i="93" s="1"/>
  <c r="DC56" i="93" s="1"/>
  <c r="DC14" i="92"/>
  <c r="DE15" i="90"/>
  <c r="DE18" i="90" s="1"/>
  <c r="DE20" i="90" s="1"/>
  <c r="DE22" i="90" s="1"/>
  <c r="DE28" i="91" s="1"/>
  <c r="DE30" i="91"/>
  <c r="DE77" i="91" s="1"/>
  <c r="DC36" i="91"/>
  <c r="DD35" i="91" s="1"/>
  <c r="CV47" i="91"/>
  <c r="CV48" i="91"/>
  <c r="DG144" i="90"/>
  <c r="DF146" i="90"/>
  <c r="DF171" i="90" s="1"/>
  <c r="DF13" i="90" s="1"/>
  <c r="DD53" i="91" l="1"/>
  <c r="DE32" i="91"/>
  <c r="DE33" i="91" s="1"/>
  <c r="DC37" i="93"/>
  <c r="DC61" i="93" s="1"/>
  <c r="DC73" i="93" s="1"/>
  <c r="DC109" i="93" s="1"/>
  <c r="DC115" i="93" s="1"/>
  <c r="DD16" i="93"/>
  <c r="DD32" i="93" s="1"/>
  <c r="DD56" i="93" s="1"/>
  <c r="DD14" i="92"/>
  <c r="DF15" i="90"/>
  <c r="DF18" i="90" s="1"/>
  <c r="DF20" i="90" s="1"/>
  <c r="DF22" i="90" s="1"/>
  <c r="DF28" i="91" s="1"/>
  <c r="DF30" i="91"/>
  <c r="DF77" i="91" s="1"/>
  <c r="DD36" i="91"/>
  <c r="DE35" i="91" s="1"/>
  <c r="CW47" i="91"/>
  <c r="CW48" i="91"/>
  <c r="DH144" i="90"/>
  <c r="DG146" i="90"/>
  <c r="DG171" i="90" s="1"/>
  <c r="DG13" i="90" s="1"/>
  <c r="DE53" i="91" l="1"/>
  <c r="DD37" i="93"/>
  <c r="DD61" i="93" s="1"/>
  <c r="DD73" i="93" s="1"/>
  <c r="DD109" i="93" s="1"/>
  <c r="DD115" i="93" s="1"/>
  <c r="DF32" i="91"/>
  <c r="DF33" i="91" s="1"/>
  <c r="DF53" i="91" s="1"/>
  <c r="DE14" i="92"/>
  <c r="DE16" i="93"/>
  <c r="DG15" i="90"/>
  <c r="DG18" i="90" s="1"/>
  <c r="DG20" i="90" s="1"/>
  <c r="DG22" i="90" s="1"/>
  <c r="DG28" i="91" s="1"/>
  <c r="DG30" i="91"/>
  <c r="DG77" i="91" s="1"/>
  <c r="DE36" i="91"/>
  <c r="DF35" i="91" s="1"/>
  <c r="CX47" i="91"/>
  <c r="CX48" i="91"/>
  <c r="DI144" i="90"/>
  <c r="DH146" i="90"/>
  <c r="DH171" i="90" s="1"/>
  <c r="DH13" i="90" s="1"/>
  <c r="DG32" i="91" l="1"/>
  <c r="DG33" i="91" s="1"/>
  <c r="DG53" i="91" s="1"/>
  <c r="DF36" i="91"/>
  <c r="DG35" i="91" s="1"/>
  <c r="DE32" i="93"/>
  <c r="DE56" i="93" s="1"/>
  <c r="I16" i="93"/>
  <c r="O40" i="92"/>
  <c r="O49" i="92" s="1"/>
  <c r="Q40" i="92"/>
  <c r="Q49" i="92" s="1"/>
  <c r="S40" i="92"/>
  <c r="S49" i="92" s="1"/>
  <c r="W40" i="92"/>
  <c r="W49" i="92" s="1"/>
  <c r="V40" i="92"/>
  <c r="V49" i="92" s="1"/>
  <c r="R40" i="92"/>
  <c r="R49" i="92" s="1"/>
  <c r="I14" i="92"/>
  <c r="P40" i="92"/>
  <c r="P49" i="92" s="1"/>
  <c r="T40" i="92"/>
  <c r="T49" i="92" s="1"/>
  <c r="N40" i="92"/>
  <c r="N49" i="92" s="1"/>
  <c r="U40" i="92"/>
  <c r="U49" i="92" s="1"/>
  <c r="DH15" i="90"/>
  <c r="DH18" i="90" s="1"/>
  <c r="DH20" i="90" s="1"/>
  <c r="DH22" i="90" s="1"/>
  <c r="DH28" i="91" s="1"/>
  <c r="DH30" i="91"/>
  <c r="DH77" i="91" s="1"/>
  <c r="CY47" i="91"/>
  <c r="CY48" i="91"/>
  <c r="DJ144" i="90"/>
  <c r="DI146" i="90"/>
  <c r="DI171" i="90" s="1"/>
  <c r="DI13" i="90" s="1"/>
  <c r="DH32" i="91" l="1"/>
  <c r="DH33" i="91" s="1"/>
  <c r="DH53" i="91" s="1"/>
  <c r="DE37" i="93"/>
  <c r="I37" i="93" s="1"/>
  <c r="DG36" i="91"/>
  <c r="DH35" i="91" s="1"/>
  <c r="I32" i="93"/>
  <c r="E47" i="93"/>
  <c r="E49" i="93" s="1"/>
  <c r="E51" i="93" s="1"/>
  <c r="J51" i="93" s="1"/>
  <c r="J56" i="93" s="1"/>
  <c r="DI15" i="90"/>
  <c r="DI18" i="90" s="1"/>
  <c r="DI20" i="90" s="1"/>
  <c r="DI22" i="90" s="1"/>
  <c r="DI28" i="91" s="1"/>
  <c r="DI30" i="91"/>
  <c r="DI77" i="91" s="1"/>
  <c r="CZ47" i="91"/>
  <c r="CZ48" i="91"/>
  <c r="DK144" i="90"/>
  <c r="DJ146" i="90"/>
  <c r="DJ171" i="90" s="1"/>
  <c r="DJ13" i="90" s="1"/>
  <c r="DE61" i="93" l="1"/>
  <c r="DE73" i="93" s="1"/>
  <c r="DE109" i="93" s="1"/>
  <c r="DE115" i="93" s="1"/>
  <c r="AL131" i="93" s="1"/>
  <c r="I56" i="93"/>
  <c r="E57" i="93"/>
  <c r="E58" i="93"/>
  <c r="DI32" i="91"/>
  <c r="DI33" i="91" s="1"/>
  <c r="DI53" i="91" s="1"/>
  <c r="N131" i="93"/>
  <c r="V131" i="93"/>
  <c r="AH131" i="93"/>
  <c r="AV131" i="93"/>
  <c r="AO131" i="93"/>
  <c r="AW131" i="93"/>
  <c r="CD131" i="93"/>
  <c r="CI131" i="93"/>
  <c r="CP131" i="93"/>
  <c r="CU131" i="93"/>
  <c r="DC131" i="93"/>
  <c r="J52" i="93"/>
  <c r="I52" i="93" s="1"/>
  <c r="I51" i="93"/>
  <c r="DB131" i="93"/>
  <c r="DD131" i="93"/>
  <c r="DE131" i="93"/>
  <c r="DJ15" i="90"/>
  <c r="DJ18" i="90" s="1"/>
  <c r="DJ20" i="90" s="1"/>
  <c r="DJ22" i="90" s="1"/>
  <c r="DJ28" i="91" s="1"/>
  <c r="DJ30" i="91"/>
  <c r="DJ77" i="91" s="1"/>
  <c r="DH36" i="91"/>
  <c r="DI35" i="91" s="1"/>
  <c r="DA47" i="91"/>
  <c r="DA48" i="91"/>
  <c r="DL144" i="90"/>
  <c r="DK146" i="90"/>
  <c r="DK171" i="90" s="1"/>
  <c r="DK13" i="90" s="1"/>
  <c r="CS131" i="93" l="1"/>
  <c r="CH131" i="93"/>
  <c r="CB131" i="93"/>
  <c r="CW131" i="93"/>
  <c r="BW131" i="93"/>
  <c r="CV131" i="93"/>
  <c r="BY131" i="93"/>
  <c r="CT131" i="93"/>
  <c r="BU131" i="93"/>
  <c r="CN131" i="93"/>
  <c r="CM131" i="93"/>
  <c r="BP131" i="93"/>
  <c r="BQ131" i="93"/>
  <c r="CY131" i="93"/>
  <c r="CL131" i="93"/>
  <c r="BM131" i="93"/>
  <c r="DA131" i="93"/>
  <c r="CK131" i="93"/>
  <c r="BN131" i="93"/>
  <c r="AY131" i="93"/>
  <c r="BT131" i="93"/>
  <c r="T131" i="93"/>
  <c r="CF131" i="93"/>
  <c r="BJ131" i="93"/>
  <c r="CE131" i="93"/>
  <c r="BH131" i="93"/>
  <c r="BG131" i="93"/>
  <c r="BX131" i="93"/>
  <c r="BF131" i="93"/>
  <c r="BB131" i="93"/>
  <c r="BA131" i="93"/>
  <c r="BC131" i="93"/>
  <c r="S131" i="93"/>
  <c r="AB131" i="93"/>
  <c r="CA131" i="93"/>
  <c r="BO131" i="93"/>
  <c r="AZ131" i="93"/>
  <c r="P131" i="93"/>
  <c r="CX131" i="93"/>
  <c r="CQ131" i="93"/>
  <c r="BZ131" i="93"/>
  <c r="BL131" i="93"/>
  <c r="AT131" i="93"/>
  <c r="J131" i="93"/>
  <c r="AR131" i="93"/>
  <c r="CZ131" i="93"/>
  <c r="CJ131" i="93"/>
  <c r="BV131" i="93"/>
  <c r="BD131" i="93"/>
  <c r="AN131" i="93"/>
  <c r="AQ131" i="93"/>
  <c r="AP131" i="93"/>
  <c r="R131" i="93"/>
  <c r="AE131" i="93"/>
  <c r="M131" i="93"/>
  <c r="AI131" i="93"/>
  <c r="DE142" i="93"/>
  <c r="DD142" i="93"/>
  <c r="Z142" i="93"/>
  <c r="Y142" i="93"/>
  <c r="X142" i="93"/>
  <c r="AA142" i="93"/>
  <c r="AB142" i="93"/>
  <c r="V142" i="93"/>
  <c r="S142" i="93"/>
  <c r="P142" i="93"/>
  <c r="AD142" i="93"/>
  <c r="N142" i="93"/>
  <c r="O142" i="93"/>
  <c r="Q142" i="93"/>
  <c r="U142" i="93"/>
  <c r="T142" i="93"/>
  <c r="AE142" i="93"/>
  <c r="L142" i="93"/>
  <c r="AC142" i="93"/>
  <c r="K142" i="93"/>
  <c r="R142" i="93"/>
  <c r="W142" i="93"/>
  <c r="AG142" i="93"/>
  <c r="M142" i="93"/>
  <c r="AL142" i="93"/>
  <c r="AI142" i="93"/>
  <c r="AM142" i="93"/>
  <c r="AJ142" i="93"/>
  <c r="AF142" i="93"/>
  <c r="AK142" i="93"/>
  <c r="AN142" i="93"/>
  <c r="AH142" i="93"/>
  <c r="AP142" i="93"/>
  <c r="AO142" i="93"/>
  <c r="AQ142" i="93"/>
  <c r="AR142" i="93"/>
  <c r="AS142" i="93"/>
  <c r="AT142" i="93"/>
  <c r="AU142" i="93"/>
  <c r="AV142" i="93"/>
  <c r="AW142" i="93"/>
  <c r="AX142" i="93"/>
  <c r="AY142" i="93"/>
  <c r="AZ142" i="93"/>
  <c r="BA142" i="93"/>
  <c r="BB142" i="93"/>
  <c r="BC142" i="93"/>
  <c r="BD142" i="93"/>
  <c r="BE142" i="93"/>
  <c r="BF142" i="93"/>
  <c r="BG142" i="93"/>
  <c r="BH142" i="93"/>
  <c r="BI142" i="93"/>
  <c r="BJ142" i="93"/>
  <c r="BK142" i="93"/>
  <c r="BM142" i="93"/>
  <c r="BL142" i="93"/>
  <c r="BO142" i="93"/>
  <c r="BN142" i="93"/>
  <c r="BP142" i="93"/>
  <c r="BQ142" i="93"/>
  <c r="BR142" i="93"/>
  <c r="BS142" i="93"/>
  <c r="BT142" i="93"/>
  <c r="BU142" i="93"/>
  <c r="BV142" i="93"/>
  <c r="BW142" i="93"/>
  <c r="BY142" i="93"/>
  <c r="BX142" i="93"/>
  <c r="BZ142" i="93"/>
  <c r="CA142" i="93"/>
  <c r="CB142" i="93"/>
  <c r="CC142" i="93"/>
  <c r="CD142" i="93"/>
  <c r="CE142" i="93"/>
  <c r="CF142" i="93"/>
  <c r="CG142" i="93"/>
  <c r="CH142" i="93"/>
  <c r="CI142" i="93"/>
  <c r="CK142" i="93"/>
  <c r="CJ142" i="93"/>
  <c r="CL142" i="93"/>
  <c r="CN142" i="93"/>
  <c r="CM142" i="93"/>
  <c r="CP142" i="93"/>
  <c r="CO142" i="93"/>
  <c r="CQ142" i="93"/>
  <c r="CR142" i="93"/>
  <c r="CS142" i="93"/>
  <c r="CT142" i="93"/>
  <c r="CU142" i="93"/>
  <c r="CV142" i="93"/>
  <c r="CW142" i="93"/>
  <c r="CX142" i="93"/>
  <c r="CY142" i="93"/>
  <c r="DC142" i="93"/>
  <c r="DA142" i="93"/>
  <c r="CZ142" i="93"/>
  <c r="DB142" i="93"/>
  <c r="O131" i="93"/>
  <c r="J142" i="93"/>
  <c r="AK131" i="93"/>
  <c r="AC131" i="93"/>
  <c r="X131" i="93"/>
  <c r="AF131" i="93"/>
  <c r="K131" i="93"/>
  <c r="Z131" i="93"/>
  <c r="BK131" i="93"/>
  <c r="AX131" i="93"/>
  <c r="AM131" i="93"/>
  <c r="Q131" i="93"/>
  <c r="CR131" i="93"/>
  <c r="CG131" i="93"/>
  <c r="BR131" i="93"/>
  <c r="BI131" i="93"/>
  <c r="AU131" i="93"/>
  <c r="AJ131" i="93"/>
  <c r="L131" i="93"/>
  <c r="CO131" i="93"/>
  <c r="CC131" i="93"/>
  <c r="BS131" i="93"/>
  <c r="BE131" i="93"/>
  <c r="AS131" i="93"/>
  <c r="AG131" i="93"/>
  <c r="Y131" i="93"/>
  <c r="W131" i="93"/>
  <c r="AD131" i="93"/>
  <c r="U131" i="93"/>
  <c r="AA131" i="93"/>
  <c r="DJ32" i="91"/>
  <c r="DJ33" i="91" s="1"/>
  <c r="DJ53" i="91" s="1"/>
  <c r="J61" i="93"/>
  <c r="I61" i="93" s="1"/>
  <c r="DK15" i="90"/>
  <c r="DK18" i="90" s="1"/>
  <c r="DK20" i="90" s="1"/>
  <c r="DK22" i="90" s="1"/>
  <c r="DK28" i="91" s="1"/>
  <c r="DK30" i="91"/>
  <c r="DK77" i="91" s="1"/>
  <c r="DI36" i="91"/>
  <c r="DJ35" i="91" s="1"/>
  <c r="DB47" i="91"/>
  <c r="DB48" i="91"/>
  <c r="DM144" i="90"/>
  <c r="DM146" i="90" s="1"/>
  <c r="DL146" i="90"/>
  <c r="DL171" i="90" s="1"/>
  <c r="DL13" i="90" s="1"/>
  <c r="DK32" i="91" l="1"/>
  <c r="DK33" i="91" s="1"/>
  <c r="DK53" i="91" s="1"/>
  <c r="J73" i="93"/>
  <c r="J81" i="93" s="1"/>
  <c r="DL15" i="90"/>
  <c r="DL18" i="90" s="1"/>
  <c r="DL20" i="90" s="1"/>
  <c r="DL22" i="90" s="1"/>
  <c r="DL28" i="91" s="1"/>
  <c r="DL30" i="91"/>
  <c r="DL77" i="91" s="1"/>
  <c r="DJ36" i="91"/>
  <c r="DK35" i="91" s="1"/>
  <c r="DM171" i="90"/>
  <c r="I170" i="90"/>
  <c r="DC47" i="91"/>
  <c r="DC48" i="91"/>
  <c r="I146" i="90"/>
  <c r="DL32" i="91" l="1"/>
  <c r="DL33" i="91" s="1"/>
  <c r="DL53" i="91" s="1"/>
  <c r="I73" i="93"/>
  <c r="E88" i="93"/>
  <c r="E90" i="93" s="1"/>
  <c r="E97" i="93" s="1"/>
  <c r="J109" i="93"/>
  <c r="I109" i="93" s="1"/>
  <c r="K81" i="93"/>
  <c r="L81" i="93" s="1"/>
  <c r="M81" i="93" s="1"/>
  <c r="N81" i="93" s="1"/>
  <c r="O81" i="93" s="1"/>
  <c r="P81" i="93" s="1"/>
  <c r="Q81" i="93" s="1"/>
  <c r="R81" i="93" s="1"/>
  <c r="S81" i="93" s="1"/>
  <c r="T81" i="93" s="1"/>
  <c r="U81" i="93" s="1"/>
  <c r="V81" i="93" s="1"/>
  <c r="W81" i="93" s="1"/>
  <c r="X81" i="93" s="1"/>
  <c r="Y81" i="93" s="1"/>
  <c r="Z81" i="93" s="1"/>
  <c r="AA81" i="93" s="1"/>
  <c r="AB81" i="93" s="1"/>
  <c r="AC81" i="93" s="1"/>
  <c r="AD81" i="93" s="1"/>
  <c r="AE81" i="93" s="1"/>
  <c r="AF81" i="93" s="1"/>
  <c r="AG81" i="93" s="1"/>
  <c r="AH81" i="93" s="1"/>
  <c r="AI81" i="93" s="1"/>
  <c r="AJ81" i="93" s="1"/>
  <c r="AK81" i="93" s="1"/>
  <c r="AL81" i="93" s="1"/>
  <c r="AM81" i="93" s="1"/>
  <c r="AN81" i="93" s="1"/>
  <c r="AO81" i="93" s="1"/>
  <c r="AP81" i="93" s="1"/>
  <c r="AQ81" i="93" s="1"/>
  <c r="AR81" i="93" s="1"/>
  <c r="AS81" i="93" s="1"/>
  <c r="AT81" i="93" s="1"/>
  <c r="AU81" i="93" s="1"/>
  <c r="AV81" i="93" s="1"/>
  <c r="AW81" i="93" s="1"/>
  <c r="AX81" i="93" s="1"/>
  <c r="AY81" i="93" s="1"/>
  <c r="AZ81" i="93" s="1"/>
  <c r="BA81" i="93" s="1"/>
  <c r="BB81" i="93" s="1"/>
  <c r="BC81" i="93" s="1"/>
  <c r="BD81" i="93" s="1"/>
  <c r="BE81" i="93" s="1"/>
  <c r="BF81" i="93" s="1"/>
  <c r="BG81" i="93" s="1"/>
  <c r="BH81" i="93" s="1"/>
  <c r="BI81" i="93" s="1"/>
  <c r="BJ81" i="93" s="1"/>
  <c r="BK81" i="93" s="1"/>
  <c r="BL81" i="93" s="1"/>
  <c r="BM81" i="93" s="1"/>
  <c r="BN81" i="93" s="1"/>
  <c r="BO81" i="93" s="1"/>
  <c r="BP81" i="93" s="1"/>
  <c r="BQ81" i="93" s="1"/>
  <c r="BR81" i="93" s="1"/>
  <c r="BS81" i="93" s="1"/>
  <c r="BT81" i="93" s="1"/>
  <c r="BU81" i="93" s="1"/>
  <c r="BV81" i="93" s="1"/>
  <c r="BW81" i="93" s="1"/>
  <c r="BX81" i="93" s="1"/>
  <c r="BY81" i="93" s="1"/>
  <c r="BZ81" i="93" s="1"/>
  <c r="CA81" i="93" s="1"/>
  <c r="CB81" i="93" s="1"/>
  <c r="CC81" i="93" s="1"/>
  <c r="CD81" i="93" s="1"/>
  <c r="CE81" i="93" s="1"/>
  <c r="CF81" i="93" s="1"/>
  <c r="CG81" i="93" s="1"/>
  <c r="CH81" i="93" s="1"/>
  <c r="CI81" i="93" s="1"/>
  <c r="CJ81" i="93" s="1"/>
  <c r="CK81" i="93" s="1"/>
  <c r="CL81" i="93" s="1"/>
  <c r="CM81" i="93" s="1"/>
  <c r="CN81" i="93" s="1"/>
  <c r="CO81" i="93" s="1"/>
  <c r="CP81" i="93" s="1"/>
  <c r="CQ81" i="93" s="1"/>
  <c r="CR81" i="93" s="1"/>
  <c r="CS81" i="93" s="1"/>
  <c r="CT81" i="93" s="1"/>
  <c r="CU81" i="93" s="1"/>
  <c r="CV81" i="93" s="1"/>
  <c r="CW81" i="93" s="1"/>
  <c r="CX81" i="93" s="1"/>
  <c r="CY81" i="93" s="1"/>
  <c r="CZ81" i="93" s="1"/>
  <c r="DA81" i="93" s="1"/>
  <c r="DB81" i="93" s="1"/>
  <c r="DC81" i="93" s="1"/>
  <c r="DD81" i="93" s="1"/>
  <c r="DE81" i="93" s="1"/>
  <c r="DK36" i="91"/>
  <c r="DL35" i="91" s="1"/>
  <c r="I171" i="90"/>
  <c r="DM13" i="90"/>
  <c r="DM30" i="91" s="1"/>
  <c r="DD47" i="91"/>
  <c r="DD48" i="91"/>
  <c r="E100" i="93" l="1"/>
  <c r="E102" i="93" s="1"/>
  <c r="I30" i="91"/>
  <c r="DM77" i="91"/>
  <c r="I77" i="91" s="1"/>
  <c r="I78" i="91" s="1"/>
  <c r="I80" i="91" s="1"/>
  <c r="I82" i="91" s="1"/>
  <c r="DL36" i="91"/>
  <c r="DM35" i="91" s="1"/>
  <c r="DM15" i="90"/>
  <c r="I13" i="90"/>
  <c r="DE47" i="91"/>
  <c r="DE48" i="91"/>
  <c r="I153" i="93" l="1"/>
  <c r="D41" i="80"/>
  <c r="E105" i="93"/>
  <c r="J112" i="93"/>
  <c r="DM18" i="90"/>
  <c r="I15" i="90"/>
  <c r="DF47" i="91"/>
  <c r="DF48" i="91"/>
  <c r="J154" i="93" l="1"/>
  <c r="Q155" i="93" s="1"/>
  <c r="I112" i="93"/>
  <c r="J113" i="93"/>
  <c r="I113" i="93" s="1"/>
  <c r="J135" i="93"/>
  <c r="DM20" i="90"/>
  <c r="I18" i="90"/>
  <c r="DG47" i="91"/>
  <c r="DG48" i="91"/>
  <c r="I154" i="93" l="1"/>
  <c r="J156" i="93"/>
  <c r="K156" i="93" s="1"/>
  <c r="R155" i="93"/>
  <c r="I155" i="93" s="1"/>
  <c r="J115" i="93"/>
  <c r="DM22" i="90"/>
  <c r="I20" i="90"/>
  <c r="DH47" i="91"/>
  <c r="DH48" i="91"/>
  <c r="J157" i="93" l="1"/>
  <c r="L156" i="93"/>
  <c r="I115" i="93"/>
  <c r="J117" i="93"/>
  <c r="DM28" i="91"/>
  <c r="DM32" i="91" s="1"/>
  <c r="I22" i="90"/>
  <c r="DI47" i="91"/>
  <c r="DI48" i="91"/>
  <c r="J119" i="93" l="1"/>
  <c r="J120" i="93" s="1"/>
  <c r="M156" i="93"/>
  <c r="DM33" i="91"/>
  <c r="I32" i="91"/>
  <c r="J132" i="93"/>
  <c r="J133" i="93" s="1"/>
  <c r="I28" i="91"/>
  <c r="H12" i="80" s="1"/>
  <c r="DJ47" i="91"/>
  <c r="DJ48" i="91"/>
  <c r="DM53" i="91" l="1"/>
  <c r="J44" i="91"/>
  <c r="J123" i="93"/>
  <c r="J143" i="93" s="1"/>
  <c r="J136" i="93"/>
  <c r="J138" i="93" s="1"/>
  <c r="N156" i="93"/>
  <c r="DM42" i="91"/>
  <c r="DM41" i="91"/>
  <c r="DM40" i="91"/>
  <c r="DM36" i="91"/>
  <c r="AQ41" i="91"/>
  <c r="AC40" i="91"/>
  <c r="AA40" i="91"/>
  <c r="U42" i="91"/>
  <c r="AG40" i="91"/>
  <c r="Q40" i="91"/>
  <c r="AD41" i="91"/>
  <c r="AV41" i="91"/>
  <c r="M40" i="91"/>
  <c r="S41" i="91"/>
  <c r="AF42" i="91"/>
  <c r="P40" i="91"/>
  <c r="Z41" i="91"/>
  <c r="M41" i="91"/>
  <c r="J41" i="91"/>
  <c r="AQ42" i="91"/>
  <c r="W40" i="91"/>
  <c r="AD42" i="91"/>
  <c r="AB40" i="91"/>
  <c r="AJ40" i="91"/>
  <c r="R41" i="91"/>
  <c r="AF40" i="91"/>
  <c r="O41" i="91"/>
  <c r="AQ40" i="91"/>
  <c r="AK42" i="91"/>
  <c r="AK41" i="91"/>
  <c r="T40" i="91"/>
  <c r="Z40" i="91"/>
  <c r="AD40" i="91"/>
  <c r="AH41" i="91"/>
  <c r="X40" i="91"/>
  <c r="R40" i="91"/>
  <c r="AA42" i="91"/>
  <c r="I33" i="91"/>
  <c r="J40" i="91"/>
  <c r="Z42" i="91"/>
  <c r="AI41" i="91"/>
  <c r="AE42" i="91"/>
  <c r="AK40" i="91"/>
  <c r="U41" i="91"/>
  <c r="V41" i="91"/>
  <c r="AR42" i="91"/>
  <c r="Y42" i="91"/>
  <c r="AL42" i="91"/>
  <c r="AO42" i="91"/>
  <c r="AE41" i="91"/>
  <c r="N41" i="91"/>
  <c r="AI42" i="91"/>
  <c r="K42" i="91"/>
  <c r="S42" i="91"/>
  <c r="L40" i="91"/>
  <c r="O42" i="91"/>
  <c r="Q41" i="91"/>
  <c r="P41" i="91"/>
  <c r="K40" i="91"/>
  <c r="AC41" i="91"/>
  <c r="AE40" i="91"/>
  <c r="AG41" i="91"/>
  <c r="AR40" i="91"/>
  <c r="U40" i="91"/>
  <c r="T41" i="91"/>
  <c r="Y41" i="91"/>
  <c r="AJ42" i="91"/>
  <c r="AF41" i="91"/>
  <c r="L42" i="91"/>
  <c r="T42" i="91"/>
  <c r="N42" i="91"/>
  <c r="V42" i="91"/>
  <c r="X42" i="91"/>
  <c r="AL41" i="91"/>
  <c r="R42" i="91"/>
  <c r="X41" i="91"/>
  <c r="AA41" i="91"/>
  <c r="AP40" i="91"/>
  <c r="S40" i="91"/>
  <c r="AR41" i="91"/>
  <c r="W42" i="91"/>
  <c r="Q42" i="91"/>
  <c r="J42" i="91"/>
  <c r="P42" i="91"/>
  <c r="N40" i="91"/>
  <c r="AH40" i="91"/>
  <c r="AN40" i="91"/>
  <c r="AV40" i="91"/>
  <c r="O40" i="91"/>
  <c r="AH42" i="91"/>
  <c r="L41" i="91"/>
  <c r="AO41" i="91"/>
  <c r="AM40" i="91"/>
  <c r="AN42" i="91"/>
  <c r="AB42" i="91"/>
  <c r="AO40" i="91"/>
  <c r="K41" i="91"/>
  <c r="AT40" i="91"/>
  <c r="AM42" i="91"/>
  <c r="AS41" i="91"/>
  <c r="W41" i="91"/>
  <c r="AM41" i="91"/>
  <c r="AV42" i="91"/>
  <c r="AS42" i="91"/>
  <c r="AS40" i="91"/>
  <c r="AI40" i="91"/>
  <c r="AJ41" i="91"/>
  <c r="AN41" i="91"/>
  <c r="M42" i="91"/>
  <c r="AG42" i="91"/>
  <c r="AT42" i="91"/>
  <c r="AL40" i="91"/>
  <c r="AC42" i="91"/>
  <c r="AP41" i="91"/>
  <c r="Y40" i="91"/>
  <c r="AB41" i="91"/>
  <c r="V40" i="91"/>
  <c r="AW40" i="91"/>
  <c r="AT41" i="91"/>
  <c r="AX40" i="91"/>
  <c r="AW42" i="91"/>
  <c r="AP42" i="91"/>
  <c r="AU41" i="91"/>
  <c r="AW41" i="91"/>
  <c r="AX41" i="91"/>
  <c r="AU40" i="91"/>
  <c r="AY40" i="91"/>
  <c r="AU42" i="91"/>
  <c r="AX42" i="91"/>
  <c r="AZ40" i="91"/>
  <c r="BA42" i="91"/>
  <c r="AZ41" i="91"/>
  <c r="AY41" i="91"/>
  <c r="AY42" i="91"/>
  <c r="AZ42" i="91"/>
  <c r="BA40" i="91"/>
  <c r="BB42" i="91"/>
  <c r="BB40" i="91"/>
  <c r="BA41" i="91"/>
  <c r="BC41" i="91"/>
  <c r="BD40" i="91"/>
  <c r="BD41" i="91"/>
  <c r="BB41" i="91"/>
  <c r="BE42" i="91"/>
  <c r="BD42" i="91"/>
  <c r="BC40" i="91"/>
  <c r="BC42" i="91"/>
  <c r="BE41" i="91"/>
  <c r="BF40" i="91"/>
  <c r="BF42" i="91"/>
  <c r="BE40" i="91"/>
  <c r="BF41" i="91"/>
  <c r="BG41" i="91"/>
  <c r="BG40" i="91"/>
  <c r="BG42" i="91"/>
  <c r="BH42" i="91"/>
  <c r="BH40" i="91"/>
  <c r="BH41" i="91"/>
  <c r="BJ41" i="91"/>
  <c r="BI40" i="91"/>
  <c r="BI41" i="91"/>
  <c r="BI42" i="91"/>
  <c r="BJ40" i="91"/>
  <c r="BJ42" i="91"/>
  <c r="BK42" i="91"/>
  <c r="BK40" i="91"/>
  <c r="BK41" i="91"/>
  <c r="BM40" i="91"/>
  <c r="BL41" i="91"/>
  <c r="BN42" i="91"/>
  <c r="BM42" i="91"/>
  <c r="BL42" i="91"/>
  <c r="BM41" i="91"/>
  <c r="BP40" i="91"/>
  <c r="BL40" i="91"/>
  <c r="BN41" i="91"/>
  <c r="BN40" i="91"/>
  <c r="BP41" i="91"/>
  <c r="BP42" i="91"/>
  <c r="BR42" i="91"/>
  <c r="BO42" i="91"/>
  <c r="BO40" i="91"/>
  <c r="BO41" i="91"/>
  <c r="BR40" i="91"/>
  <c r="BQ42" i="91"/>
  <c r="BS40" i="91"/>
  <c r="BR41" i="91"/>
  <c r="BQ40" i="91"/>
  <c r="BS42" i="91"/>
  <c r="BS41" i="91"/>
  <c r="BQ41" i="91"/>
  <c r="BT42" i="91"/>
  <c r="BT41" i="91"/>
  <c r="BU40" i="91"/>
  <c r="BU42" i="91"/>
  <c r="BU41" i="91"/>
  <c r="BT40" i="91"/>
  <c r="BV42" i="91"/>
  <c r="BV41" i="91"/>
  <c r="BV40" i="91"/>
  <c r="BW40" i="91"/>
  <c r="BW41" i="91"/>
  <c r="BW42" i="91"/>
  <c r="BX40" i="91"/>
  <c r="BX42" i="91"/>
  <c r="BX41" i="91"/>
  <c r="BY40" i="91"/>
  <c r="BZ40" i="91"/>
  <c r="BY42" i="91"/>
  <c r="BY41" i="91"/>
  <c r="BZ42" i="91"/>
  <c r="BZ41" i="91"/>
  <c r="CA41" i="91"/>
  <c r="CA40" i="91"/>
  <c r="CA42" i="91"/>
  <c r="CC40" i="91"/>
  <c r="CB41" i="91"/>
  <c r="CC41" i="91"/>
  <c r="CB40" i="91"/>
  <c r="CC42" i="91"/>
  <c r="CD40" i="91"/>
  <c r="CB42" i="91"/>
  <c r="CD41" i="91"/>
  <c r="CD42" i="91"/>
  <c r="CE42" i="91"/>
  <c r="CE40" i="91"/>
  <c r="CE41" i="91"/>
  <c r="CG40" i="91"/>
  <c r="CG42" i="91"/>
  <c r="CH40" i="91"/>
  <c r="CF40" i="91"/>
  <c r="CF41" i="91"/>
  <c r="CH42" i="91"/>
  <c r="CG41" i="91"/>
  <c r="CF42" i="91"/>
  <c r="CH41" i="91"/>
  <c r="CI42" i="91"/>
  <c r="CI41" i="91"/>
  <c r="CI40" i="91"/>
  <c r="CK42" i="91"/>
  <c r="CK41" i="91"/>
  <c r="CJ40" i="91"/>
  <c r="CM40" i="91"/>
  <c r="CJ41" i="91"/>
  <c r="CJ42" i="91"/>
  <c r="CL42" i="91"/>
  <c r="CK40" i="91"/>
  <c r="CL40" i="91"/>
  <c r="CL41" i="91"/>
  <c r="CN40" i="91"/>
  <c r="CM41" i="91"/>
  <c r="CM42" i="91"/>
  <c r="CP41" i="91"/>
  <c r="CN42" i="91"/>
  <c r="CQ42" i="91"/>
  <c r="CO42" i="91"/>
  <c r="CN41" i="91"/>
  <c r="CP42" i="91"/>
  <c r="CP40" i="91"/>
  <c r="CO41" i="91"/>
  <c r="CO40" i="91"/>
  <c r="CQ40" i="91"/>
  <c r="CS40" i="91"/>
  <c r="CR40" i="91"/>
  <c r="CR41" i="91"/>
  <c r="CQ41" i="91"/>
  <c r="CR42" i="91"/>
  <c r="CT41" i="91"/>
  <c r="CS42" i="91"/>
  <c r="CS41" i="91"/>
  <c r="CT40" i="91"/>
  <c r="CU40" i="91"/>
  <c r="CV41" i="91"/>
  <c r="CT42" i="91"/>
  <c r="CU41" i="91"/>
  <c r="CV42" i="91"/>
  <c r="CX40" i="91"/>
  <c r="CU42" i="91"/>
  <c r="CV40" i="91"/>
  <c r="CW41" i="91"/>
  <c r="CW40" i="91"/>
  <c r="CX42" i="91"/>
  <c r="CW42" i="91"/>
  <c r="CX41" i="91"/>
  <c r="CY42" i="91"/>
  <c r="CZ40" i="91"/>
  <c r="CZ41" i="91"/>
  <c r="DA41" i="91"/>
  <c r="DB40" i="91"/>
  <c r="CY41" i="91"/>
  <c r="CY40" i="91"/>
  <c r="CZ42" i="91"/>
  <c r="DA40" i="91"/>
  <c r="DB42" i="91"/>
  <c r="DA42" i="91"/>
  <c r="DC41" i="91"/>
  <c r="DC40" i="91"/>
  <c r="DC42" i="91"/>
  <c r="DD41" i="91"/>
  <c r="DD40" i="91"/>
  <c r="DD42" i="91"/>
  <c r="DE41" i="91"/>
  <c r="DB41" i="91"/>
  <c r="DF41" i="91"/>
  <c r="DF40" i="91"/>
  <c r="DE40" i="91"/>
  <c r="DF42" i="91"/>
  <c r="DE42" i="91"/>
  <c r="DK41" i="91"/>
  <c r="DH41" i="91"/>
  <c r="DJ40" i="91"/>
  <c r="DG40" i="91"/>
  <c r="DJ41" i="91"/>
  <c r="DG42" i="91"/>
  <c r="DJ42" i="91"/>
  <c r="DI42" i="91"/>
  <c r="DG41" i="91"/>
  <c r="DI40" i="91"/>
  <c r="DI41" i="91"/>
  <c r="DL41" i="91"/>
  <c r="DL40" i="91"/>
  <c r="DL42" i="91"/>
  <c r="DH42" i="91"/>
  <c r="DH40" i="91"/>
  <c r="DK40" i="91"/>
  <c r="DK42" i="91"/>
  <c r="DK47" i="91"/>
  <c r="DK48" i="91"/>
  <c r="H25" i="80" l="1"/>
  <c r="H27" i="80"/>
  <c r="H26" i="80"/>
  <c r="H24" i="80"/>
  <c r="K117" i="93"/>
  <c r="J121" i="93"/>
  <c r="J146" i="93" s="1"/>
  <c r="O156" i="93"/>
  <c r="H13" i="80"/>
  <c r="H23" i="80"/>
  <c r="DM56" i="91"/>
  <c r="DM55" i="91"/>
  <c r="DM57" i="91"/>
  <c r="AS57" i="91"/>
  <c r="AF56" i="91"/>
  <c r="O56" i="91"/>
  <c r="AQ56" i="91"/>
  <c r="S56" i="91"/>
  <c r="AK55" i="91"/>
  <c r="AR56" i="91"/>
  <c r="AQ55" i="91"/>
  <c r="AQ57" i="91"/>
  <c r="AJ57" i="91"/>
  <c r="L55" i="91"/>
  <c r="AJ56" i="91"/>
  <c r="T56" i="91"/>
  <c r="AF57" i="91"/>
  <c r="J59" i="91"/>
  <c r="H20" i="80" s="1"/>
  <c r="AA57" i="91"/>
  <c r="AD56" i="91"/>
  <c r="AH57" i="91"/>
  <c r="AR55" i="91"/>
  <c r="K56" i="91"/>
  <c r="W57" i="91"/>
  <c r="AA55" i="91"/>
  <c r="AA56" i="91"/>
  <c r="AE56" i="91"/>
  <c r="O57" i="91"/>
  <c r="W55" i="91"/>
  <c r="AI55" i="91"/>
  <c r="AE55" i="91"/>
  <c r="O55" i="91"/>
  <c r="Z55" i="91"/>
  <c r="AG56" i="91"/>
  <c r="X57" i="91"/>
  <c r="U57" i="91"/>
  <c r="U55" i="91"/>
  <c r="X56" i="91"/>
  <c r="AK56" i="91"/>
  <c r="Z57" i="91"/>
  <c r="AB55" i="91"/>
  <c r="R56" i="91"/>
  <c r="J56" i="91"/>
  <c r="H18" i="80" s="1"/>
  <c r="S57" i="91"/>
  <c r="I53" i="91"/>
  <c r="H16" i="80" s="1"/>
  <c r="AC55" i="91"/>
  <c r="V55" i="91"/>
  <c r="Y56" i="91"/>
  <c r="Z56" i="91"/>
  <c r="AB57" i="91"/>
  <c r="AF55" i="91"/>
  <c r="AK57" i="91"/>
  <c r="L57" i="91"/>
  <c r="R55" i="91"/>
  <c r="M56" i="91"/>
  <c r="AG55" i="91"/>
  <c r="AL57" i="91"/>
  <c r="AR57" i="91"/>
  <c r="AI57" i="91"/>
  <c r="Y57" i="91"/>
  <c r="AP56" i="91"/>
  <c r="N55" i="91"/>
  <c r="AB56" i="91"/>
  <c r="Q55" i="91"/>
  <c r="AD55" i="91"/>
  <c r="T57" i="91"/>
  <c r="AE57" i="91"/>
  <c r="Q57" i="91"/>
  <c r="X55" i="91"/>
  <c r="AI56" i="91"/>
  <c r="S55" i="91"/>
  <c r="AL56" i="91"/>
  <c r="AS55" i="91"/>
  <c r="P56" i="91"/>
  <c r="U56" i="91"/>
  <c r="L56" i="91"/>
  <c r="AC56" i="91"/>
  <c r="N56" i="91"/>
  <c r="K55" i="91"/>
  <c r="AM57" i="91"/>
  <c r="P55" i="91"/>
  <c r="R57" i="91"/>
  <c r="T55" i="91"/>
  <c r="AL55" i="91"/>
  <c r="K57" i="91"/>
  <c r="V56" i="91"/>
  <c r="AH55" i="91"/>
  <c r="Y55" i="91"/>
  <c r="J55" i="91"/>
  <c r="H17" i="80" s="1"/>
  <c r="AC57" i="91"/>
  <c r="W56" i="91"/>
  <c r="AP55" i="91"/>
  <c r="AN56" i="91"/>
  <c r="AS56" i="91"/>
  <c r="J57" i="91"/>
  <c r="H19" i="80" s="1"/>
  <c r="V57" i="91"/>
  <c r="AT56" i="91"/>
  <c r="AJ55" i="91"/>
  <c r="AH56" i="91"/>
  <c r="N57" i="91"/>
  <c r="P57" i="91"/>
  <c r="AP57" i="91"/>
  <c r="M57" i="91"/>
  <c r="AD57" i="91"/>
  <c r="M55" i="91"/>
  <c r="Q56" i="91"/>
  <c r="AG57" i="91"/>
  <c r="AM55" i="91"/>
  <c r="AV56" i="91"/>
  <c r="AM56" i="91"/>
  <c r="AN55" i="91"/>
  <c r="AX55" i="91"/>
  <c r="AN57" i="91"/>
  <c r="AV55" i="91"/>
  <c r="AO56" i="91"/>
  <c r="AO55" i="91"/>
  <c r="AV57" i="91"/>
  <c r="AW56" i="91"/>
  <c r="AO57" i="91"/>
  <c r="AT57" i="91"/>
  <c r="AU57" i="91"/>
  <c r="AT55" i="91"/>
  <c r="AU56" i="91"/>
  <c r="AX57" i="91"/>
  <c r="AW57" i="91"/>
  <c r="AW55" i="91"/>
  <c r="AX56" i="91"/>
  <c r="AU55" i="91"/>
  <c r="AY56" i="91"/>
  <c r="AY57" i="91"/>
  <c r="AY55" i="91"/>
  <c r="AZ55" i="91"/>
  <c r="AZ56" i="91"/>
  <c r="BA56" i="91"/>
  <c r="AZ57" i="91"/>
  <c r="BA55" i="91"/>
  <c r="BA57" i="91"/>
  <c r="BC55" i="91"/>
  <c r="BB57" i="91"/>
  <c r="BB55" i="91"/>
  <c r="BB56" i="91"/>
  <c r="BC56" i="91"/>
  <c r="BD57" i="91"/>
  <c r="BD55" i="91"/>
  <c r="BE56" i="91"/>
  <c r="BD56" i="91"/>
  <c r="BC57" i="91"/>
  <c r="BE57" i="91"/>
  <c r="BE55" i="91"/>
  <c r="BF56" i="91"/>
  <c r="BF55" i="91"/>
  <c r="BF57" i="91"/>
  <c r="BH56" i="91"/>
  <c r="BG55" i="91"/>
  <c r="BG57" i="91"/>
  <c r="BG56" i="91"/>
  <c r="BI55" i="91"/>
  <c r="BH55" i="91"/>
  <c r="BH57" i="91"/>
  <c r="BI56" i="91"/>
  <c r="BJ55" i="91"/>
  <c r="BI57" i="91"/>
  <c r="BK55" i="91"/>
  <c r="BJ57" i="91"/>
  <c r="BM55" i="91"/>
  <c r="BL57" i="91"/>
  <c r="BJ56" i="91"/>
  <c r="BK57" i="91"/>
  <c r="BP57" i="91"/>
  <c r="BL55" i="91"/>
  <c r="BN57" i="91"/>
  <c r="BM56" i="91"/>
  <c r="BL56" i="91"/>
  <c r="BK56" i="91"/>
  <c r="BM57" i="91"/>
  <c r="BN55" i="91"/>
  <c r="BP55" i="91"/>
  <c r="BN56" i="91"/>
  <c r="BQ57" i="91"/>
  <c r="BO56" i="91"/>
  <c r="BQ55" i="91"/>
  <c r="BO57" i="91"/>
  <c r="BO55" i="91"/>
  <c r="BP56" i="91"/>
  <c r="BQ56" i="91"/>
  <c r="BR55" i="91"/>
  <c r="BR57" i="91"/>
  <c r="BR56" i="91"/>
  <c r="BS56" i="91"/>
  <c r="BS57" i="91"/>
  <c r="BS55" i="91"/>
  <c r="BW56" i="91"/>
  <c r="BT55" i="91"/>
  <c r="BT56" i="91"/>
  <c r="BT57" i="91"/>
  <c r="BU55" i="91"/>
  <c r="BW57" i="91"/>
  <c r="BV56" i="91"/>
  <c r="BU56" i="91"/>
  <c r="BV55" i="91"/>
  <c r="BU57" i="91"/>
  <c r="BV57" i="91"/>
  <c r="BW55" i="91"/>
  <c r="BX55" i="91"/>
  <c r="BX56" i="91"/>
  <c r="BX57" i="91"/>
  <c r="BY55" i="91"/>
  <c r="BY56" i="91"/>
  <c r="BZ55" i="91"/>
  <c r="BY57" i="91"/>
  <c r="BZ56" i="91"/>
  <c r="BZ57" i="91"/>
  <c r="CA56" i="91"/>
  <c r="CA55" i="91"/>
  <c r="CA57" i="91"/>
  <c r="CB56" i="91"/>
  <c r="CB57" i="91"/>
  <c r="CC55" i="91"/>
  <c r="CB55" i="91"/>
  <c r="CD56" i="91"/>
  <c r="CC57" i="91"/>
  <c r="CC56" i="91"/>
  <c r="CF57" i="91"/>
  <c r="CE55" i="91"/>
  <c r="CD55" i="91"/>
  <c r="CE56" i="91"/>
  <c r="CD57" i="91"/>
  <c r="CE57" i="91"/>
  <c r="CF55" i="91"/>
  <c r="CI57" i="91"/>
  <c r="CF56" i="91"/>
  <c r="CG55" i="91"/>
  <c r="CG56" i="91"/>
  <c r="CG57" i="91"/>
  <c r="CH57" i="91"/>
  <c r="CH55" i="91"/>
  <c r="CI56" i="91"/>
  <c r="CK56" i="91"/>
  <c r="CI55" i="91"/>
  <c r="CH56" i="91"/>
  <c r="CK55" i="91"/>
  <c r="CJ56" i="91"/>
  <c r="CJ55" i="91"/>
  <c r="CK57" i="91"/>
  <c r="CL57" i="91"/>
  <c r="CJ57" i="91"/>
  <c r="CL56" i="91"/>
  <c r="CN55" i="91"/>
  <c r="CM56" i="91"/>
  <c r="CL55" i="91"/>
  <c r="CM57" i="91"/>
  <c r="CM55" i="91"/>
  <c r="CO56" i="91"/>
  <c r="CN56" i="91"/>
  <c r="CN57" i="91"/>
  <c r="CO55" i="91"/>
  <c r="CO57" i="91"/>
  <c r="CP57" i="91"/>
  <c r="CP55" i="91"/>
  <c r="CQ57" i="91"/>
  <c r="CQ56" i="91"/>
  <c r="CP56" i="91"/>
  <c r="CQ55" i="91"/>
  <c r="CR56" i="91"/>
  <c r="CR57" i="91"/>
  <c r="CR55" i="91"/>
  <c r="CS57" i="91"/>
  <c r="CT55" i="91"/>
  <c r="CT56" i="91"/>
  <c r="CS56" i="91"/>
  <c r="CS55" i="91"/>
  <c r="CT57" i="91"/>
  <c r="CU56" i="91"/>
  <c r="CU55" i="91"/>
  <c r="CU57" i="91"/>
  <c r="CW56" i="91"/>
  <c r="CV55" i="91"/>
  <c r="CV57" i="91"/>
  <c r="CZ56" i="91"/>
  <c r="CX56" i="91"/>
  <c r="CV56" i="91"/>
  <c r="CX55" i="91"/>
  <c r="CW55" i="91"/>
  <c r="CW57" i="91"/>
  <c r="CY55" i="91"/>
  <c r="CX57" i="91"/>
  <c r="CY57" i="91"/>
  <c r="DA56" i="91"/>
  <c r="CY56" i="91"/>
  <c r="CZ55" i="91"/>
  <c r="CZ57" i="91"/>
  <c r="DD57" i="91"/>
  <c r="DB57" i="91"/>
  <c r="DA57" i="91"/>
  <c r="DA55" i="91"/>
  <c r="DC55" i="91"/>
  <c r="DB55" i="91"/>
  <c r="DC56" i="91"/>
  <c r="DB56" i="91"/>
  <c r="DE57" i="91"/>
  <c r="DI55" i="91"/>
  <c r="DI56" i="91"/>
  <c r="DI57" i="91"/>
  <c r="DC57" i="91"/>
  <c r="DG56" i="91"/>
  <c r="DK56" i="91"/>
  <c r="DK57" i="91"/>
  <c r="DK55" i="91"/>
  <c r="DD55" i="91"/>
  <c r="DF56" i="91"/>
  <c r="DJ55" i="91"/>
  <c r="DL57" i="91"/>
  <c r="DH55" i="91"/>
  <c r="DL56" i="91"/>
  <c r="DJ57" i="91"/>
  <c r="DL55" i="91"/>
  <c r="DF57" i="91"/>
  <c r="DE56" i="91"/>
  <c r="DJ56" i="91"/>
  <c r="DH57" i="91"/>
  <c r="DF55" i="91"/>
  <c r="DG57" i="91"/>
  <c r="DG55" i="91"/>
  <c r="DH56" i="91"/>
  <c r="DD56" i="91"/>
  <c r="DE55" i="91"/>
  <c r="DL47" i="91"/>
  <c r="DL48" i="91"/>
  <c r="K119" i="93" l="1"/>
  <c r="K132" i="93"/>
  <c r="K133" i="93" s="1"/>
  <c r="K135" i="93"/>
  <c r="P156" i="93"/>
  <c r="DM47" i="91"/>
  <c r="DM48" i="91"/>
  <c r="J50" i="91" s="1"/>
  <c r="H28" i="80" s="1"/>
  <c r="K120" i="93" l="1"/>
  <c r="L117" i="93" s="1"/>
  <c r="L119" i="93" s="1"/>
  <c r="K157" i="93"/>
  <c r="K136" i="93"/>
  <c r="K138" i="93" s="1"/>
  <c r="Q156" i="93"/>
  <c r="I37" i="83"/>
  <c r="I36" i="83"/>
  <c r="D15" i="80" s="1"/>
  <c r="K123" i="93" l="1"/>
  <c r="L120" i="93"/>
  <c r="M117" i="93" s="1"/>
  <c r="M119" i="93" s="1"/>
  <c r="M120" i="93" s="1"/>
  <c r="L132" i="93"/>
  <c r="L133" i="93" s="1"/>
  <c r="K121" i="93"/>
  <c r="K146" i="93" s="1"/>
  <c r="CW44" i="92"/>
  <c r="CW53" i="92" s="1"/>
  <c r="CK44" i="92"/>
  <c r="CK53" i="92" s="1"/>
  <c r="BY44" i="92"/>
  <c r="BY53" i="92" s="1"/>
  <c r="BM44" i="92"/>
  <c r="BM53" i="92" s="1"/>
  <c r="BA44" i="92"/>
  <c r="BA53" i="92" s="1"/>
  <c r="AO44" i="92"/>
  <c r="AO53" i="92" s="1"/>
  <c r="AC44" i="92"/>
  <c r="AC53" i="92" s="1"/>
  <c r="Q44" i="92"/>
  <c r="Q53" i="92" s="1"/>
  <c r="J44" i="92"/>
  <c r="J53" i="92" s="1"/>
  <c r="CV44" i="92"/>
  <c r="CV53" i="92" s="1"/>
  <c r="CJ44" i="92"/>
  <c r="CJ53" i="92" s="1"/>
  <c r="BX44" i="92"/>
  <c r="BX53" i="92" s="1"/>
  <c r="BL44" i="92"/>
  <c r="BL53" i="92" s="1"/>
  <c r="AZ44" i="92"/>
  <c r="AZ53" i="92" s="1"/>
  <c r="AN44" i="92"/>
  <c r="AN53" i="92" s="1"/>
  <c r="AB44" i="92"/>
  <c r="AB53" i="92" s="1"/>
  <c r="P44" i="92"/>
  <c r="P53" i="92" s="1"/>
  <c r="K44" i="92"/>
  <c r="K53" i="92" s="1"/>
  <c r="CU44" i="92"/>
  <c r="CU53" i="92" s="1"/>
  <c r="CI44" i="92"/>
  <c r="CI53" i="92" s="1"/>
  <c r="BW44" i="92"/>
  <c r="BW53" i="92" s="1"/>
  <c r="BK44" i="92"/>
  <c r="BK53" i="92" s="1"/>
  <c r="AY44" i="92"/>
  <c r="AY53" i="92" s="1"/>
  <c r="AM44" i="92"/>
  <c r="AM53" i="92" s="1"/>
  <c r="AA44" i="92"/>
  <c r="AA53" i="92" s="1"/>
  <c r="O44" i="92"/>
  <c r="O53" i="92" s="1"/>
  <c r="L44" i="92"/>
  <c r="L53" i="92" s="1"/>
  <c r="CT44" i="92"/>
  <c r="CT53" i="92" s="1"/>
  <c r="CH44" i="92"/>
  <c r="CH53" i="92" s="1"/>
  <c r="BV44" i="92"/>
  <c r="BV53" i="92" s="1"/>
  <c r="BJ44" i="92"/>
  <c r="BJ53" i="92" s="1"/>
  <c r="AX44" i="92"/>
  <c r="AX53" i="92" s="1"/>
  <c r="AL44" i="92"/>
  <c r="AL53" i="92" s="1"/>
  <c r="Z44" i="92"/>
  <c r="Z53" i="92" s="1"/>
  <c r="N44" i="92"/>
  <c r="N53" i="92" s="1"/>
  <c r="DE44" i="92"/>
  <c r="DE53" i="92" s="1"/>
  <c r="CS44" i="92"/>
  <c r="CS53" i="92" s="1"/>
  <c r="CG44" i="92"/>
  <c r="CG53" i="92" s="1"/>
  <c r="BU44" i="92"/>
  <c r="BU53" i="92" s="1"/>
  <c r="BI44" i="92"/>
  <c r="BI53" i="92" s="1"/>
  <c r="AW44" i="92"/>
  <c r="AW53" i="92" s="1"/>
  <c r="AK44" i="92"/>
  <c r="AK53" i="92" s="1"/>
  <c r="Y44" i="92"/>
  <c r="Y53" i="92" s="1"/>
  <c r="M44" i="92"/>
  <c r="M53" i="92" s="1"/>
  <c r="DD44" i="92"/>
  <c r="DD53" i="92" s="1"/>
  <c r="CR44" i="92"/>
  <c r="CR53" i="92" s="1"/>
  <c r="CF44" i="92"/>
  <c r="CF53" i="92" s="1"/>
  <c r="BT44" i="92"/>
  <c r="BT53" i="92" s="1"/>
  <c r="BH44" i="92"/>
  <c r="BH53" i="92" s="1"/>
  <c r="AV44" i="92"/>
  <c r="AV53" i="92" s="1"/>
  <c r="AJ44" i="92"/>
  <c r="AJ53" i="92" s="1"/>
  <c r="X44" i="92"/>
  <c r="X53" i="92" s="1"/>
  <c r="AI44" i="92"/>
  <c r="AI53" i="92" s="1"/>
  <c r="CP44" i="92"/>
  <c r="CP53" i="92" s="1"/>
  <c r="CD44" i="92"/>
  <c r="CD53" i="92" s="1"/>
  <c r="BR44" i="92"/>
  <c r="BR53" i="92" s="1"/>
  <c r="BF44" i="92"/>
  <c r="BF53" i="92" s="1"/>
  <c r="AT44" i="92"/>
  <c r="AT53" i="92" s="1"/>
  <c r="AH44" i="92"/>
  <c r="AH53" i="92" s="1"/>
  <c r="DA44" i="92"/>
  <c r="DA53" i="92" s="1"/>
  <c r="CO44" i="92"/>
  <c r="CO53" i="92" s="1"/>
  <c r="CC44" i="92"/>
  <c r="CC53" i="92" s="1"/>
  <c r="BQ44" i="92"/>
  <c r="BQ53" i="92" s="1"/>
  <c r="BE44" i="92"/>
  <c r="BE53" i="92" s="1"/>
  <c r="AS44" i="92"/>
  <c r="AS53" i="92" s="1"/>
  <c r="AG44" i="92"/>
  <c r="AG53" i="92" s="1"/>
  <c r="CZ44" i="92"/>
  <c r="CZ53" i="92" s="1"/>
  <c r="CN44" i="92"/>
  <c r="CN53" i="92" s="1"/>
  <c r="CB44" i="92"/>
  <c r="CB53" i="92" s="1"/>
  <c r="BP44" i="92"/>
  <c r="BP53" i="92" s="1"/>
  <c r="BD44" i="92"/>
  <c r="BD53" i="92" s="1"/>
  <c r="AR44" i="92"/>
  <c r="AR53" i="92" s="1"/>
  <c r="AF44" i="92"/>
  <c r="AF53" i="92" s="1"/>
  <c r="T44" i="92"/>
  <c r="T53" i="92" s="1"/>
  <c r="CY44" i="92"/>
  <c r="CY53" i="92" s="1"/>
  <c r="CM44" i="92"/>
  <c r="CM53" i="92" s="1"/>
  <c r="CA44" i="92"/>
  <c r="CA53" i="92" s="1"/>
  <c r="BO44" i="92"/>
  <c r="BO53" i="92" s="1"/>
  <c r="BC44" i="92"/>
  <c r="BC53" i="92" s="1"/>
  <c r="AQ44" i="92"/>
  <c r="AQ53" i="92" s="1"/>
  <c r="AE44" i="92"/>
  <c r="AE53" i="92" s="1"/>
  <c r="S44" i="92"/>
  <c r="S53" i="92" s="1"/>
  <c r="CX44" i="92"/>
  <c r="CX53" i="92" s="1"/>
  <c r="CL44" i="92"/>
  <c r="CL53" i="92" s="1"/>
  <c r="BZ44" i="92"/>
  <c r="BZ53" i="92" s="1"/>
  <c r="BN44" i="92"/>
  <c r="BN53" i="92" s="1"/>
  <c r="BB44" i="92"/>
  <c r="BB53" i="92" s="1"/>
  <c r="AP44" i="92"/>
  <c r="AP53" i="92" s="1"/>
  <c r="AD44" i="92"/>
  <c r="AD53" i="92" s="1"/>
  <c r="R44" i="92"/>
  <c r="R53" i="92" s="1"/>
  <c r="DC44" i="92"/>
  <c r="DC53" i="92" s="1"/>
  <c r="CQ44" i="92"/>
  <c r="CQ53" i="92" s="1"/>
  <c r="CE44" i="92"/>
  <c r="CE53" i="92" s="1"/>
  <c r="BS44" i="92"/>
  <c r="BS53" i="92" s="1"/>
  <c r="BG44" i="92"/>
  <c r="BG53" i="92" s="1"/>
  <c r="AU44" i="92"/>
  <c r="AU53" i="92" s="1"/>
  <c r="W44" i="92"/>
  <c r="W53" i="92" s="1"/>
  <c r="U44" i="92"/>
  <c r="U53" i="92" s="1"/>
  <c r="DB44" i="92"/>
  <c r="DB53" i="92" s="1"/>
  <c r="V44" i="92"/>
  <c r="V53" i="92" s="1"/>
  <c r="R156" i="93"/>
  <c r="I39" i="83"/>
  <c r="D18" i="80" s="1"/>
  <c r="D14" i="80"/>
  <c r="D16" i="80" s="1"/>
  <c r="K143" i="93" l="1"/>
  <c r="L123" i="93"/>
  <c r="M123" i="93" s="1"/>
  <c r="M132" i="93"/>
  <c r="M133" i="93" s="1"/>
  <c r="N117" i="93"/>
  <c r="L135" i="93"/>
  <c r="S156" i="93"/>
  <c r="D46" i="80"/>
  <c r="L143" i="93" l="1"/>
  <c r="M143" i="93"/>
  <c r="N119" i="93"/>
  <c r="N120" i="93" s="1"/>
  <c r="N132" i="93"/>
  <c r="N133" i="93" s="1"/>
  <c r="L157" i="93"/>
  <c r="L136" i="93"/>
  <c r="L138" i="93" s="1"/>
  <c r="T156" i="93"/>
  <c r="H11" i="80"/>
  <c r="N123" i="93" l="1"/>
  <c r="N143" i="93" s="1"/>
  <c r="O117" i="93"/>
  <c r="L121" i="93"/>
  <c r="L146" i="93" s="1"/>
  <c r="U156" i="93"/>
  <c r="O132" i="93" l="1"/>
  <c r="O133" i="93" s="1"/>
  <c r="O119" i="93"/>
  <c r="M135" i="93"/>
  <c r="V156" i="93"/>
  <c r="O120" i="93" l="1"/>
  <c r="P117" i="93" s="1"/>
  <c r="M157" i="93"/>
  <c r="M136" i="93"/>
  <c r="M138" i="93" s="1"/>
  <c r="W156" i="93"/>
  <c r="O123" i="93" l="1"/>
  <c r="P119" i="93"/>
  <c r="P132" i="93"/>
  <c r="P133" i="93" s="1"/>
  <c r="M121" i="93"/>
  <c r="M146" i="93" s="1"/>
  <c r="X156" i="93"/>
  <c r="O143" i="93" l="1"/>
  <c r="P120" i="93"/>
  <c r="P123" i="93" s="1"/>
  <c r="N135" i="93"/>
  <c r="Y156" i="93"/>
  <c r="Q117" i="93" l="1"/>
  <c r="Q119" i="93" s="1"/>
  <c r="Q120" i="93" s="1"/>
  <c r="P143" i="93"/>
  <c r="N157" i="93"/>
  <c r="N136" i="93"/>
  <c r="N138" i="93" s="1"/>
  <c r="Z156" i="93"/>
  <c r="Q132" i="93" l="1"/>
  <c r="Q133" i="93" s="1"/>
  <c r="Q123" i="93"/>
  <c r="Q143" i="93" s="1"/>
  <c r="R117" i="93"/>
  <c r="N121" i="93"/>
  <c r="N146" i="93" s="1"/>
  <c r="AA156" i="93"/>
  <c r="R119" i="93" l="1"/>
  <c r="R132" i="93"/>
  <c r="R133" i="93" s="1"/>
  <c r="O135" i="93"/>
  <c r="AB156" i="93"/>
  <c r="R120" i="93" l="1"/>
  <c r="S117" i="93" s="1"/>
  <c r="O157" i="93"/>
  <c r="O136" i="93"/>
  <c r="O138" i="93" s="1"/>
  <c r="AC156" i="93"/>
  <c r="R123" i="93" l="1"/>
  <c r="S119" i="93"/>
  <c r="S120" i="93" s="1"/>
  <c r="S132" i="93"/>
  <c r="S133" i="93" s="1"/>
  <c r="O121" i="93"/>
  <c r="O146" i="93" s="1"/>
  <c r="AD156" i="93"/>
  <c r="S123" i="93" l="1"/>
  <c r="R143" i="93"/>
  <c r="T117" i="93"/>
  <c r="P135" i="93"/>
  <c r="AE156" i="93"/>
  <c r="T119" i="93" l="1"/>
  <c r="T120" i="93" s="1"/>
  <c r="T132" i="93"/>
  <c r="T133" i="93" s="1"/>
  <c r="S143" i="93"/>
  <c r="P157" i="93"/>
  <c r="P136" i="93"/>
  <c r="P138" i="93" s="1"/>
  <c r="AF156" i="93"/>
  <c r="T123" i="93" l="1"/>
  <c r="T143" i="93" s="1"/>
  <c r="U117" i="93"/>
  <c r="P121" i="93"/>
  <c r="P146" i="93" s="1"/>
  <c r="AG156" i="93"/>
  <c r="U119" i="93" l="1"/>
  <c r="U120" i="93" s="1"/>
  <c r="U132" i="93"/>
  <c r="U133" i="93" s="1"/>
  <c r="Q135" i="93"/>
  <c r="AH156" i="93"/>
  <c r="U123" i="93" l="1"/>
  <c r="V117" i="93"/>
  <c r="Q157" i="93"/>
  <c r="Q136" i="93"/>
  <c r="Q138" i="93" s="1"/>
  <c r="AI156" i="93"/>
  <c r="V119" i="93" l="1"/>
  <c r="V120" i="93" s="1"/>
  <c r="V132" i="93"/>
  <c r="V133" i="93" s="1"/>
  <c r="U143" i="93"/>
  <c r="Q121" i="93"/>
  <c r="Q146" i="93" s="1"/>
  <c r="AJ156" i="93"/>
  <c r="V123" i="93" l="1"/>
  <c r="V143" i="93" s="1"/>
  <c r="W117" i="93"/>
  <c r="R135" i="93"/>
  <c r="AK156" i="93"/>
  <c r="W132" i="93" l="1"/>
  <c r="W133" i="93" s="1"/>
  <c r="W119" i="93"/>
  <c r="W120" i="93" s="1"/>
  <c r="R157" i="93"/>
  <c r="R136" i="93"/>
  <c r="R138" i="93" s="1"/>
  <c r="AL156" i="93"/>
  <c r="W123" i="93" l="1"/>
  <c r="X117" i="93"/>
  <c r="R121" i="93"/>
  <c r="R146" i="93" s="1"/>
  <c r="AM156" i="93"/>
  <c r="W143" i="93" l="1"/>
  <c r="X119" i="93"/>
  <c r="X120" i="93" s="1"/>
  <c r="X132" i="93"/>
  <c r="X133" i="93" s="1"/>
  <c r="S135" i="93"/>
  <c r="AN156" i="93"/>
  <c r="X123" i="93" l="1"/>
  <c r="Y117" i="93"/>
  <c r="S157" i="93"/>
  <c r="S136" i="93"/>
  <c r="S138" i="93" s="1"/>
  <c r="AO156" i="93"/>
  <c r="X143" i="93" l="1"/>
  <c r="Y119" i="93"/>
  <c r="Y120" i="93" s="1"/>
  <c r="Y132" i="93"/>
  <c r="Y133" i="93" s="1"/>
  <c r="S121" i="93"/>
  <c r="S146" i="93" s="1"/>
  <c r="AP156" i="93"/>
  <c r="Y123" i="93" l="1"/>
  <c r="Z117" i="93"/>
  <c r="T135" i="93"/>
  <c r="AQ156" i="93"/>
  <c r="Y143" i="93" l="1"/>
  <c r="Z119" i="93"/>
  <c r="Z120" i="93" s="1"/>
  <c r="Z132" i="93"/>
  <c r="Z133" i="93" s="1"/>
  <c r="T157" i="93"/>
  <c r="T136" i="93"/>
  <c r="T138" i="93" s="1"/>
  <c r="AR156" i="93"/>
  <c r="Z123" i="93" l="1"/>
  <c r="AA117" i="93"/>
  <c r="T121" i="93"/>
  <c r="T146" i="93" s="1"/>
  <c r="AS156" i="93"/>
  <c r="Z143" i="93" l="1"/>
  <c r="AA119" i="93"/>
  <c r="AA120" i="93" s="1"/>
  <c r="AA132" i="93"/>
  <c r="AA133" i="93" s="1"/>
  <c r="U135" i="93"/>
  <c r="AT156" i="93"/>
  <c r="AA123" i="93" l="1"/>
  <c r="AB117" i="93"/>
  <c r="U157" i="93"/>
  <c r="U136" i="93"/>
  <c r="U138" i="93" s="1"/>
  <c r="AU156" i="93"/>
  <c r="AA143" i="93" l="1"/>
  <c r="AB119" i="93"/>
  <c r="AB120" i="93" s="1"/>
  <c r="AB132" i="93"/>
  <c r="AB133" i="93" s="1"/>
  <c r="U121" i="93"/>
  <c r="U146" i="93" s="1"/>
  <c r="AV156" i="93"/>
  <c r="AB123" i="93" l="1"/>
  <c r="AC117" i="93"/>
  <c r="V135" i="93"/>
  <c r="AW156" i="93"/>
  <c r="AB143" i="93" l="1"/>
  <c r="AC132" i="93"/>
  <c r="AC133" i="93" s="1"/>
  <c r="AC119" i="93"/>
  <c r="AC120" i="93" s="1"/>
  <c r="V157" i="93"/>
  <c r="V136" i="93"/>
  <c r="V138" i="93" s="1"/>
  <c r="AX156" i="93"/>
  <c r="AC123" i="93" l="1"/>
  <c r="AC143" i="93" s="1"/>
  <c r="AD117" i="93"/>
  <c r="V121" i="93"/>
  <c r="V146" i="93" s="1"/>
  <c r="AY156" i="93"/>
  <c r="AD132" i="93" l="1"/>
  <c r="AD133" i="93" s="1"/>
  <c r="AD119" i="93"/>
  <c r="W135" i="93"/>
  <c r="AZ156" i="93"/>
  <c r="AD120" i="93" l="1"/>
  <c r="W157" i="93"/>
  <c r="W136" i="93"/>
  <c r="W138" i="93" s="1"/>
  <c r="BA156" i="93"/>
  <c r="AD123" i="93" l="1"/>
  <c r="AE117" i="93"/>
  <c r="AE132" i="93" s="1"/>
  <c r="AE133" i="93" s="1"/>
  <c r="W121" i="93"/>
  <c r="W146" i="93" s="1"/>
  <c r="BB156" i="93"/>
  <c r="AE119" i="93" l="1"/>
  <c r="AE120" i="93" s="1"/>
  <c r="AD143" i="93"/>
  <c r="X135" i="93"/>
  <c r="BC156" i="93"/>
  <c r="AE123" i="93" l="1"/>
  <c r="AF117" i="93"/>
  <c r="AF132" i="93" s="1"/>
  <c r="AF133" i="93" s="1"/>
  <c r="X157" i="93"/>
  <c r="X136" i="93"/>
  <c r="X138" i="93" s="1"/>
  <c r="BD156" i="93"/>
  <c r="AF119" i="93" l="1"/>
  <c r="AF120" i="93" s="1"/>
  <c r="AE143" i="93"/>
  <c r="X121" i="93"/>
  <c r="X146" i="93" s="1"/>
  <c r="BE156" i="93"/>
  <c r="AG117" i="93" l="1"/>
  <c r="AG119" i="93" s="1"/>
  <c r="AF123" i="93"/>
  <c r="AF143" i="93" s="1"/>
  <c r="Y135" i="93"/>
  <c r="BF156" i="93"/>
  <c r="AG132" i="93" l="1"/>
  <c r="AG133" i="93" s="1"/>
  <c r="AG120" i="93"/>
  <c r="Y157" i="93"/>
  <c r="Y136" i="93"/>
  <c r="Y138" i="93" s="1"/>
  <c r="BG156" i="93"/>
  <c r="AG123" i="93" l="1"/>
  <c r="AH117" i="93"/>
  <c r="AH119" i="93" s="1"/>
  <c r="Y121" i="93"/>
  <c r="Y146" i="93" s="1"/>
  <c r="BH156" i="93"/>
  <c r="AH132" i="93" l="1"/>
  <c r="AH133" i="93" s="1"/>
  <c r="AG143" i="93"/>
  <c r="AH120" i="93"/>
  <c r="Z135" i="93"/>
  <c r="BI156" i="93"/>
  <c r="AH123" i="93" l="1"/>
  <c r="AI117" i="93"/>
  <c r="AI119" i="93" s="1"/>
  <c r="AI120" i="93" s="1"/>
  <c r="Z157" i="93"/>
  <c r="Z136" i="93"/>
  <c r="Z138" i="93" s="1"/>
  <c r="BJ156" i="93"/>
  <c r="AI132" i="93" l="1"/>
  <c r="AI133" i="93" s="1"/>
  <c r="AI123" i="93"/>
  <c r="AH143" i="93"/>
  <c r="AJ117" i="93"/>
  <c r="Z121" i="93"/>
  <c r="Z146" i="93" s="1"/>
  <c r="BK156" i="93"/>
  <c r="AJ119" i="93" l="1"/>
  <c r="AJ120" i="93" s="1"/>
  <c r="AJ132" i="93"/>
  <c r="AJ133" i="93" s="1"/>
  <c r="AI143" i="93"/>
  <c r="AA135" i="93"/>
  <c r="BL156" i="93"/>
  <c r="AJ123" i="93" l="1"/>
  <c r="AJ143" i="93" s="1"/>
  <c r="AK117" i="93"/>
  <c r="AA157" i="93"/>
  <c r="AA136" i="93"/>
  <c r="AA138" i="93" s="1"/>
  <c r="BM156" i="93"/>
  <c r="AK132" i="93" l="1"/>
  <c r="AK133" i="93" s="1"/>
  <c r="AK119" i="93"/>
  <c r="AA121" i="93"/>
  <c r="AA146" i="93" s="1"/>
  <c r="BN156" i="93"/>
  <c r="AK120" i="93" l="1"/>
  <c r="AL117" i="93" s="1"/>
  <c r="AB135" i="93"/>
  <c r="BO156" i="93"/>
  <c r="AK123" i="93" l="1"/>
  <c r="AL119" i="93"/>
  <c r="AL120" i="93" s="1"/>
  <c r="AL132" i="93"/>
  <c r="AL133" i="93" s="1"/>
  <c r="AB157" i="93"/>
  <c r="AB136" i="93"/>
  <c r="AB138" i="93" s="1"/>
  <c r="BP156" i="93"/>
  <c r="AL123" i="93" l="1"/>
  <c r="AK143" i="93"/>
  <c r="AB121" i="93"/>
  <c r="AB146" i="93" s="1"/>
  <c r="BQ156" i="93"/>
  <c r="AL143" i="93" l="1"/>
  <c r="AM117" i="93"/>
  <c r="AC135" i="93"/>
  <c r="BR156" i="93"/>
  <c r="AM119" i="93" l="1"/>
  <c r="AM132" i="93"/>
  <c r="AM133" i="93" s="1"/>
  <c r="AC157" i="93"/>
  <c r="AC136" i="93"/>
  <c r="AC138" i="93" s="1"/>
  <c r="BS156" i="93"/>
  <c r="AM120" i="93" l="1"/>
  <c r="AN117" i="93" s="1"/>
  <c r="AC121" i="93"/>
  <c r="AC146" i="93" s="1"/>
  <c r="BT156" i="93"/>
  <c r="AM123" i="93" l="1"/>
  <c r="AM143" i="93" s="1"/>
  <c r="AN119" i="93"/>
  <c r="AN120" i="93" s="1"/>
  <c r="AN132" i="93"/>
  <c r="AN133" i="93" s="1"/>
  <c r="AD135" i="93"/>
  <c r="BU156" i="93"/>
  <c r="AN123" i="93" l="1"/>
  <c r="AN143" i="93" s="1"/>
  <c r="AO117" i="93"/>
  <c r="AD157" i="93"/>
  <c r="AD136" i="93"/>
  <c r="AD138" i="93" s="1"/>
  <c r="BV156" i="93"/>
  <c r="AO132" i="93" l="1"/>
  <c r="AO133" i="93" s="1"/>
  <c r="AO119" i="93"/>
  <c r="AO120" i="93" s="1"/>
  <c r="AD121" i="93"/>
  <c r="AD146" i="93" s="1"/>
  <c r="BW156" i="93"/>
  <c r="AO123" i="93" l="1"/>
  <c r="AP117" i="93"/>
  <c r="AE135" i="93"/>
  <c r="BX156" i="93"/>
  <c r="AP119" i="93" l="1"/>
  <c r="AP120" i="93" s="1"/>
  <c r="AP132" i="93"/>
  <c r="AP133" i="93" s="1"/>
  <c r="AO143" i="93"/>
  <c r="AE157" i="93"/>
  <c r="AE136" i="93"/>
  <c r="AE138" i="93" s="1"/>
  <c r="BY156" i="93"/>
  <c r="AP123" i="93" l="1"/>
  <c r="AP143" i="93" s="1"/>
  <c r="AQ117" i="93"/>
  <c r="AE121" i="93"/>
  <c r="AE146" i="93" s="1"/>
  <c r="BZ156" i="93"/>
  <c r="AQ119" i="93" l="1"/>
  <c r="AQ120" i="93" s="1"/>
  <c r="AQ132" i="93"/>
  <c r="AQ133" i="93" s="1"/>
  <c r="AF135" i="93"/>
  <c r="CA156" i="93"/>
  <c r="AQ123" i="93" l="1"/>
  <c r="AR117" i="93"/>
  <c r="AF157" i="93"/>
  <c r="AF136" i="93"/>
  <c r="AF138" i="93" s="1"/>
  <c r="CB156" i="93"/>
  <c r="AR119" i="93" l="1"/>
  <c r="AR120" i="93" s="1"/>
  <c r="AR132" i="93"/>
  <c r="AR133" i="93" s="1"/>
  <c r="AQ143" i="93"/>
  <c r="AF121" i="93"/>
  <c r="AF146" i="93" s="1"/>
  <c r="CC156" i="93"/>
  <c r="AR123" i="93" l="1"/>
  <c r="AR143" i="93" s="1"/>
  <c r="AS117" i="93"/>
  <c r="AG135" i="93"/>
  <c r="CD156" i="93"/>
  <c r="AS119" i="93" l="1"/>
  <c r="AS120" i="93" s="1"/>
  <c r="AS132" i="93"/>
  <c r="AS133" i="93" s="1"/>
  <c r="AG157" i="93"/>
  <c r="AG136" i="93"/>
  <c r="AG138" i="93" s="1"/>
  <c r="CE156" i="93"/>
  <c r="AS123" i="93" l="1"/>
  <c r="AG121" i="93"/>
  <c r="AG146" i="93" s="1"/>
  <c r="CF156" i="93"/>
  <c r="AT117" i="93" l="1"/>
  <c r="AT119" i="93" s="1"/>
  <c r="AT120" i="93" s="1"/>
  <c r="AS143" i="93"/>
  <c r="AH135" i="93"/>
  <c r="CG156" i="93"/>
  <c r="AT132" i="93" l="1"/>
  <c r="AT133" i="93" s="1"/>
  <c r="AT123" i="93"/>
  <c r="AT143" i="93" s="1"/>
  <c r="AU117" i="93"/>
  <c r="AH157" i="93"/>
  <c r="AH136" i="93"/>
  <c r="AH138" i="93" s="1"/>
  <c r="CH156" i="93"/>
  <c r="AU119" i="93" l="1"/>
  <c r="AU120" i="93" s="1"/>
  <c r="AU132" i="93"/>
  <c r="AU133" i="93" s="1"/>
  <c r="AH121" i="93"/>
  <c r="AH146" i="93" s="1"/>
  <c r="CI156" i="93"/>
  <c r="AU123" i="93" l="1"/>
  <c r="AV117" i="93"/>
  <c r="AI135" i="93"/>
  <c r="CJ156" i="93"/>
  <c r="AV119" i="93" l="1"/>
  <c r="AV120" i="93" s="1"/>
  <c r="AV132" i="93"/>
  <c r="AV133" i="93" s="1"/>
  <c r="AU143" i="93"/>
  <c r="AI157" i="93"/>
  <c r="AI136" i="93"/>
  <c r="AI138" i="93" s="1"/>
  <c r="CK156" i="93"/>
  <c r="AV123" i="93" l="1"/>
  <c r="AV143" i="93" s="1"/>
  <c r="AW117" i="93"/>
  <c r="AI121" i="93"/>
  <c r="AI146" i="93" s="1"/>
  <c r="CL156" i="93"/>
  <c r="AW119" i="93" l="1"/>
  <c r="AW120" i="93" s="1"/>
  <c r="AW132" i="93"/>
  <c r="AW133" i="93" s="1"/>
  <c r="AJ135" i="93"/>
  <c r="CM156" i="93"/>
  <c r="AW123" i="93" l="1"/>
  <c r="AX117" i="93"/>
  <c r="AJ157" i="93"/>
  <c r="AJ136" i="93"/>
  <c r="AJ138" i="93" s="1"/>
  <c r="CN156" i="93"/>
  <c r="AX132" i="93" l="1"/>
  <c r="AX133" i="93" s="1"/>
  <c r="AX119" i="93"/>
  <c r="AX120" i="93" s="1"/>
  <c r="AW143" i="93"/>
  <c r="AJ121" i="93"/>
  <c r="AJ146" i="93" s="1"/>
  <c r="CO156" i="93"/>
  <c r="AX123" i="93" l="1"/>
  <c r="AX143" i="93" s="1"/>
  <c r="AY117" i="93"/>
  <c r="AK135" i="93"/>
  <c r="CP156" i="93"/>
  <c r="AY132" i="93" l="1"/>
  <c r="AY133" i="93" s="1"/>
  <c r="AY119" i="93"/>
  <c r="AY120" i="93" s="1"/>
  <c r="AK157" i="93"/>
  <c r="AK136" i="93"/>
  <c r="AK138" i="93" s="1"/>
  <c r="CQ156" i="93"/>
  <c r="AY123" i="93" l="1"/>
  <c r="AK121" i="93"/>
  <c r="AK146" i="93" s="1"/>
  <c r="CR156" i="93"/>
  <c r="AZ117" i="93" l="1"/>
  <c r="AZ132" i="93" s="1"/>
  <c r="AZ133" i="93" s="1"/>
  <c r="AY143" i="93"/>
  <c r="AL135" i="93"/>
  <c r="CS156" i="93"/>
  <c r="AZ119" i="93" l="1"/>
  <c r="AL157" i="93"/>
  <c r="AL136" i="93"/>
  <c r="AL138" i="93" s="1"/>
  <c r="CT156" i="93"/>
  <c r="AZ120" i="93" l="1"/>
  <c r="BA117" i="93" s="1"/>
  <c r="BA132" i="93" s="1"/>
  <c r="BA133" i="93" s="1"/>
  <c r="AL121" i="93"/>
  <c r="AL146" i="93" s="1"/>
  <c r="CU156" i="93"/>
  <c r="BA119" i="93" l="1"/>
  <c r="BA120" i="93" s="1"/>
  <c r="AZ123" i="93"/>
  <c r="AM135" i="93"/>
  <c r="CV156" i="93"/>
  <c r="BA123" i="93" l="1"/>
  <c r="BA143" i="93" s="1"/>
  <c r="AZ143" i="93"/>
  <c r="BB117" i="93"/>
  <c r="BB132" i="93" s="1"/>
  <c r="BB133" i="93" s="1"/>
  <c r="AM157" i="93"/>
  <c r="AM136" i="93"/>
  <c r="AM138" i="93" s="1"/>
  <c r="CW156" i="93"/>
  <c r="BB119" i="93" l="1"/>
  <c r="BB120" i="93" s="1"/>
  <c r="BB123" i="93" s="1"/>
  <c r="BB143" i="93" s="1"/>
  <c r="AM121" i="93"/>
  <c r="AM146" i="93" s="1"/>
  <c r="CX156" i="93"/>
  <c r="BC117" i="93" l="1"/>
  <c r="BC119" i="93" s="1"/>
  <c r="BC120" i="93" s="1"/>
  <c r="AN135" i="93"/>
  <c r="CY156" i="93"/>
  <c r="BC132" i="93" l="1"/>
  <c r="BC133" i="93" s="1"/>
  <c r="BC123" i="93"/>
  <c r="BD117" i="93"/>
  <c r="AN157" i="93"/>
  <c r="AN136" i="93"/>
  <c r="AN138" i="93" s="1"/>
  <c r="CZ156" i="93"/>
  <c r="BD119" i="93" l="1"/>
  <c r="BD120" i="93" s="1"/>
  <c r="BD132" i="93"/>
  <c r="BD133" i="93" s="1"/>
  <c r="BC143" i="93"/>
  <c r="AN121" i="93"/>
  <c r="AN146" i="93" s="1"/>
  <c r="DA156" i="93"/>
  <c r="BD123" i="93" l="1"/>
  <c r="BE117" i="93"/>
  <c r="AO135" i="93"/>
  <c r="DB156" i="93"/>
  <c r="BD143" i="93" l="1"/>
  <c r="BE132" i="93"/>
  <c r="BE133" i="93" s="1"/>
  <c r="BE119" i="93"/>
  <c r="AO157" i="93"/>
  <c r="AO136" i="93"/>
  <c r="AO138" i="93" s="1"/>
  <c r="DC156" i="93"/>
  <c r="BE120" i="93" l="1"/>
  <c r="AO121" i="93"/>
  <c r="AO146" i="93" s="1"/>
  <c r="DD156" i="93"/>
  <c r="BE123" i="93" l="1"/>
  <c r="BF117" i="93"/>
  <c r="BF132" i="93" s="1"/>
  <c r="BF133" i="93" s="1"/>
  <c r="AP135" i="93"/>
  <c r="DE156" i="93"/>
  <c r="BE143" i="93" l="1"/>
  <c r="BF119" i="93"/>
  <c r="BF120" i="93" s="1"/>
  <c r="AP157" i="93"/>
  <c r="AP136" i="93"/>
  <c r="AP138" i="93" s="1"/>
  <c r="BF123" i="93" l="1"/>
  <c r="BF143" i="93" s="1"/>
  <c r="BG117" i="93"/>
  <c r="AP121" i="93"/>
  <c r="AP146" i="93" s="1"/>
  <c r="BG119" i="93" l="1"/>
  <c r="BG132" i="93"/>
  <c r="BG133" i="93" s="1"/>
  <c r="AQ135" i="93"/>
  <c r="BG120" i="93" l="1"/>
  <c r="BG123" i="93" s="1"/>
  <c r="AQ157" i="93"/>
  <c r="AQ136" i="93"/>
  <c r="AQ138" i="93" s="1"/>
  <c r="BH117" i="93" l="1"/>
  <c r="BH132" i="93" s="1"/>
  <c r="BH133" i="93" s="1"/>
  <c r="BG143" i="93"/>
  <c r="BG144" i="93" s="1"/>
  <c r="AQ121" i="93"/>
  <c r="AQ146" i="93" s="1"/>
  <c r="Y144" i="93"/>
  <c r="Y147" i="93" s="1"/>
  <c r="Y149" i="93" s="1"/>
  <c r="Y159" i="93" s="1"/>
  <c r="Y160" i="93" s="1"/>
  <c r="Y161" i="93" s="1"/>
  <c r="Y162" i="93" s="1"/>
  <c r="AA144" i="93"/>
  <c r="AA147" i="93" s="1"/>
  <c r="AA149" i="93" s="1"/>
  <c r="AA159" i="93" s="1"/>
  <c r="AA160" i="93" s="1"/>
  <c r="AA161" i="93" s="1"/>
  <c r="AA162" i="93" s="1"/>
  <c r="Z144" i="93"/>
  <c r="Z147" i="93" s="1"/>
  <c r="Z149" i="93" s="1"/>
  <c r="Z159" i="93" s="1"/>
  <c r="Z160" i="93" s="1"/>
  <c r="Z161" i="93" s="1"/>
  <c r="Z162" i="93" s="1"/>
  <c r="AB144" i="93"/>
  <c r="AB147" i="93" s="1"/>
  <c r="AB149" i="93" s="1"/>
  <c r="AB159" i="93" s="1"/>
  <c r="AB160" i="93" s="1"/>
  <c r="AB161" i="93" s="1"/>
  <c r="AB162" i="93" s="1"/>
  <c r="X144" i="93"/>
  <c r="X147" i="93" s="1"/>
  <c r="X149" i="93" s="1"/>
  <c r="X159" i="93" s="1"/>
  <c r="X160" i="93" s="1"/>
  <c r="X161" i="93" s="1"/>
  <c r="X162" i="93" s="1"/>
  <c r="V144" i="93"/>
  <c r="V147" i="93" s="1"/>
  <c r="V149" i="93" s="1"/>
  <c r="V159" i="93" s="1"/>
  <c r="V160" i="93" s="1"/>
  <c r="V161" i="93" s="1"/>
  <c r="V162" i="93" s="1"/>
  <c r="J144" i="93"/>
  <c r="J147" i="93" s="1"/>
  <c r="U144" i="93"/>
  <c r="U147" i="93" s="1"/>
  <c r="U149" i="93" s="1"/>
  <c r="U159" i="93" s="1"/>
  <c r="U160" i="93" s="1"/>
  <c r="U161" i="93" s="1"/>
  <c r="U162" i="93" s="1"/>
  <c r="T144" i="93"/>
  <c r="T147" i="93" s="1"/>
  <c r="T149" i="93" s="1"/>
  <c r="T159" i="93" s="1"/>
  <c r="T160" i="93" s="1"/>
  <c r="T161" i="93" s="1"/>
  <c r="T162" i="93" s="1"/>
  <c r="S144" i="93"/>
  <c r="S147" i="93" s="1"/>
  <c r="S149" i="93" s="1"/>
  <c r="S159" i="93" s="1"/>
  <c r="S160" i="93" s="1"/>
  <c r="S161" i="93" s="1"/>
  <c r="S162" i="93" s="1"/>
  <c r="Q144" i="93"/>
  <c r="Q147" i="93" s="1"/>
  <c r="Q149" i="93" s="1"/>
  <c r="Q159" i="93" s="1"/>
  <c r="Q160" i="93" s="1"/>
  <c r="Q161" i="93" s="1"/>
  <c r="Q162" i="93" s="1"/>
  <c r="W144" i="93"/>
  <c r="W147" i="93" s="1"/>
  <c r="W149" i="93" s="1"/>
  <c r="W159" i="93" s="1"/>
  <c r="W160" i="93" s="1"/>
  <c r="W161" i="93" s="1"/>
  <c r="W162" i="93" s="1"/>
  <c r="L144" i="93"/>
  <c r="L147" i="93" s="1"/>
  <c r="L149" i="93" s="1"/>
  <c r="L159" i="93" s="1"/>
  <c r="L160" i="93" s="1"/>
  <c r="L161" i="93" s="1"/>
  <c r="L162" i="93" s="1"/>
  <c r="R144" i="93"/>
  <c r="R147" i="93" s="1"/>
  <c r="R149" i="93" s="1"/>
  <c r="R159" i="93" s="1"/>
  <c r="R160" i="93" s="1"/>
  <c r="R161" i="93" s="1"/>
  <c r="R162" i="93" s="1"/>
  <c r="AD144" i="93"/>
  <c r="AD147" i="93" s="1"/>
  <c r="AD149" i="93" s="1"/>
  <c r="AD159" i="93" s="1"/>
  <c r="AD160" i="93" s="1"/>
  <c r="AD161" i="93" s="1"/>
  <c r="AD162" i="93" s="1"/>
  <c r="O144" i="93"/>
  <c r="O147" i="93" s="1"/>
  <c r="O149" i="93" s="1"/>
  <c r="O159" i="93" s="1"/>
  <c r="O160" i="93" s="1"/>
  <c r="O161" i="93" s="1"/>
  <c r="O162" i="93" s="1"/>
  <c r="P144" i="93"/>
  <c r="P147" i="93" s="1"/>
  <c r="P149" i="93" s="1"/>
  <c r="P159" i="93" s="1"/>
  <c r="P160" i="93" s="1"/>
  <c r="P161" i="93" s="1"/>
  <c r="P162" i="93" s="1"/>
  <c r="N144" i="93"/>
  <c r="N147" i="93" s="1"/>
  <c r="N149" i="93" s="1"/>
  <c r="N159" i="93" s="1"/>
  <c r="N160" i="93" s="1"/>
  <c r="N161" i="93" s="1"/>
  <c r="N162" i="93" s="1"/>
  <c r="AC144" i="93"/>
  <c r="AC147" i="93" s="1"/>
  <c r="AC149" i="93" s="1"/>
  <c r="AC159" i="93" s="1"/>
  <c r="AC160" i="93" s="1"/>
  <c r="AC161" i="93" s="1"/>
  <c r="AC162" i="93" s="1"/>
  <c r="AL144" i="93"/>
  <c r="AL147" i="93" s="1"/>
  <c r="AL149" i="93" s="1"/>
  <c r="AL159" i="93" s="1"/>
  <c r="AL160" i="93" s="1"/>
  <c r="AL161" i="93" s="1"/>
  <c r="AL162" i="93" s="1"/>
  <c r="AE144" i="93"/>
  <c r="AE147" i="93" s="1"/>
  <c r="AE149" i="93" s="1"/>
  <c r="AE159" i="93" s="1"/>
  <c r="AE160" i="93" s="1"/>
  <c r="AE161" i="93" s="1"/>
  <c r="AE162" i="93" s="1"/>
  <c r="K144" i="93"/>
  <c r="K147" i="93" s="1"/>
  <c r="K149" i="93" s="1"/>
  <c r="K159" i="93" s="1"/>
  <c r="K160" i="93" s="1"/>
  <c r="K161" i="93" s="1"/>
  <c r="K162" i="93" s="1"/>
  <c r="AG144" i="93"/>
  <c r="AG147" i="93" s="1"/>
  <c r="AG149" i="93" s="1"/>
  <c r="AG159" i="93" s="1"/>
  <c r="AG160" i="93" s="1"/>
  <c r="AG161" i="93" s="1"/>
  <c r="AG162" i="93" s="1"/>
  <c r="M144" i="93"/>
  <c r="M147" i="93" s="1"/>
  <c r="M149" i="93" s="1"/>
  <c r="M159" i="93" s="1"/>
  <c r="M160" i="93" s="1"/>
  <c r="M161" i="93" s="1"/>
  <c r="M162" i="93" s="1"/>
  <c r="AI144" i="93"/>
  <c r="AI147" i="93" s="1"/>
  <c r="AI149" i="93" s="1"/>
  <c r="AI159" i="93" s="1"/>
  <c r="AI160" i="93" s="1"/>
  <c r="AI161" i="93" s="1"/>
  <c r="AI162" i="93" s="1"/>
  <c r="AN144" i="93"/>
  <c r="AN147" i="93" s="1"/>
  <c r="AN149" i="93" s="1"/>
  <c r="AN159" i="93" s="1"/>
  <c r="AN160" i="93" s="1"/>
  <c r="AN161" i="93" s="1"/>
  <c r="AN162" i="93" s="1"/>
  <c r="AF144" i="93"/>
  <c r="AF147" i="93" s="1"/>
  <c r="AF149" i="93" s="1"/>
  <c r="AF159" i="93" s="1"/>
  <c r="AF160" i="93" s="1"/>
  <c r="AF161" i="93" s="1"/>
  <c r="AF162" i="93" s="1"/>
  <c r="AJ144" i="93"/>
  <c r="AJ147" i="93" s="1"/>
  <c r="AJ149" i="93" s="1"/>
  <c r="AJ159" i="93" s="1"/>
  <c r="AJ160" i="93" s="1"/>
  <c r="AJ161" i="93" s="1"/>
  <c r="AJ162" i="93" s="1"/>
  <c r="AM144" i="93"/>
  <c r="AM147" i="93" s="1"/>
  <c r="AM149" i="93" s="1"/>
  <c r="AM159" i="93" s="1"/>
  <c r="AM160" i="93" s="1"/>
  <c r="AM161" i="93" s="1"/>
  <c r="AM162" i="93" s="1"/>
  <c r="AH144" i="93"/>
  <c r="AH147" i="93" s="1"/>
  <c r="AH149" i="93" s="1"/>
  <c r="AH159" i="93" s="1"/>
  <c r="AH160" i="93" s="1"/>
  <c r="AH161" i="93" s="1"/>
  <c r="AH162" i="93" s="1"/>
  <c r="AO144" i="93"/>
  <c r="AO147" i="93" s="1"/>
  <c r="AO149" i="93" s="1"/>
  <c r="AO159" i="93" s="1"/>
  <c r="AO160" i="93" s="1"/>
  <c r="AO161" i="93" s="1"/>
  <c r="AO162" i="93" s="1"/>
  <c r="AP144" i="93"/>
  <c r="AP147" i="93" s="1"/>
  <c r="AP149" i="93" s="1"/>
  <c r="AP159" i="93" s="1"/>
  <c r="AP160" i="93" s="1"/>
  <c r="AP161" i="93" s="1"/>
  <c r="AP162" i="93" s="1"/>
  <c r="AQ144" i="93"/>
  <c r="AR144" i="93"/>
  <c r="AK144" i="93"/>
  <c r="AK147" i="93" s="1"/>
  <c r="AK149" i="93" s="1"/>
  <c r="AK159" i="93" s="1"/>
  <c r="AK160" i="93" s="1"/>
  <c r="AK161" i="93" s="1"/>
  <c r="AK162" i="93" s="1"/>
  <c r="AU144" i="93"/>
  <c r="AS144" i="93"/>
  <c r="AT144" i="93"/>
  <c r="AV144" i="93"/>
  <c r="AW144" i="93"/>
  <c r="AX144" i="93"/>
  <c r="AY144" i="93"/>
  <c r="AZ144" i="93"/>
  <c r="BA144" i="93"/>
  <c r="BB144" i="93"/>
  <c r="BC144" i="93"/>
  <c r="BE144" i="93"/>
  <c r="BD144" i="93"/>
  <c r="BF144" i="93"/>
  <c r="D24" i="80"/>
  <c r="I48" i="83"/>
  <c r="D26" i="80" s="1"/>
  <c r="J149" i="93" l="1"/>
  <c r="J159" i="93" s="1"/>
  <c r="J160" i="93" s="1"/>
  <c r="J161" i="93" s="1"/>
  <c r="J162" i="93" s="1"/>
  <c r="BH119" i="93"/>
  <c r="BH120" i="93" s="1"/>
  <c r="BI117" i="93" s="1"/>
  <c r="AQ147" i="93"/>
  <c r="AQ149" i="93" s="1"/>
  <c r="AQ159" i="93" s="1"/>
  <c r="AQ160" i="93" s="1"/>
  <c r="AQ161" i="93" s="1"/>
  <c r="AR135" i="93"/>
  <c r="BH123" i="93" l="1"/>
  <c r="BI119" i="93"/>
  <c r="BI132" i="93"/>
  <c r="BI133" i="93" s="1"/>
  <c r="AQ162" i="93"/>
  <c r="AR157" i="93"/>
  <c r="AR136" i="93"/>
  <c r="AR138" i="93" s="1"/>
  <c r="BH143" i="93" l="1"/>
  <c r="BH144" i="93" s="1"/>
  <c r="BI120" i="93"/>
  <c r="BI123" i="93" s="1"/>
  <c r="AR121" i="93"/>
  <c r="AR146" i="93" s="1"/>
  <c r="AR147" i="93" s="1"/>
  <c r="BJ117" i="93" l="1"/>
  <c r="BJ132" i="93" s="1"/>
  <c r="BJ133" i="93" s="1"/>
  <c r="BI143" i="93"/>
  <c r="BI144" i="93" s="1"/>
  <c r="AR149" i="93"/>
  <c r="AR159" i="93" s="1"/>
  <c r="AR160" i="93" s="1"/>
  <c r="AR161" i="93" s="1"/>
  <c r="AS135" i="93"/>
  <c r="BJ119" i="93" l="1"/>
  <c r="BJ120" i="93" s="1"/>
  <c r="AR162" i="93"/>
  <c r="AS157" i="93"/>
  <c r="AS136" i="93"/>
  <c r="AS138" i="93" s="1"/>
  <c r="BJ123" i="93" l="1"/>
  <c r="BJ143" i="93" s="1"/>
  <c r="BJ144" i="93" s="1"/>
  <c r="BK117" i="93"/>
  <c r="BK119" i="93" s="1"/>
  <c r="AS121" i="93"/>
  <c r="AS146" i="93" s="1"/>
  <c r="AS147" i="93" s="1"/>
  <c r="BK132" i="93" l="1"/>
  <c r="BK133" i="93" s="1"/>
  <c r="BK120" i="93"/>
  <c r="BK123" i="93" s="1"/>
  <c r="AS149" i="93"/>
  <c r="AS159" i="93" s="1"/>
  <c r="AS160" i="93" s="1"/>
  <c r="AS161" i="93" s="1"/>
  <c r="AT135" i="93"/>
  <c r="BL117" i="93" l="1"/>
  <c r="BL132" i="93" s="1"/>
  <c r="BL133" i="93" s="1"/>
  <c r="BK143" i="93"/>
  <c r="BK144" i="93" s="1"/>
  <c r="AS162" i="93"/>
  <c r="AT157" i="93"/>
  <c r="AT136" i="93"/>
  <c r="AT138" i="93" s="1"/>
  <c r="BL119" i="93" l="1"/>
  <c r="BL120" i="93" s="1"/>
  <c r="BL123" i="93" s="1"/>
  <c r="AT121" i="93"/>
  <c r="AT146" i="93" s="1"/>
  <c r="AT147" i="93" s="1"/>
  <c r="BM117" i="93" l="1"/>
  <c r="BM119" i="93" s="1"/>
  <c r="BL143" i="93"/>
  <c r="BL144" i="93" s="1"/>
  <c r="AT149" i="93"/>
  <c r="AT159" i="93" s="1"/>
  <c r="AT160" i="93" s="1"/>
  <c r="AT161" i="93" s="1"/>
  <c r="AU135" i="93"/>
  <c r="BM132" i="93" l="1"/>
  <c r="BM133" i="93" s="1"/>
  <c r="BM120" i="93"/>
  <c r="BM123" i="93" s="1"/>
  <c r="AT162" i="93"/>
  <c r="AU157" i="93"/>
  <c r="AU136" i="93"/>
  <c r="AU138" i="93" s="1"/>
  <c r="BN117" i="93" l="1"/>
  <c r="BN119" i="93" s="1"/>
  <c r="BM143" i="93"/>
  <c r="BM144" i="93" s="1"/>
  <c r="AU121" i="93"/>
  <c r="AU146" i="93" s="1"/>
  <c r="AU147" i="93" s="1"/>
  <c r="BN132" i="93" l="1"/>
  <c r="BN133" i="93" s="1"/>
  <c r="BN120" i="93"/>
  <c r="BN123" i="93" s="1"/>
  <c r="AU149" i="93"/>
  <c r="AU159" i="93" s="1"/>
  <c r="AU160" i="93" s="1"/>
  <c r="AU161" i="93" s="1"/>
  <c r="AV135" i="93"/>
  <c r="BO117" i="93" l="1"/>
  <c r="BO119" i="93" s="1"/>
  <c r="BN143" i="93"/>
  <c r="BN144" i="93" s="1"/>
  <c r="AU162" i="93"/>
  <c r="AV157" i="93"/>
  <c r="AV136" i="93"/>
  <c r="AV138" i="93" s="1"/>
  <c r="BO132" i="93" l="1"/>
  <c r="BO133" i="93" s="1"/>
  <c r="BO120" i="93"/>
  <c r="BO123" i="93" s="1"/>
  <c r="AV121" i="93"/>
  <c r="AV146" i="93" s="1"/>
  <c r="AV147" i="93" s="1"/>
  <c r="BP117" i="93" l="1"/>
  <c r="BP132" i="93" s="1"/>
  <c r="BP133" i="93" s="1"/>
  <c r="BO143" i="93"/>
  <c r="BO144" i="93" s="1"/>
  <c r="AV149" i="93"/>
  <c r="AV159" i="93" s="1"/>
  <c r="AV160" i="93" s="1"/>
  <c r="AV161" i="93" s="1"/>
  <c r="AV162" i="93" s="1"/>
  <c r="AW135" i="93"/>
  <c r="BP119" i="93" l="1"/>
  <c r="BP120" i="93" s="1"/>
  <c r="BP123" i="93" s="1"/>
  <c r="AW157" i="93"/>
  <c r="AW136" i="93"/>
  <c r="AW138" i="93" s="1"/>
  <c r="BQ117" i="93" l="1"/>
  <c r="BQ119" i="93" s="1"/>
  <c r="BP143" i="93"/>
  <c r="BP144" i="93" s="1"/>
  <c r="AW121" i="93"/>
  <c r="AW146" i="93" s="1"/>
  <c r="AW147" i="93" s="1"/>
  <c r="BQ132" i="93" l="1"/>
  <c r="BQ133" i="93" s="1"/>
  <c r="BQ120" i="93"/>
  <c r="BR117" i="93" s="1"/>
  <c r="AW149" i="93"/>
  <c r="AW159" i="93" s="1"/>
  <c r="AW160" i="93" s="1"/>
  <c r="AW161" i="93" s="1"/>
  <c r="AW162" i="93" s="1"/>
  <c r="AX135" i="93"/>
  <c r="BQ123" i="93" l="1"/>
  <c r="BR119" i="93"/>
  <c r="BR132" i="93"/>
  <c r="BR133" i="93" s="1"/>
  <c r="AX157" i="93"/>
  <c r="AX136" i="93"/>
  <c r="AX138" i="93" s="1"/>
  <c r="BQ143" i="93" l="1"/>
  <c r="BQ144" i="93" s="1"/>
  <c r="BR120" i="93"/>
  <c r="BR123" i="93" s="1"/>
  <c r="AX121" i="93"/>
  <c r="AX146" i="93" s="1"/>
  <c r="AX147" i="93" s="1"/>
  <c r="BS117" i="93" l="1"/>
  <c r="BS132" i="93" s="1"/>
  <c r="BS133" i="93" s="1"/>
  <c r="BR143" i="93"/>
  <c r="BR144" i="93" s="1"/>
  <c r="AX149" i="93"/>
  <c r="AX159" i="93" s="1"/>
  <c r="AX160" i="93" s="1"/>
  <c r="AX161" i="93" s="1"/>
  <c r="AX162" i="93" s="1"/>
  <c r="AY135" i="93"/>
  <c r="BS119" i="93" l="1"/>
  <c r="BS120" i="93" s="1"/>
  <c r="BT117" i="93" s="1"/>
  <c r="AY157" i="93"/>
  <c r="AY136" i="93"/>
  <c r="AY138" i="93" s="1"/>
  <c r="BS123" i="93" l="1"/>
  <c r="BT132" i="93"/>
  <c r="BT133" i="93" s="1"/>
  <c r="BT119" i="93"/>
  <c r="AY121" i="93"/>
  <c r="AY146" i="93" s="1"/>
  <c r="AY147" i="93" s="1"/>
  <c r="BS143" i="93" l="1"/>
  <c r="BS144" i="93" s="1"/>
  <c r="BT120" i="93"/>
  <c r="BT123" i="93" s="1"/>
  <c r="AY149" i="93"/>
  <c r="AY159" i="93" s="1"/>
  <c r="AY160" i="93" s="1"/>
  <c r="AY161" i="93" s="1"/>
  <c r="AY162" i="93" s="1"/>
  <c r="AZ135" i="93"/>
  <c r="BT143" i="93" l="1"/>
  <c r="BT144" i="93" s="1"/>
  <c r="BU117" i="93"/>
  <c r="AZ157" i="93"/>
  <c r="AZ136" i="93"/>
  <c r="AZ138" i="93" s="1"/>
  <c r="BU119" i="93" l="1"/>
  <c r="BU132" i="93"/>
  <c r="BU133" i="93" s="1"/>
  <c r="AZ121" i="93"/>
  <c r="AZ146" i="93" s="1"/>
  <c r="AZ147" i="93" s="1"/>
  <c r="BU120" i="93" l="1"/>
  <c r="BV117" i="93" s="1"/>
  <c r="AZ149" i="93"/>
  <c r="AZ159" i="93" s="1"/>
  <c r="AZ160" i="93" s="1"/>
  <c r="AZ161" i="93" s="1"/>
  <c r="AZ162" i="93" s="1"/>
  <c r="BA135" i="93"/>
  <c r="BU123" i="93" l="1"/>
  <c r="BU143" i="93" s="1"/>
  <c r="BU144" i="93" s="1"/>
  <c r="BV132" i="93"/>
  <c r="BV133" i="93" s="1"/>
  <c r="BV119" i="93"/>
  <c r="BV120" i="93" s="1"/>
  <c r="BA157" i="93"/>
  <c r="BA136" i="93"/>
  <c r="BA138" i="93" s="1"/>
  <c r="BW117" i="93" l="1"/>
  <c r="BW119" i="93" s="1"/>
  <c r="BV123" i="93"/>
  <c r="BV143" i="93" s="1"/>
  <c r="BV144" i="93" s="1"/>
  <c r="BA121" i="93"/>
  <c r="BA146" i="93" s="1"/>
  <c r="BA147" i="93" s="1"/>
  <c r="BW132" i="93" l="1"/>
  <c r="BW133" i="93" s="1"/>
  <c r="BW120" i="93"/>
  <c r="BA149" i="93"/>
  <c r="BA159" i="93" s="1"/>
  <c r="BA160" i="93" s="1"/>
  <c r="BA161" i="93" s="1"/>
  <c r="BA162" i="93" s="1"/>
  <c r="BB135" i="93"/>
  <c r="BW123" i="93" l="1"/>
  <c r="BX117" i="93"/>
  <c r="BB157" i="93"/>
  <c r="BB136" i="93"/>
  <c r="BB138" i="93" s="1"/>
  <c r="BW143" i="93" l="1"/>
  <c r="BW144" i="93" s="1"/>
  <c r="BX119" i="93"/>
  <c r="BX132" i="93"/>
  <c r="BX133" i="93" s="1"/>
  <c r="BB121" i="93"/>
  <c r="BB146" i="93" s="1"/>
  <c r="BB147" i="93" s="1"/>
  <c r="BX120" i="93" l="1"/>
  <c r="BY117" i="93" s="1"/>
  <c r="BB149" i="93"/>
  <c r="BB159" i="93" s="1"/>
  <c r="BB160" i="93" s="1"/>
  <c r="BB161" i="93" s="1"/>
  <c r="BB162" i="93" s="1"/>
  <c r="BC135" i="93"/>
  <c r="BX123" i="93" l="1"/>
  <c r="BY132" i="93"/>
  <c r="BY133" i="93" s="1"/>
  <c r="BY119" i="93"/>
  <c r="BY120" i="93" s="1"/>
  <c r="BC157" i="93"/>
  <c r="BC136" i="93"/>
  <c r="BC138" i="93" s="1"/>
  <c r="BZ117" i="93" l="1"/>
  <c r="BZ119" i="93" s="1"/>
  <c r="BY123" i="93"/>
  <c r="BX143" i="93"/>
  <c r="BX144" i="93" s="1"/>
  <c r="BC121" i="93"/>
  <c r="BC146" i="93" s="1"/>
  <c r="BC147" i="93" s="1"/>
  <c r="BZ132" i="93" l="1"/>
  <c r="BZ133" i="93" s="1"/>
  <c r="BZ120" i="93"/>
  <c r="BZ123" i="93" s="1"/>
  <c r="BY143" i="93"/>
  <c r="BY144" i="93" s="1"/>
  <c r="BC149" i="93"/>
  <c r="BC159" i="93" s="1"/>
  <c r="BC160" i="93" s="1"/>
  <c r="BC161" i="93" s="1"/>
  <c r="BC162" i="93" s="1"/>
  <c r="BD135" i="93"/>
  <c r="CA117" i="93" l="1"/>
  <c r="CA119" i="93" s="1"/>
  <c r="BZ143" i="93"/>
  <c r="BZ144" i="93" s="1"/>
  <c r="BD157" i="93"/>
  <c r="BD136" i="93"/>
  <c r="BD138" i="93" s="1"/>
  <c r="CA132" i="93" l="1"/>
  <c r="CA133" i="93" s="1"/>
  <c r="CA120" i="93"/>
  <c r="CB117" i="93" s="1"/>
  <c r="BD121" i="93"/>
  <c r="BD146" i="93" s="1"/>
  <c r="BD147" i="93" s="1"/>
  <c r="CA123" i="93" l="1"/>
  <c r="CB132" i="93"/>
  <c r="CB133" i="93" s="1"/>
  <c r="CB119" i="93"/>
  <c r="BD149" i="93"/>
  <c r="BD159" i="93" s="1"/>
  <c r="BD160" i="93" s="1"/>
  <c r="BD161" i="93" s="1"/>
  <c r="BD162" i="93" s="1"/>
  <c r="BE135" i="93"/>
  <c r="CA143" i="93" l="1"/>
  <c r="CA144" i="93" s="1"/>
  <c r="CB120" i="93"/>
  <c r="CB123" i="93" s="1"/>
  <c r="BE157" i="93"/>
  <c r="BE136" i="93"/>
  <c r="BE138" i="93" s="1"/>
  <c r="CC117" i="93" l="1"/>
  <c r="CC132" i="93" s="1"/>
  <c r="CC133" i="93" s="1"/>
  <c r="CB143" i="93"/>
  <c r="CB144" i="93" s="1"/>
  <c r="BE121" i="93"/>
  <c r="BE146" i="93" s="1"/>
  <c r="BE147" i="93" s="1"/>
  <c r="CC119" i="93" l="1"/>
  <c r="CC120" i="93" s="1"/>
  <c r="CC123" i="93" s="1"/>
  <c r="CC143" i="93" s="1"/>
  <c r="CC144" i="93" s="1"/>
  <c r="BE149" i="93"/>
  <c r="BE159" i="93" s="1"/>
  <c r="BE160" i="93" s="1"/>
  <c r="BE161" i="93" s="1"/>
  <c r="BE162" i="93" s="1"/>
  <c r="BF135" i="93"/>
  <c r="CD117" i="93" l="1"/>
  <c r="CD119" i="93" s="1"/>
  <c r="BF157" i="93"/>
  <c r="BF136" i="93"/>
  <c r="BF138" i="93" s="1"/>
  <c r="CD132" i="93" l="1"/>
  <c r="CD133" i="93" s="1"/>
  <c r="CD120" i="93"/>
  <c r="CE117" i="93" s="1"/>
  <c r="BF121" i="93"/>
  <c r="BF146" i="93" s="1"/>
  <c r="BF147" i="93" s="1"/>
  <c r="CD123" i="93" l="1"/>
  <c r="CE119" i="93"/>
  <c r="CE132" i="93"/>
  <c r="CE133" i="93" s="1"/>
  <c r="BF149" i="93"/>
  <c r="BF159" i="93" s="1"/>
  <c r="BF160" i="93" s="1"/>
  <c r="BF161" i="93" s="1"/>
  <c r="BF162" i="93" s="1"/>
  <c r="BG135" i="93"/>
  <c r="CD143" i="93" l="1"/>
  <c r="CD144" i="93" s="1"/>
  <c r="CE120" i="93"/>
  <c r="CE123" i="93" s="1"/>
  <c r="BG157" i="93"/>
  <c r="BG136" i="93"/>
  <c r="BG138" i="93" s="1"/>
  <c r="CF117" i="93" l="1"/>
  <c r="CF119" i="93" s="1"/>
  <c r="CE143" i="93"/>
  <c r="CE144" i="93" s="1"/>
  <c r="BG121" i="93"/>
  <c r="BG146" i="93" s="1"/>
  <c r="BG147" i="93" s="1"/>
  <c r="CF132" i="93" l="1"/>
  <c r="CF133" i="93" s="1"/>
  <c r="CF120" i="93"/>
  <c r="CF123" i="93" s="1"/>
  <c r="BG149" i="93"/>
  <c r="BG159" i="93" s="1"/>
  <c r="BG160" i="93" s="1"/>
  <c r="BG161" i="93" s="1"/>
  <c r="BG162" i="93" s="1"/>
  <c r="BH135" i="93"/>
  <c r="CG117" i="93" l="1"/>
  <c r="CG119" i="93" s="1"/>
  <c r="CF143" i="93"/>
  <c r="CF144" i="93" s="1"/>
  <c r="BH157" i="93"/>
  <c r="BH136" i="93"/>
  <c r="BH138" i="93" s="1"/>
  <c r="CG132" i="93" l="1"/>
  <c r="CG133" i="93" s="1"/>
  <c r="CG120" i="93"/>
  <c r="CH117" i="93" s="1"/>
  <c r="BH121" i="93"/>
  <c r="BH146" i="93" s="1"/>
  <c r="BH147" i="93" s="1"/>
  <c r="CG123" i="93" l="1"/>
  <c r="CH132" i="93"/>
  <c r="CH133" i="93" s="1"/>
  <c r="CH119" i="93"/>
  <c r="BH149" i="93"/>
  <c r="BH159" i="93" s="1"/>
  <c r="BH160" i="93" s="1"/>
  <c r="BH161" i="93" s="1"/>
  <c r="BH162" i="93" s="1"/>
  <c r="BI135" i="93"/>
  <c r="CG143" i="93" l="1"/>
  <c r="CG144" i="93" s="1"/>
  <c r="CH120" i="93"/>
  <c r="CH123" i="93" s="1"/>
  <c r="BI157" i="93"/>
  <c r="BI136" i="93"/>
  <c r="BI138" i="93" s="1"/>
  <c r="CI117" i="93" l="1"/>
  <c r="CI132" i="93" s="1"/>
  <c r="CI133" i="93" s="1"/>
  <c r="CH143" i="93"/>
  <c r="CH144" i="93" s="1"/>
  <c r="BI121" i="93"/>
  <c r="BI146" i="93" s="1"/>
  <c r="BI147" i="93" s="1"/>
  <c r="CI119" i="93" l="1"/>
  <c r="CI120" i="93" s="1"/>
  <c r="BI149" i="93"/>
  <c r="BI159" i="93" s="1"/>
  <c r="BI160" i="93" s="1"/>
  <c r="BI161" i="93" s="1"/>
  <c r="BI162" i="93" s="1"/>
  <c r="BJ135" i="93"/>
  <c r="CJ117" i="93" l="1"/>
  <c r="CJ119" i="93" s="1"/>
  <c r="CI123" i="93"/>
  <c r="BJ157" i="93"/>
  <c r="BJ136" i="93"/>
  <c r="BJ138" i="93" s="1"/>
  <c r="CJ132" i="93" l="1"/>
  <c r="CJ133" i="93" s="1"/>
  <c r="CI143" i="93"/>
  <c r="CI144" i="93" s="1"/>
  <c r="CJ120" i="93"/>
  <c r="CJ123" i="93" s="1"/>
  <c r="CJ143" i="93" s="1"/>
  <c r="CJ144" i="93" s="1"/>
  <c r="BJ121" i="93"/>
  <c r="BJ146" i="93" s="1"/>
  <c r="BJ147" i="93" s="1"/>
  <c r="CK117" i="93" l="1"/>
  <c r="CK132" i="93" s="1"/>
  <c r="CK133" i="93" s="1"/>
  <c r="BJ149" i="93"/>
  <c r="BJ159" i="93" s="1"/>
  <c r="BJ160" i="93" s="1"/>
  <c r="BJ161" i="93" s="1"/>
  <c r="BJ162" i="93" s="1"/>
  <c r="BK135" i="93"/>
  <c r="CK119" i="93" l="1"/>
  <c r="CK120" i="93" s="1"/>
  <c r="CK123" i="93" s="1"/>
  <c r="BK157" i="93"/>
  <c r="BK136" i="93"/>
  <c r="BK138" i="93" s="1"/>
  <c r="CK143" i="93" l="1"/>
  <c r="CK144" i="93" s="1"/>
  <c r="CL117" i="93"/>
  <c r="BK121" i="93"/>
  <c r="BK146" i="93" s="1"/>
  <c r="BK147" i="93" s="1"/>
  <c r="CL132" i="93" l="1"/>
  <c r="CL133" i="93" s="1"/>
  <c r="CL119" i="93"/>
  <c r="BK149" i="93"/>
  <c r="BK159" i="93" s="1"/>
  <c r="BK160" i="93" s="1"/>
  <c r="BK161" i="93" s="1"/>
  <c r="BK162" i="93" s="1"/>
  <c r="BL135" i="93"/>
  <c r="CL120" i="93" l="1"/>
  <c r="CM117" i="93" s="1"/>
  <c r="BL157" i="93"/>
  <c r="BL136" i="93"/>
  <c r="BL138" i="93" s="1"/>
  <c r="CL123" i="93" l="1"/>
  <c r="CL143" i="93" s="1"/>
  <c r="CL144" i="93" s="1"/>
  <c r="CM132" i="93"/>
  <c r="CM133" i="93" s="1"/>
  <c r="CM119" i="93"/>
  <c r="CM120" i="93" s="1"/>
  <c r="BL121" i="93"/>
  <c r="BL146" i="93" s="1"/>
  <c r="BL147" i="93" s="1"/>
  <c r="CN117" i="93" l="1"/>
  <c r="CN119" i="93" s="1"/>
  <c r="CM123" i="93"/>
  <c r="CM143" i="93" s="1"/>
  <c r="CM144" i="93" s="1"/>
  <c r="BL149" i="93"/>
  <c r="BL159" i="93" s="1"/>
  <c r="BL160" i="93" s="1"/>
  <c r="BL161" i="93" s="1"/>
  <c r="BL162" i="93" s="1"/>
  <c r="BM135" i="93"/>
  <c r="CN132" i="93" l="1"/>
  <c r="CN133" i="93" s="1"/>
  <c r="CN120" i="93"/>
  <c r="CO117" i="93" s="1"/>
  <c r="BM157" i="93"/>
  <c r="BM136" i="93"/>
  <c r="BM138" i="93" s="1"/>
  <c r="CN123" i="93" l="1"/>
  <c r="CO119" i="93"/>
  <c r="CO120" i="93" s="1"/>
  <c r="CO132" i="93"/>
  <c r="CO133" i="93" s="1"/>
  <c r="BM121" i="93"/>
  <c r="BM146" i="93" s="1"/>
  <c r="BM147" i="93" s="1"/>
  <c r="CP117" i="93" l="1"/>
  <c r="CP119" i="93" s="1"/>
  <c r="CO123" i="93"/>
  <c r="CN143" i="93"/>
  <c r="CN144" i="93" s="1"/>
  <c r="BM149" i="93"/>
  <c r="BM159" i="93" s="1"/>
  <c r="BM160" i="93" s="1"/>
  <c r="BM161" i="93" s="1"/>
  <c r="BM162" i="93" s="1"/>
  <c r="BN135" i="93"/>
  <c r="CP132" i="93" l="1"/>
  <c r="CP133" i="93" s="1"/>
  <c r="CP120" i="93"/>
  <c r="CP123" i="93" s="1"/>
  <c r="CO143" i="93"/>
  <c r="CO144" i="93" s="1"/>
  <c r="BN157" i="93"/>
  <c r="BN136" i="93"/>
  <c r="BN138" i="93" s="1"/>
  <c r="CQ117" i="93" l="1"/>
  <c r="CQ132" i="93" s="1"/>
  <c r="CQ133" i="93" s="1"/>
  <c r="CP143" i="93"/>
  <c r="CP144" i="93" s="1"/>
  <c r="BN121" i="93"/>
  <c r="BN146" i="93" s="1"/>
  <c r="BN147" i="93" s="1"/>
  <c r="CQ119" i="93" l="1"/>
  <c r="CQ120" i="93" s="1"/>
  <c r="CQ123" i="93" s="1"/>
  <c r="BN149" i="93"/>
  <c r="BN159" i="93" s="1"/>
  <c r="BN160" i="93" s="1"/>
  <c r="BN161" i="93" s="1"/>
  <c r="BN162" i="93" s="1"/>
  <c r="BO135" i="93"/>
  <c r="CR117" i="93" l="1"/>
  <c r="CR132" i="93" s="1"/>
  <c r="CR133" i="93" s="1"/>
  <c r="CQ143" i="93"/>
  <c r="CQ144" i="93" s="1"/>
  <c r="BO157" i="93"/>
  <c r="BO136" i="93"/>
  <c r="BO138" i="93" s="1"/>
  <c r="CR119" i="93" l="1"/>
  <c r="CR120" i="93" s="1"/>
  <c r="BO121" i="93"/>
  <c r="BO146" i="93" s="1"/>
  <c r="BO147" i="93" s="1"/>
  <c r="CR123" i="93" l="1"/>
  <c r="CR143" i="93" s="1"/>
  <c r="CR144" i="93" s="1"/>
  <c r="CS117" i="93"/>
  <c r="CS119" i="93" s="1"/>
  <c r="BO149" i="93"/>
  <c r="BO159" i="93" s="1"/>
  <c r="BO160" i="93" s="1"/>
  <c r="BO161" i="93" s="1"/>
  <c r="BO162" i="93" s="1"/>
  <c r="BP135" i="93"/>
  <c r="CS132" i="93" l="1"/>
  <c r="CS133" i="93" s="1"/>
  <c r="CS120" i="93"/>
  <c r="CS123" i="93" s="1"/>
  <c r="BP157" i="93"/>
  <c r="BP136" i="93"/>
  <c r="BP138" i="93" s="1"/>
  <c r="CT117" i="93" l="1"/>
  <c r="CT119" i="93" s="1"/>
  <c r="CS143" i="93"/>
  <c r="CS144" i="93" s="1"/>
  <c r="BP121" i="93"/>
  <c r="BP146" i="93" s="1"/>
  <c r="BP147" i="93" s="1"/>
  <c r="CT132" i="93" l="1"/>
  <c r="CT133" i="93" s="1"/>
  <c r="CT120" i="93"/>
  <c r="CT123" i="93" s="1"/>
  <c r="BP149" i="93"/>
  <c r="BP159" i="93" s="1"/>
  <c r="BP160" i="93" s="1"/>
  <c r="BP161" i="93" s="1"/>
  <c r="BP162" i="93" s="1"/>
  <c r="BQ135" i="93"/>
  <c r="CU117" i="93" l="1"/>
  <c r="CT143" i="93"/>
  <c r="CT144" i="93" s="1"/>
  <c r="BQ157" i="93"/>
  <c r="BQ136" i="93"/>
  <c r="BQ138" i="93" s="1"/>
  <c r="CU132" i="93" l="1"/>
  <c r="CU133" i="93" s="1"/>
  <c r="CU119" i="93"/>
  <c r="CU120" i="93" s="1"/>
  <c r="BQ121" i="93"/>
  <c r="BQ146" i="93" s="1"/>
  <c r="BQ147" i="93" s="1"/>
  <c r="CU123" i="93" l="1"/>
  <c r="CU143" i="93" s="1"/>
  <c r="CU144" i="93" s="1"/>
  <c r="CV117" i="93"/>
  <c r="BQ149" i="93"/>
  <c r="BQ159" i="93" s="1"/>
  <c r="BQ160" i="93" s="1"/>
  <c r="BQ161" i="93" s="1"/>
  <c r="BQ162" i="93" s="1"/>
  <c r="BR135" i="93"/>
  <c r="CV119" i="93" l="1"/>
  <c r="CV132" i="93"/>
  <c r="CV133" i="93" s="1"/>
  <c r="BR157" i="93"/>
  <c r="BR136" i="93"/>
  <c r="BR138" i="93" s="1"/>
  <c r="CV120" i="93" l="1"/>
  <c r="CV123" i="93" s="1"/>
  <c r="CV143" i="93" s="1"/>
  <c r="CV144" i="93" s="1"/>
  <c r="BR121" i="93"/>
  <c r="BR146" i="93" s="1"/>
  <c r="BR147" i="93" s="1"/>
  <c r="CW117" i="93" l="1"/>
  <c r="CW119" i="93" s="1"/>
  <c r="CW120" i="93" s="1"/>
  <c r="CW123" i="93" s="1"/>
  <c r="CW143" i="93" s="1"/>
  <c r="CW144" i="93" s="1"/>
  <c r="BR149" i="93"/>
  <c r="BR159" i="93" s="1"/>
  <c r="BR160" i="93" s="1"/>
  <c r="BR161" i="93" s="1"/>
  <c r="BR162" i="93" s="1"/>
  <c r="BS135" i="93"/>
  <c r="CW132" i="93" l="1"/>
  <c r="CW133" i="93" s="1"/>
  <c r="CX117" i="93"/>
  <c r="CX132" i="93" s="1"/>
  <c r="CX133" i="93" s="1"/>
  <c r="BS157" i="93"/>
  <c r="BS136" i="93"/>
  <c r="BS138" i="93" s="1"/>
  <c r="CX119" i="93" l="1"/>
  <c r="CX120" i="93" s="1"/>
  <c r="CX123" i="93" s="1"/>
  <c r="CX143" i="93" s="1"/>
  <c r="CX144" i="93" s="1"/>
  <c r="BS121" i="93"/>
  <c r="BS146" i="93" s="1"/>
  <c r="BS147" i="93" s="1"/>
  <c r="CY117" i="93" l="1"/>
  <c r="CY119" i="93" s="1"/>
  <c r="CY120" i="93" s="1"/>
  <c r="CZ117" i="93" s="1"/>
  <c r="BS149" i="93"/>
  <c r="BS159" i="93" s="1"/>
  <c r="BS160" i="93" s="1"/>
  <c r="BS161" i="93" s="1"/>
  <c r="BS162" i="93" s="1"/>
  <c r="BT135" i="93"/>
  <c r="CY132" i="93" l="1"/>
  <c r="CY133" i="93" s="1"/>
  <c r="CY123" i="93"/>
  <c r="CY143" i="93" s="1"/>
  <c r="CY144" i="93" s="1"/>
  <c r="CZ119" i="93"/>
  <c r="CZ132" i="93"/>
  <c r="CZ133" i="93" s="1"/>
  <c r="BT157" i="93"/>
  <c r="BT136" i="93"/>
  <c r="BT138" i="93" s="1"/>
  <c r="CZ120" i="93" l="1"/>
  <c r="CZ123" i="93" s="1"/>
  <c r="BT121" i="93"/>
  <c r="BT146" i="93" s="1"/>
  <c r="BT147" i="93" s="1"/>
  <c r="DA117" i="93" l="1"/>
  <c r="DA119" i="93" s="1"/>
  <c r="CZ143" i="93"/>
  <c r="CZ144" i="93" s="1"/>
  <c r="BT149" i="93"/>
  <c r="BT159" i="93" s="1"/>
  <c r="BT160" i="93" s="1"/>
  <c r="BT161" i="93" s="1"/>
  <c r="BT162" i="93" s="1"/>
  <c r="BU135" i="93"/>
  <c r="DA132" i="93" l="1"/>
  <c r="DA133" i="93" s="1"/>
  <c r="DA120" i="93"/>
  <c r="BU157" i="93"/>
  <c r="BU136" i="93"/>
  <c r="BU138" i="93" s="1"/>
  <c r="DA123" i="93" l="1"/>
  <c r="DB117" i="93"/>
  <c r="DB132" i="93" s="1"/>
  <c r="DB133" i="93" s="1"/>
  <c r="BU121" i="93"/>
  <c r="BU146" i="93" s="1"/>
  <c r="BU147" i="93" s="1"/>
  <c r="DB119" i="93" l="1"/>
  <c r="DB120" i="93" s="1"/>
  <c r="DB123" i="93" s="1"/>
  <c r="DA143" i="93"/>
  <c r="DA144" i="93" s="1"/>
  <c r="BU149" i="93"/>
  <c r="BU159" i="93" s="1"/>
  <c r="BU160" i="93" s="1"/>
  <c r="BU161" i="93" s="1"/>
  <c r="BU162" i="93" s="1"/>
  <c r="BV135" i="93"/>
  <c r="DC117" i="93" l="1"/>
  <c r="DC132" i="93" s="1"/>
  <c r="DC133" i="93" s="1"/>
  <c r="DB143" i="93"/>
  <c r="DB144" i="93" s="1"/>
  <c r="BV157" i="93"/>
  <c r="BV136" i="93"/>
  <c r="BV138" i="93" s="1"/>
  <c r="DC119" i="93" l="1"/>
  <c r="DC120" i="93" s="1"/>
  <c r="DD117" i="93" s="1"/>
  <c r="BV121" i="93"/>
  <c r="BV146" i="93" s="1"/>
  <c r="BV147" i="93" s="1"/>
  <c r="DC123" i="93" l="1"/>
  <c r="DD132" i="93"/>
  <c r="DD133" i="93" s="1"/>
  <c r="DD119" i="93"/>
  <c r="BV149" i="93"/>
  <c r="BV159" i="93" s="1"/>
  <c r="BV160" i="93" s="1"/>
  <c r="BV161" i="93" s="1"/>
  <c r="BV162" i="93" s="1"/>
  <c r="BW135" i="93"/>
  <c r="DC143" i="93" l="1"/>
  <c r="DC144" i="93" s="1"/>
  <c r="DD120" i="93"/>
  <c r="DE117" i="93" s="1"/>
  <c r="DE119" i="93" s="1"/>
  <c r="DE120" i="93" s="1"/>
  <c r="BW157" i="93"/>
  <c r="BW136" i="93"/>
  <c r="BW138" i="93" s="1"/>
  <c r="DE132" i="93" l="1"/>
  <c r="DE133" i="93" s="1"/>
  <c r="DD123" i="93"/>
  <c r="I120" i="93"/>
  <c r="I119" i="93"/>
  <c r="BW121" i="93"/>
  <c r="BW146" i="93" s="1"/>
  <c r="BW147" i="93" s="1"/>
  <c r="DE123" i="93" l="1"/>
  <c r="DE143" i="93" s="1"/>
  <c r="DE144" i="93" s="1"/>
  <c r="DD143" i="93"/>
  <c r="DD144" i="93" s="1"/>
  <c r="BW149" i="93"/>
  <c r="BW159" i="93" s="1"/>
  <c r="BW160" i="93" s="1"/>
  <c r="BW161" i="93" s="1"/>
  <c r="BW162" i="93" s="1"/>
  <c r="BX135" i="93"/>
  <c r="BX157" i="93" l="1"/>
  <c r="BX136" i="93"/>
  <c r="BX138" i="93" s="1"/>
  <c r="BX121" i="93" l="1"/>
  <c r="BX146" i="93" s="1"/>
  <c r="BX147" i="93" s="1"/>
  <c r="BX149" i="93" l="1"/>
  <c r="BX159" i="93" s="1"/>
  <c r="BX160" i="93" s="1"/>
  <c r="BX161" i="93" s="1"/>
  <c r="BX162" i="93" s="1"/>
  <c r="BY135" i="93"/>
  <c r="BY157" i="93" l="1"/>
  <c r="BY136" i="93"/>
  <c r="BY138" i="93" s="1"/>
  <c r="BY121" i="93" l="1"/>
  <c r="BY146" i="93" s="1"/>
  <c r="BY147" i="93" s="1"/>
  <c r="BY149" i="93" l="1"/>
  <c r="BY159" i="93" s="1"/>
  <c r="BY160" i="93" s="1"/>
  <c r="BY161" i="93" s="1"/>
  <c r="BY162" i="93" s="1"/>
  <c r="BZ135" i="93"/>
  <c r="BZ157" i="93" l="1"/>
  <c r="BZ136" i="93"/>
  <c r="BZ138" i="93" s="1"/>
  <c r="BZ121" i="93" l="1"/>
  <c r="BZ146" i="93" s="1"/>
  <c r="BZ147" i="93" s="1"/>
  <c r="BZ149" i="93" l="1"/>
  <c r="BZ159" i="93" s="1"/>
  <c r="BZ160" i="93" s="1"/>
  <c r="BZ161" i="93" s="1"/>
  <c r="BZ162" i="93" s="1"/>
  <c r="CA135" i="93"/>
  <c r="CA157" i="93" l="1"/>
  <c r="CA136" i="93"/>
  <c r="CA138" i="93" s="1"/>
  <c r="CA121" i="93" l="1"/>
  <c r="CA146" i="93" s="1"/>
  <c r="CA147" i="93" s="1"/>
  <c r="CA149" i="93" l="1"/>
  <c r="CA159" i="93" s="1"/>
  <c r="CA160" i="93" s="1"/>
  <c r="CA161" i="93" s="1"/>
  <c r="CA162" i="93" s="1"/>
  <c r="CB135" i="93"/>
  <c r="CB157" i="93" l="1"/>
  <c r="CB136" i="93"/>
  <c r="CB138" i="93" s="1"/>
  <c r="CB121" i="93" l="1"/>
  <c r="CB146" i="93" s="1"/>
  <c r="CB147" i="93" s="1"/>
  <c r="CB149" i="93" l="1"/>
  <c r="CB159" i="93" s="1"/>
  <c r="CB160" i="93" s="1"/>
  <c r="CB161" i="93" s="1"/>
  <c r="CB162" i="93" s="1"/>
  <c r="CC135" i="93"/>
  <c r="CC157" i="93" l="1"/>
  <c r="CC136" i="93"/>
  <c r="CC138" i="93" s="1"/>
  <c r="CC121" i="93" l="1"/>
  <c r="CC146" i="93" s="1"/>
  <c r="CC147" i="93" s="1"/>
  <c r="CC149" i="93" l="1"/>
  <c r="CC159" i="93" s="1"/>
  <c r="CC160" i="93" s="1"/>
  <c r="CC161" i="93" s="1"/>
  <c r="CC162" i="93" s="1"/>
  <c r="CD135" i="93"/>
  <c r="CD157" i="93" l="1"/>
  <c r="CD136" i="93"/>
  <c r="CD138" i="93" s="1"/>
  <c r="CD121" i="93" l="1"/>
  <c r="CD146" i="93" s="1"/>
  <c r="CD147" i="93" s="1"/>
  <c r="CD149" i="93" l="1"/>
  <c r="CD159" i="93" s="1"/>
  <c r="CD160" i="93" s="1"/>
  <c r="CD161" i="93" s="1"/>
  <c r="CD162" i="93" s="1"/>
  <c r="CE135" i="93"/>
  <c r="CE157" i="93" l="1"/>
  <c r="CE136" i="93"/>
  <c r="CE138" i="93" s="1"/>
  <c r="CE121" i="93" l="1"/>
  <c r="CE146" i="93" s="1"/>
  <c r="CE147" i="93" s="1"/>
  <c r="CE149" i="93" l="1"/>
  <c r="CE159" i="93" s="1"/>
  <c r="CE160" i="93" s="1"/>
  <c r="CE161" i="93" s="1"/>
  <c r="CE162" i="93" s="1"/>
  <c r="CF135" i="93"/>
  <c r="CF157" i="93" l="1"/>
  <c r="CF136" i="93"/>
  <c r="CF138" i="93" s="1"/>
  <c r="CF121" i="93" l="1"/>
  <c r="CF146" i="93" s="1"/>
  <c r="CF147" i="93" s="1"/>
  <c r="CF149" i="93" l="1"/>
  <c r="CF159" i="93" s="1"/>
  <c r="CF160" i="93" s="1"/>
  <c r="CF161" i="93" s="1"/>
  <c r="CF162" i="93" s="1"/>
  <c r="CG135" i="93"/>
  <c r="CG157" i="93" l="1"/>
  <c r="CG136" i="93"/>
  <c r="CG138" i="93" s="1"/>
  <c r="CG121" i="93" l="1"/>
  <c r="CG146" i="93" s="1"/>
  <c r="CG147" i="93" s="1"/>
  <c r="CG149" i="93" l="1"/>
  <c r="CG159" i="93" s="1"/>
  <c r="CG160" i="93" s="1"/>
  <c r="CG161" i="93" s="1"/>
  <c r="CG162" i="93" s="1"/>
  <c r="CH135" i="93"/>
  <c r="CH157" i="93" l="1"/>
  <c r="CH136" i="93"/>
  <c r="CH138" i="93" s="1"/>
  <c r="CH121" i="93" l="1"/>
  <c r="CH146" i="93" s="1"/>
  <c r="CH147" i="93" s="1"/>
  <c r="CH149" i="93" l="1"/>
  <c r="CH159" i="93" s="1"/>
  <c r="CH160" i="93" s="1"/>
  <c r="CH161" i="93" s="1"/>
  <c r="CH162" i="93" s="1"/>
  <c r="CI135" i="93"/>
  <c r="CI157" i="93" l="1"/>
  <c r="CI136" i="93"/>
  <c r="CI138" i="93" s="1"/>
  <c r="CI121" i="93" l="1"/>
  <c r="CI146" i="93" s="1"/>
  <c r="CI147" i="93" s="1"/>
  <c r="CI149" i="93" l="1"/>
  <c r="CI159" i="93" s="1"/>
  <c r="CI160" i="93" s="1"/>
  <c r="CI161" i="93" s="1"/>
  <c r="CI162" i="93" s="1"/>
  <c r="CJ135" i="93"/>
  <c r="CJ157" i="93" l="1"/>
  <c r="CJ136" i="93"/>
  <c r="CJ138" i="93" s="1"/>
  <c r="CJ121" i="93" l="1"/>
  <c r="CJ146" i="93" s="1"/>
  <c r="CJ147" i="93" s="1"/>
  <c r="CJ149" i="93" l="1"/>
  <c r="CJ159" i="93" s="1"/>
  <c r="CJ160" i="93" s="1"/>
  <c r="CJ161" i="93" s="1"/>
  <c r="CJ162" i="93" s="1"/>
  <c r="CK135" i="93"/>
  <c r="CK157" i="93" l="1"/>
  <c r="CK136" i="93"/>
  <c r="CK138" i="93" s="1"/>
  <c r="CK121" i="93" l="1"/>
  <c r="CK146" i="93" s="1"/>
  <c r="CK147" i="93" s="1"/>
  <c r="CK149" i="93" l="1"/>
  <c r="CK159" i="93" s="1"/>
  <c r="CK160" i="93" s="1"/>
  <c r="CK161" i="93" s="1"/>
  <c r="CK162" i="93" s="1"/>
  <c r="CL135" i="93"/>
  <c r="CL157" i="93" l="1"/>
  <c r="CL136" i="93"/>
  <c r="CL138" i="93" s="1"/>
  <c r="CL121" i="93" l="1"/>
  <c r="CL146" i="93" s="1"/>
  <c r="CL147" i="93" s="1"/>
  <c r="CL149" i="93" l="1"/>
  <c r="CL159" i="93" s="1"/>
  <c r="CL160" i="93" s="1"/>
  <c r="CL161" i="93" s="1"/>
  <c r="CL162" i="93" s="1"/>
  <c r="CM135" i="93"/>
  <c r="CM157" i="93" l="1"/>
  <c r="CM136" i="93"/>
  <c r="CM138" i="93" s="1"/>
  <c r="CM121" i="93" l="1"/>
  <c r="CM146" i="93" s="1"/>
  <c r="CM147" i="93" s="1"/>
  <c r="CM149" i="93" l="1"/>
  <c r="CM159" i="93" s="1"/>
  <c r="CM160" i="93" s="1"/>
  <c r="CM161" i="93" s="1"/>
  <c r="CM162" i="93" s="1"/>
  <c r="CN135" i="93"/>
  <c r="CN157" i="93" l="1"/>
  <c r="CN136" i="93"/>
  <c r="CN138" i="93" s="1"/>
  <c r="CN121" i="93" l="1"/>
  <c r="CN146" i="93" s="1"/>
  <c r="CN147" i="93" s="1"/>
  <c r="CN149" i="93" l="1"/>
  <c r="CN159" i="93" s="1"/>
  <c r="CN160" i="93" s="1"/>
  <c r="CN161" i="93" s="1"/>
  <c r="CN162" i="93" s="1"/>
  <c r="CO135" i="93"/>
  <c r="CO157" i="93" l="1"/>
  <c r="CO136" i="93"/>
  <c r="CO138" i="93" s="1"/>
  <c r="CO121" i="93" l="1"/>
  <c r="CO146" i="93" s="1"/>
  <c r="CO147" i="93" s="1"/>
  <c r="CO149" i="93" l="1"/>
  <c r="CO159" i="93" s="1"/>
  <c r="CO160" i="93" s="1"/>
  <c r="CO161" i="93" s="1"/>
  <c r="CO162" i="93" s="1"/>
  <c r="CP135" i="93"/>
  <c r="CP157" i="93" l="1"/>
  <c r="CP136" i="93"/>
  <c r="CP138" i="93" s="1"/>
  <c r="CP121" i="93" l="1"/>
  <c r="CP146" i="93" s="1"/>
  <c r="CP147" i="93" s="1"/>
  <c r="CP149" i="93" l="1"/>
  <c r="CP159" i="93" s="1"/>
  <c r="CP160" i="93" s="1"/>
  <c r="CP161" i="93" s="1"/>
  <c r="CP162" i="93" s="1"/>
  <c r="CQ135" i="93"/>
  <c r="CQ157" i="93" l="1"/>
  <c r="CQ136" i="93"/>
  <c r="CQ138" i="93" s="1"/>
  <c r="CQ121" i="93" l="1"/>
  <c r="CQ146" i="93" s="1"/>
  <c r="CQ147" i="93" s="1"/>
  <c r="CQ149" i="93" l="1"/>
  <c r="CQ159" i="93" s="1"/>
  <c r="CQ160" i="93" s="1"/>
  <c r="CQ161" i="93" s="1"/>
  <c r="CQ162" i="93" s="1"/>
  <c r="CR135" i="93"/>
  <c r="CR157" i="93" l="1"/>
  <c r="CR136" i="93"/>
  <c r="CR138" i="93" s="1"/>
  <c r="CR121" i="93" l="1"/>
  <c r="CR146" i="93" s="1"/>
  <c r="CR147" i="93" s="1"/>
  <c r="CR149" i="93" l="1"/>
  <c r="CR159" i="93" s="1"/>
  <c r="CR160" i="93" s="1"/>
  <c r="CR161" i="93" s="1"/>
  <c r="CR162" i="93" s="1"/>
  <c r="CS135" i="93"/>
  <c r="CS157" i="93" l="1"/>
  <c r="CS136" i="93"/>
  <c r="CS138" i="93" s="1"/>
  <c r="CS121" i="93" l="1"/>
  <c r="CS146" i="93" s="1"/>
  <c r="CS147" i="93" s="1"/>
  <c r="CS149" i="93" l="1"/>
  <c r="CS159" i="93" s="1"/>
  <c r="CS160" i="93" s="1"/>
  <c r="CS161" i="93" s="1"/>
  <c r="CS162" i="93" s="1"/>
  <c r="CT135" i="93"/>
  <c r="CT157" i="93" l="1"/>
  <c r="CT136" i="93"/>
  <c r="CT138" i="93" s="1"/>
  <c r="CT121" i="93" l="1"/>
  <c r="CT146" i="93" s="1"/>
  <c r="CT147" i="93" s="1"/>
  <c r="CT149" i="93" l="1"/>
  <c r="CT159" i="93" s="1"/>
  <c r="CT160" i="93" s="1"/>
  <c r="CT161" i="93" s="1"/>
  <c r="CT162" i="93" s="1"/>
  <c r="CU135" i="93"/>
  <c r="CU157" i="93" l="1"/>
  <c r="CU136" i="93"/>
  <c r="CU138" i="93" s="1"/>
  <c r="CU121" i="93" l="1"/>
  <c r="CU146" i="93" s="1"/>
  <c r="CU147" i="93" s="1"/>
  <c r="CU149" i="93" l="1"/>
  <c r="CU159" i="93" s="1"/>
  <c r="CU160" i="93" s="1"/>
  <c r="CU161" i="93" s="1"/>
  <c r="CU162" i="93" s="1"/>
  <c r="CV135" i="93"/>
  <c r="CV157" i="93" l="1"/>
  <c r="CV136" i="93"/>
  <c r="CV138" i="93" s="1"/>
  <c r="CV121" i="93" l="1"/>
  <c r="CV146" i="93" s="1"/>
  <c r="CV147" i="93" s="1"/>
  <c r="CV149" i="93" l="1"/>
  <c r="CV159" i="93" s="1"/>
  <c r="CV160" i="93" s="1"/>
  <c r="CV161" i="93" s="1"/>
  <c r="CV162" i="93" s="1"/>
  <c r="CW135" i="93"/>
  <c r="CW157" i="93" l="1"/>
  <c r="CW136" i="93"/>
  <c r="CW138" i="93" s="1"/>
  <c r="CW121" i="93" l="1"/>
  <c r="CW146" i="93" s="1"/>
  <c r="CW147" i="93" s="1"/>
  <c r="CW149" i="93" l="1"/>
  <c r="CW159" i="93" s="1"/>
  <c r="CW160" i="93" s="1"/>
  <c r="CW161" i="93" s="1"/>
  <c r="CW162" i="93" s="1"/>
  <c r="CX135" i="93"/>
  <c r="CX157" i="93" l="1"/>
  <c r="CX136" i="93"/>
  <c r="CX138" i="93" s="1"/>
  <c r="CX121" i="93" l="1"/>
  <c r="CX146" i="93" s="1"/>
  <c r="CX147" i="93" s="1"/>
  <c r="CX149" i="93" l="1"/>
  <c r="CX159" i="93" s="1"/>
  <c r="CX160" i="93" s="1"/>
  <c r="CX161" i="93" s="1"/>
  <c r="CX162" i="93" s="1"/>
  <c r="CY135" i="93"/>
  <c r="CY157" i="93" l="1"/>
  <c r="CY136" i="93"/>
  <c r="CY138" i="93" s="1"/>
  <c r="CY121" i="93" l="1"/>
  <c r="CY146" i="93" s="1"/>
  <c r="CY147" i="93" s="1"/>
  <c r="CY149" i="93" l="1"/>
  <c r="CY159" i="93" s="1"/>
  <c r="CY160" i="93" s="1"/>
  <c r="CY161" i="93" s="1"/>
  <c r="CY162" i="93" s="1"/>
  <c r="CZ135" i="93"/>
  <c r="CZ157" i="93" l="1"/>
  <c r="CZ136" i="93"/>
  <c r="CZ138" i="93" s="1"/>
  <c r="CZ121" i="93" l="1"/>
  <c r="CZ146" i="93" s="1"/>
  <c r="CZ147" i="93" s="1"/>
  <c r="CZ149" i="93" l="1"/>
  <c r="CZ159" i="93" s="1"/>
  <c r="CZ160" i="93" s="1"/>
  <c r="CZ161" i="93" s="1"/>
  <c r="CZ162" i="93" s="1"/>
  <c r="DA135" i="93"/>
  <c r="DA157" i="93" l="1"/>
  <c r="DA136" i="93"/>
  <c r="DA138" i="93" s="1"/>
  <c r="DA121" i="93" l="1"/>
  <c r="DA146" i="93" s="1"/>
  <c r="DA147" i="93" s="1"/>
  <c r="DA149" i="93" l="1"/>
  <c r="DA159" i="93" s="1"/>
  <c r="DA160" i="93" s="1"/>
  <c r="DA161" i="93" s="1"/>
  <c r="DA162" i="93" s="1"/>
  <c r="DB135" i="93"/>
  <c r="DB157" i="93" l="1"/>
  <c r="DB136" i="93"/>
  <c r="DB138" i="93" s="1"/>
  <c r="DB121" i="93" l="1"/>
  <c r="DB146" i="93" s="1"/>
  <c r="DB147" i="93" s="1"/>
  <c r="DB149" i="93" l="1"/>
  <c r="DB159" i="93" s="1"/>
  <c r="DB160" i="93" s="1"/>
  <c r="DB161" i="93" s="1"/>
  <c r="DB162" i="93" s="1"/>
  <c r="DC135" i="93"/>
  <c r="DC157" i="93" l="1"/>
  <c r="DC136" i="93"/>
  <c r="DC138" i="93" s="1"/>
  <c r="DC121" i="93" l="1"/>
  <c r="DC146" i="93" s="1"/>
  <c r="DC147" i="93" s="1"/>
  <c r="DC149" i="93" l="1"/>
  <c r="DC159" i="93" s="1"/>
  <c r="DC160" i="93" s="1"/>
  <c r="DC161" i="93" s="1"/>
  <c r="DC162" i="93" s="1"/>
  <c r="DD135" i="93"/>
  <c r="DD157" i="93" l="1"/>
  <c r="DD136" i="93"/>
  <c r="DD138" i="93" s="1"/>
  <c r="DD121" i="93" l="1"/>
  <c r="DD146" i="93" s="1"/>
  <c r="DD147" i="93" s="1"/>
  <c r="DD149" i="93" l="1"/>
  <c r="DD159" i="93" s="1"/>
  <c r="DD160" i="93" s="1"/>
  <c r="DD161" i="93" s="1"/>
  <c r="DD162" i="93" s="1"/>
  <c r="DE135" i="93"/>
  <c r="DE157" i="93" l="1"/>
  <c r="DE136" i="93"/>
  <c r="DE138" i="93" s="1"/>
  <c r="DE121" i="93" l="1"/>
  <c r="DE146" i="93" s="1"/>
  <c r="DE147" i="93" l="1"/>
  <c r="DE149" i="93" s="1"/>
  <c r="DE159" i="93" s="1"/>
  <c r="DE160" i="93" s="1"/>
  <c r="DE161" i="93" s="1"/>
  <c r="I159" i="93" l="1"/>
  <c r="DE162" i="93"/>
  <c r="I161" i="93"/>
  <c r="E164" i="93" s="1"/>
  <c r="E165" i="93" l="1"/>
  <c r="I162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tc={84006F9B-6611-0A43-9A51-9CBE30DDABF7}</author>
  </authors>
  <commentList>
    <comment ref="B55" authorId="0" shapeId="0" xr:uid="{84006F9B-6611-0A43-9A51-9CBE30DDABF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Company has not started to generate revenue so that I ignore the tax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tc={BF69892A-0989-F849-805A-0C15F1E9A60A}</author>
    <author>tc={BA69AB1F-9556-4C5F-A171-88C2688C3F32}</author>
    <author>tc={B20FC017-F8BF-4550-8F6B-4D6D3E48A316}</author>
    <author>tc={9F5A30DF-1EFA-482A-A347-084BDA6D21A4}</author>
    <author>tc={6B051102-FAAF-4865-A299-92C6580A9210}</author>
    <author>tc={0F1D30C9-E41B-4BDE-831C-A37DB0D6E9BA}</author>
  </authors>
  <commentList>
    <comment ref="C10" authorId="0" shapeId="0" xr:uid="{BF69892A-0989-F849-805A-0C15F1E9A60A}">
      <text>
        <t>[Threaded comment]
Your version of Excel allows you to read this threaded comment; however, any edits to it will get removed if the file is opened in a newer version of Excel. Learn more: https://go.microsoft.com/fwlink/?linkid=870924
Comment:
    It is for dynamic inflation</t>
      </text>
    </comment>
    <comment ref="C32" authorId="1" shapeId="0" xr:uid="{BA69AB1F-9556-4C5F-A171-88C2688C3F32}">
      <text>
        <t>[Threaded comment]
Your version of Excel allows you to read this threaded comment; however, any edits to it will get removed if the file is opened in a newer version of Excel. Learn more: https://go.microsoft.com/fwlink/?linkid=870924
Comment:
    Inflated by 95% based on 2021 pre-production cost of C$1.142B to 2024 reported pre-production capex of C$2.2B.</t>
      </text>
    </comment>
    <comment ref="G62" authorId="2" shapeId="0" xr:uid="{B20FC017-F8BF-4550-8F6B-4D6D3E48A316}">
      <text>
        <t>[Threaded comment]
Your version of Excel allows you to read this threaded comment; however, any edits to it will get removed if the file is opened in a newer version of Excel. Learn more: https://go.microsoft.com/fwlink/?linkid=870924
Comment:
    Spot long term contract price, as reported by Cameco</t>
      </text>
    </comment>
    <comment ref="C110" authorId="3" shapeId="0" xr:uid="{9F5A30DF-1EFA-482A-A347-084BDA6D21A4}">
      <text>
        <t>[Threaded comment]
Your version of Excel allows you to read this threaded comment; however, any edits to it will get removed if the file is opened in a newer version of Excel. Learn more: https://go.microsoft.com/fwlink/?linkid=870924
Comment:
    Inflated by 83% based on press release from 1 Aug 2024 (C$7.58/lb opex up to C$13.86/lb)</t>
      </text>
    </comment>
    <comment ref="C116" authorId="4" shapeId="0" xr:uid="{6B051102-FAAF-4865-A299-92C6580A9210}">
      <text>
        <t>[Threaded comment]
Your version of Excel allows you to read this threaded comment; however, any edits to it will get removed if the file is opened in a newer version of Excel. Learn more: https://go.microsoft.com/fwlink/?linkid=870924
Comment:
    Inflated based on C$362 in 2021 to $715M in 2024 ($785M inclusive of closure)</t>
      </text>
    </comment>
    <comment ref="C117" authorId="5" shapeId="0" xr:uid="{0F1D30C9-E41B-4BDE-831C-A37DB0D6E9BA}">
      <text>
        <t>[Threaded comment]
Your version of Excel allows you to read this threaded comment; however, any edits to it will get removed if the file is opened in a newer version of Excel. Learn more: https://go.microsoft.com/fwlink/?linkid=870924
Comment:
    Estimated based on new closure cost of C$70M (assumed to be net of salvage value) vs net C$53M previously</t>
      </text>
    </comment>
  </commentList>
</comments>
</file>

<file path=xl/sharedStrings.xml><?xml version="1.0" encoding="utf-8"?>
<sst xmlns="http://schemas.openxmlformats.org/spreadsheetml/2006/main" count="860" uniqueCount="396">
  <si>
    <t>USD</t>
  </si>
  <si>
    <t>Constants</t>
  </si>
  <si>
    <t>Days in Year</t>
  </si>
  <si>
    <t>Months per Year</t>
  </si>
  <si>
    <t>Quarters per Year</t>
  </si>
  <si>
    <t>Thousand</t>
  </si>
  <si>
    <t>Million</t>
  </si>
  <si>
    <t>Very Small Number</t>
  </si>
  <si>
    <t>Num#</t>
  </si>
  <si>
    <t>Months per Quarter</t>
  </si>
  <si>
    <t>Names &amp; Constants</t>
  </si>
  <si>
    <t>Gram to Oz (Troy)</t>
  </si>
  <si>
    <t>Timing</t>
  </si>
  <si>
    <t>Operations</t>
  </si>
  <si>
    <t>Yr(s)</t>
  </si>
  <si>
    <t>Counters</t>
  </si>
  <si>
    <t>Total</t>
  </si>
  <si>
    <t>Contingency</t>
  </si>
  <si>
    <t>%</t>
  </si>
  <si>
    <t>Mining</t>
  </si>
  <si>
    <t>Ore Mined</t>
  </si>
  <si>
    <t>Operational Expenditure</t>
  </si>
  <si>
    <t>[1,0]</t>
  </si>
  <si>
    <t>Depreciation</t>
  </si>
  <si>
    <t>Tax</t>
  </si>
  <si>
    <t>Project Overview</t>
  </si>
  <si>
    <t>Summary Economic Results</t>
  </si>
  <si>
    <t>LOM Realized Pricing</t>
  </si>
  <si>
    <t>LOM Mining</t>
  </si>
  <si>
    <t>LOM Processing</t>
  </si>
  <si>
    <t>LOM Operating Costs</t>
  </si>
  <si>
    <t>Project</t>
  </si>
  <si>
    <t>Total Revenue</t>
  </si>
  <si>
    <t>Total Opex</t>
  </si>
  <si>
    <t>Operating Margin</t>
  </si>
  <si>
    <t>Operating Margin Ratio</t>
  </si>
  <si>
    <t>Taxes Paid</t>
  </si>
  <si>
    <t>Free Cashflow</t>
  </si>
  <si>
    <t>Pre-Production CAPEX</t>
  </si>
  <si>
    <t>Sustaining CAPEX</t>
  </si>
  <si>
    <t>Total LOM CAPEX</t>
  </si>
  <si>
    <t>Before Tax</t>
  </si>
  <si>
    <t>After Tax</t>
  </si>
  <si>
    <t>Free Cash Flow</t>
  </si>
  <si>
    <t>IRR</t>
  </si>
  <si>
    <t>Payback</t>
  </si>
  <si>
    <t>Construction Period</t>
  </si>
  <si>
    <t>Operations Period</t>
  </si>
  <si>
    <t>Total Ore Mined</t>
  </si>
  <si>
    <t>tonnes</t>
  </si>
  <si>
    <t>Total Waste Mined</t>
  </si>
  <si>
    <t>Total Material Mined</t>
  </si>
  <si>
    <t>LOM C1 Cost</t>
  </si>
  <si>
    <t>Initial Capital</t>
  </si>
  <si>
    <t>Lbs per Tonne</t>
  </si>
  <si>
    <t>Balance B/f</t>
  </si>
  <si>
    <t>Balance C/f</t>
  </si>
  <si>
    <t>Discount Rate</t>
  </si>
  <si>
    <t>Interest Income</t>
  </si>
  <si>
    <t>Capital Costs</t>
  </si>
  <si>
    <t>Tax Paid</t>
  </si>
  <si>
    <t>Net Cashflow</t>
  </si>
  <si>
    <t>Cash Balance B/f</t>
  </si>
  <si>
    <t>Cash Balance C/f</t>
  </si>
  <si>
    <t>Revenue</t>
  </si>
  <si>
    <t>Opex</t>
  </si>
  <si>
    <t>EBITDA</t>
  </si>
  <si>
    <t>EBIT</t>
  </si>
  <si>
    <t>Tax Payable</t>
  </si>
  <si>
    <t>Additions</t>
  </si>
  <si>
    <t>Taxable Income</t>
  </si>
  <si>
    <t>Sustaining Capital</t>
  </si>
  <si>
    <t>Operating Costs</t>
  </si>
  <si>
    <t>Waste Mined</t>
  </si>
  <si>
    <t>LOM Cash Flow (unfinanced)</t>
  </si>
  <si>
    <t>LOM Capital (excl. financing cost)</t>
  </si>
  <si>
    <t>Processing</t>
  </si>
  <si>
    <t>Mining Cost</t>
  </si>
  <si>
    <t>Processing Cost</t>
  </si>
  <si>
    <t>Variable Mining Cost</t>
  </si>
  <si>
    <t>Total Mining Cost</t>
  </si>
  <si>
    <t>Variable Processing Cost</t>
  </si>
  <si>
    <t>Total Processing Cost</t>
  </si>
  <si>
    <t>Operating Cost</t>
  </si>
  <si>
    <t>Cash Flow Model</t>
  </si>
  <si>
    <t>Model Year</t>
  </si>
  <si>
    <t>Operations Flag</t>
  </si>
  <si>
    <t>Material Processed</t>
  </si>
  <si>
    <t>Total Provisional Revenue</t>
  </si>
  <si>
    <t>Net Smelter Revenue</t>
  </si>
  <si>
    <t>Construction Flag</t>
  </si>
  <si>
    <t>Length (yrs)</t>
  </si>
  <si>
    <t>General and Administrative</t>
  </si>
  <si>
    <t>Fixed G&amp;A Cost</t>
  </si>
  <si>
    <t>Total G&amp;A Cost</t>
  </si>
  <si>
    <t>Operating Cost Summary</t>
  </si>
  <si>
    <t>Fixed Operating Costs</t>
  </si>
  <si>
    <t>Variable Operating Costs</t>
  </si>
  <si>
    <t>Owner's Costs</t>
  </si>
  <si>
    <t>Total Capital</t>
  </si>
  <si>
    <t>Cashflow Before Tax</t>
  </si>
  <si>
    <t>Cash Flow Waterfall</t>
  </si>
  <si>
    <t>Capital Expenditures</t>
  </si>
  <si>
    <t>Depreciation Period</t>
  </si>
  <si>
    <t>Capital Pool</t>
  </si>
  <si>
    <t>Initial Capital Pool</t>
  </si>
  <si>
    <t>Capital Profile for Depreciation</t>
  </si>
  <si>
    <t>Depreciation Table</t>
  </si>
  <si>
    <t>Yrs</t>
  </si>
  <si>
    <t>Depreciation Profile</t>
  </si>
  <si>
    <t>Capital Available for Depreciation</t>
  </si>
  <si>
    <t>Depreciation Available</t>
  </si>
  <si>
    <t>Tax Rate</t>
  </si>
  <si>
    <t>Metrics</t>
  </si>
  <si>
    <t>Payback Occurs</t>
  </si>
  <si>
    <t>Pre-payback</t>
  </si>
  <si>
    <t>Payback Time</t>
  </si>
  <si>
    <t>G&amp;A Cost</t>
  </si>
  <si>
    <t>Net Present Value (After Tax)</t>
  </si>
  <si>
    <t>Net Present Value (Before Tax)</t>
  </si>
  <si>
    <t>Evaluation Cash Flow</t>
  </si>
  <si>
    <t xml:space="preserve">C1 Cost </t>
  </si>
  <si>
    <t>C1 Costs</t>
  </si>
  <si>
    <t>Initial Capital per Ounce</t>
  </si>
  <si>
    <t>Cumlative Capital</t>
  </si>
  <si>
    <t>Total Sustaining Capital</t>
  </si>
  <si>
    <t>Taxes</t>
  </si>
  <si>
    <t>Financials and Metrics</t>
  </si>
  <si>
    <t>Other Metrics</t>
  </si>
  <si>
    <t>tons</t>
  </si>
  <si>
    <t>Lbs per Ton</t>
  </si>
  <si>
    <t>lbs</t>
  </si>
  <si>
    <t>USD/lb</t>
  </si>
  <si>
    <t>Royalties</t>
  </si>
  <si>
    <t>Royalty Basis</t>
  </si>
  <si>
    <t>Royalty Payable</t>
  </si>
  <si>
    <t>Royalty</t>
  </si>
  <si>
    <t>Total Opex and Royalty</t>
  </si>
  <si>
    <t>Indirect Costs</t>
  </si>
  <si>
    <t>Site Development</t>
  </si>
  <si>
    <t>On Site / Off Site Infrastructure</t>
  </si>
  <si>
    <t>Uranium Grade Mined</t>
  </si>
  <si>
    <t>Uranium Price</t>
  </si>
  <si>
    <t>Uranium Mined</t>
  </si>
  <si>
    <t>Uranium Recovery</t>
  </si>
  <si>
    <t>Uranium Recovered</t>
  </si>
  <si>
    <t>Product</t>
  </si>
  <si>
    <t>Uranium</t>
  </si>
  <si>
    <t>Contained Uranium</t>
  </si>
  <si>
    <t>Provisional Uranium Revenue</t>
  </si>
  <si>
    <t>Uranium Revenue</t>
  </si>
  <si>
    <t>Grade Processed</t>
  </si>
  <si>
    <t>Tailings Facility and Paste Plant</t>
  </si>
  <si>
    <t>Variable TF&amp;P Cost</t>
  </si>
  <si>
    <t>Total TF&amp;P Cost</t>
  </si>
  <si>
    <t>General Sustaining Capital</t>
  </si>
  <si>
    <t>Average Mined Uranium Grade</t>
  </si>
  <si>
    <t>Contained Uranium Mined</t>
  </si>
  <si>
    <t>Mlbs</t>
  </si>
  <si>
    <t>Average Feed Grade (Uranium)</t>
  </si>
  <si>
    <t>Tailings Facility &amp; Paste Cost</t>
  </si>
  <si>
    <t>LOM C2 Cost</t>
  </si>
  <si>
    <t>LOM C3 Cost</t>
  </si>
  <si>
    <t>Gross Revenue Royalty</t>
  </si>
  <si>
    <t>Gross Revenue Royalty (SK)</t>
  </si>
  <si>
    <t>FX Rates</t>
  </si>
  <si>
    <t>USD:CAD</t>
  </si>
  <si>
    <t>CAD</t>
  </si>
  <si>
    <t>CAD/t processed</t>
  </si>
  <si>
    <t>CAD/a</t>
  </si>
  <si>
    <t>Post Closure</t>
  </si>
  <si>
    <t>Salvage</t>
  </si>
  <si>
    <t>Expenditure Profile</t>
  </si>
  <si>
    <t>% of Total</t>
  </si>
  <si>
    <t>Uranium Sold</t>
  </si>
  <si>
    <t>C3 Cost</t>
  </si>
  <si>
    <t>C2 Costs</t>
  </si>
  <si>
    <t>Profit Royalty</t>
  </si>
  <si>
    <t>Profit per kg YC</t>
  </si>
  <si>
    <t>Revenue per kg YC</t>
  </si>
  <si>
    <t>Royalty Rate Threshold</t>
  </si>
  <si>
    <t>CAD/kg</t>
  </si>
  <si>
    <t>YC produced</t>
  </si>
  <si>
    <t>kg</t>
  </si>
  <si>
    <t>Cost</t>
  </si>
  <si>
    <t>Lbs per kg</t>
  </si>
  <si>
    <t>Royalty Rate below Threshold</t>
  </si>
  <si>
    <t>Royalty Rate Above Threshold</t>
  </si>
  <si>
    <t>Amount Subject to Royalty Rate 1</t>
  </si>
  <si>
    <t>Royalty 1 Due</t>
  </si>
  <si>
    <t>Amount Subject to Royalty Rate 2</t>
  </si>
  <si>
    <t>Royalty 2 Due</t>
  </si>
  <si>
    <t>Yellowcake U3O8 Content</t>
  </si>
  <si>
    <t xml:space="preserve">Uranium Produced </t>
  </si>
  <si>
    <t>Op Cost per kg YC</t>
  </si>
  <si>
    <t>Depreciation Cost per kg YC</t>
  </si>
  <si>
    <t>Profits Royalty Paid</t>
  </si>
  <si>
    <t>Debt</t>
  </si>
  <si>
    <t>Debt Flag</t>
  </si>
  <si>
    <t>Debt Repayment Flag</t>
  </si>
  <si>
    <t>Debt Service Calculations</t>
  </si>
  <si>
    <t>Cash Flow Available for Debt Service</t>
  </si>
  <si>
    <t>CFADS</t>
  </si>
  <si>
    <t>Debt Assumptions</t>
  </si>
  <si>
    <t>Funding Requirement</t>
  </si>
  <si>
    <t>Repayment</t>
  </si>
  <si>
    <t>Years</t>
  </si>
  <si>
    <t>Repayment Delay</t>
  </si>
  <si>
    <t>Interest Rate</t>
  </si>
  <si>
    <t>Debt Fees</t>
  </si>
  <si>
    <t>Debt Opening Balance</t>
  </si>
  <si>
    <t>Principal Draw Down</t>
  </si>
  <si>
    <t>Principal Repayment</t>
  </si>
  <si>
    <t>Debt Closing Balance</t>
  </si>
  <si>
    <t>Interest Payment</t>
  </si>
  <si>
    <t>Loan Establishment Fees</t>
  </si>
  <si>
    <t>Total Debt Service</t>
  </si>
  <si>
    <t>Debt Ratios</t>
  </si>
  <si>
    <t>Loan Life Ratio</t>
  </si>
  <si>
    <t>Project Life Ratio</t>
  </si>
  <si>
    <t>Debt Service Coverage Ratio</t>
  </si>
  <si>
    <t>Reserve Tail</t>
  </si>
  <si>
    <t>Debt Ratios Compliance</t>
  </si>
  <si>
    <t>Loan Life Ratio ( &gt; 1.75)</t>
  </si>
  <si>
    <t>Project Life Ratio (&gt; 2.5)</t>
  </si>
  <si>
    <t>Cash Flow / Debt Service Ratio (&gt; 1.5)</t>
  </si>
  <si>
    <t>Value of Remaining Reserves / Value of Initial Reserves (&gt; 30%)</t>
  </si>
  <si>
    <t>Corporate CF</t>
  </si>
  <si>
    <t>Corporate Cash Flows</t>
  </si>
  <si>
    <t>Financing Requirements</t>
  </si>
  <si>
    <t>Financing Required</t>
  </si>
  <si>
    <t>Project Cash Flow pre-Financing</t>
  </si>
  <si>
    <t>Debt Interest Payments</t>
  </si>
  <si>
    <t>Debt Interest Tax Savings</t>
  </si>
  <si>
    <t>Project Debt</t>
  </si>
  <si>
    <t>Project Cash Flow post-Debt</t>
  </si>
  <si>
    <t>Tax Savings Corp G&amp;A</t>
  </si>
  <si>
    <t>% Project Sold</t>
  </si>
  <si>
    <t>Minority Partner Discount Rate Utilized</t>
  </si>
  <si>
    <t>Project NPV Post Debt Financing</t>
  </si>
  <si>
    <t>Minority Partner Project Valuation</t>
  </si>
  <si>
    <t>Minority Partner Purchase Price</t>
  </si>
  <si>
    <t>Closing Cash Balance Post-Stream Sale</t>
  </si>
  <si>
    <t>NAV pre-Equity Financing</t>
  </si>
  <si>
    <t>Discount Rate for Corporate NPV Calc</t>
  </si>
  <si>
    <t>Corporate NPV @ 8% pre-Equity Financing</t>
  </si>
  <si>
    <t>Other assets</t>
  </si>
  <si>
    <t>Fully Diluted Number of Shares Outstanding pre-Equity Financing</t>
  </si>
  <si>
    <t>Shares Outstanding Beginning of Year</t>
  </si>
  <si>
    <t>In the Money Options/Warrants Outstanding</t>
  </si>
  <si>
    <t>Corporate NPV @ 8% (US$/share)</t>
  </si>
  <si>
    <t>Equity Financing NPV Multiple</t>
  </si>
  <si>
    <t>Multiplier</t>
  </si>
  <si>
    <t>Equity Financing Share Price</t>
  </si>
  <si>
    <t>Current Share Price</t>
  </si>
  <si>
    <t>Premium / Discount to Current Share Price</t>
  </si>
  <si>
    <t>Minimum Cash Balance Targeted</t>
  </si>
  <si>
    <t>Equity Financing Amount Raised</t>
  </si>
  <si>
    <t>Equity Financing # of Shares Issued</t>
  </si>
  <si>
    <t>Closing Cash Balance Post-Equity Raise</t>
  </si>
  <si>
    <t>Corporate Valuation Discount Rate</t>
  </si>
  <si>
    <t>Corporate NPV @ 8%</t>
  </si>
  <si>
    <t>Cash Balance</t>
  </si>
  <si>
    <t>Corporate NAV</t>
  </si>
  <si>
    <t>Shares Outstanding</t>
  </si>
  <si>
    <t>NAV/Share</t>
  </si>
  <si>
    <t>Debt Financing</t>
  </si>
  <si>
    <t>Corporate G&amp;A</t>
  </si>
  <si>
    <t>Corporate Cash Flow / (Shortfall) pre-Equity Financing</t>
  </si>
  <si>
    <t>Minority Interest Sale</t>
  </si>
  <si>
    <t>Corporate Cash Flow / (Shortfall) pre-Equity / JV / Stream Financing</t>
  </si>
  <si>
    <t>Stream Financing</t>
  </si>
  <si>
    <t>Stream Sale Proceeds</t>
  </si>
  <si>
    <t>Stream Establishment Cost</t>
  </si>
  <si>
    <t>Stream Payable Upon Delivery (% of Spot Price)</t>
  </si>
  <si>
    <t>Equity Financing</t>
  </si>
  <si>
    <t>Corporate Cash Flow / (Shortfall)</t>
  </si>
  <si>
    <t>Equity Value</t>
  </si>
  <si>
    <t>Stream % of Uranium Sales</t>
  </si>
  <si>
    <t>Stream Payments (Assumes JV partner does not participate in stream sale)</t>
  </si>
  <si>
    <t>Assumptions</t>
  </si>
  <si>
    <t>Scenario Manager</t>
  </si>
  <si>
    <t>Case Selector</t>
  </si>
  <si>
    <t>Active</t>
  </si>
  <si>
    <t>Base Case</t>
  </si>
  <si>
    <t>x</t>
  </si>
  <si>
    <t>Capital Cost Flex</t>
  </si>
  <si>
    <t>Y*(1+X%)</t>
  </si>
  <si>
    <t>Processing Recovery Flex</t>
  </si>
  <si>
    <t>Commodity Price Flex</t>
  </si>
  <si>
    <t>Royalty Rate Flex</t>
  </si>
  <si>
    <t>Flex</t>
  </si>
  <si>
    <t>Fixed G&amp;A Cost Flex</t>
  </si>
  <si>
    <t>Capex</t>
  </si>
  <si>
    <t>Capex (Flexed)</t>
  </si>
  <si>
    <t>FX Rate Flex</t>
  </si>
  <si>
    <t>CAD/lb U3O8</t>
  </si>
  <si>
    <t>CAD/lb</t>
  </si>
  <si>
    <t>C2 Cost</t>
  </si>
  <si>
    <t xml:space="preserve">Depreciation </t>
  </si>
  <si>
    <t>Royaltes &amp; Profit Taxes</t>
  </si>
  <si>
    <t>Fixed Mining Cost</t>
  </si>
  <si>
    <t>Fixed Processing Cost</t>
  </si>
  <si>
    <t>Mining Cost Flex</t>
  </si>
  <si>
    <t>Processing Cost Flex</t>
  </si>
  <si>
    <t>Fixed TF&amp;P Cost</t>
  </si>
  <si>
    <t>TF&amp;P Cost Flex</t>
  </si>
  <si>
    <t>Total Operating Costs (2021)</t>
  </si>
  <si>
    <t>Total Operating Costs (2024)</t>
  </si>
  <si>
    <t>Sustaining Capex Update (2024)</t>
  </si>
  <si>
    <t>Net Closure Cost Update (2024)</t>
  </si>
  <si>
    <t>Total Capital (2021)</t>
  </si>
  <si>
    <t>Total Capital (2024)</t>
  </si>
  <si>
    <t>Pre-Production</t>
  </si>
  <si>
    <t xml:space="preserve">C2 Cost </t>
  </si>
  <si>
    <t xml:space="preserve">C3 Cost </t>
  </si>
  <si>
    <t>Opening Cash Balance pre-Equity / JV / Stream Financing</t>
  </si>
  <si>
    <t>Minority Partner Sale Fees</t>
  </si>
  <si>
    <t>Premium / (Discount) to Project Valuation</t>
  </si>
  <si>
    <t>Equity Return</t>
  </si>
  <si>
    <t>Invested Amount</t>
  </si>
  <si>
    <t>Shares Purchased</t>
  </si>
  <si>
    <t>Shares Sold</t>
  </si>
  <si>
    <t>Fee for Share Sales</t>
  </si>
  <si>
    <t>Premium / (Discount) to Share Price for Sale</t>
  </si>
  <si>
    <t>Share Sale Gross Value</t>
  </si>
  <si>
    <t>P/NAV Multiplier (Public Market Multiple)</t>
  </si>
  <si>
    <t>Equity Investment Cash Flow Profile (Pre-Tax)</t>
  </si>
  <si>
    <t>Net Share Sale Value (Pre-Tax)</t>
  </si>
  <si>
    <t>Equity Return Multiple</t>
  </si>
  <si>
    <t>Equity Return IRR</t>
  </si>
  <si>
    <t>% Corporate Ownership</t>
  </si>
  <si>
    <t>Shares Remaining</t>
  </si>
  <si>
    <t>Stream Return</t>
  </si>
  <si>
    <t>Net Stream Cash Flow (Pre-Tax)</t>
  </si>
  <si>
    <t>Stream IRR (Pre-Tax)</t>
  </si>
  <si>
    <t>Stream NPV (8% Discount Rate, Pre-Tax)</t>
  </si>
  <si>
    <t>Minority Interest Return</t>
  </si>
  <si>
    <t>Net Minority Interest Cash Flow (After-tax)</t>
  </si>
  <si>
    <t>Minority Partner IRR (After-Tax)</t>
  </si>
  <si>
    <t>Minority Partner NPV (8% Discount Rate, After-Tax)</t>
  </si>
  <si>
    <t>Project Debt Return</t>
  </si>
  <si>
    <t>Debt NPV (8% Discount Rate, Pre-Tax)</t>
  </si>
  <si>
    <t>Debt IRR (Pre-Tax)</t>
  </si>
  <si>
    <t>Project Debt Net Cash Flow (Pre-Tax)</t>
  </si>
  <si>
    <t>Debt % of Funding Required</t>
  </si>
  <si>
    <t>Processed Grade Flex</t>
  </si>
  <si>
    <t>Uranium Recovered (From FS)</t>
  </si>
  <si>
    <t>Uranium Recovered (Calculated w/Sensitivities)</t>
  </si>
  <si>
    <t>Uranium Recovery (fixed)</t>
  </si>
  <si>
    <t>Uranium Recovery (sensitivity)</t>
  </si>
  <si>
    <t>Initial Project Equity Financing</t>
  </si>
  <si>
    <t>Initial Project Equity Financing Cost</t>
  </si>
  <si>
    <t>Supplemental Project Equity Financing</t>
  </si>
  <si>
    <t>Supplemental Project Equity Financing Cost</t>
  </si>
  <si>
    <t>Closing Cash Balance Post-Supplemental Equity</t>
  </si>
  <si>
    <t>Supplemental Project Equity Shares Issued</t>
  </si>
  <si>
    <t>Forecast Share Price (Pre-Supplemental Equity Issue)</t>
  </si>
  <si>
    <t>Pre-Supplemental Equity Financing</t>
  </si>
  <si>
    <t>Post-Supplemental Equity Financing</t>
  </si>
  <si>
    <t>+ Years</t>
  </si>
  <si>
    <t>Mine Life Extension</t>
  </si>
  <si>
    <t>CAD/t mined</t>
  </si>
  <si>
    <t>Variable Mining Cost (reported)</t>
  </si>
  <si>
    <t>Variable Mining Cost (more appropriate)</t>
  </si>
  <si>
    <t>Inflation</t>
  </si>
  <si>
    <t>Net Smelter Revenue Growth (%)</t>
  </si>
  <si>
    <t>Total Operating Cost Growth (%)</t>
  </si>
  <si>
    <t>-</t>
  </si>
  <si>
    <t>Estimate the Cost of Equity</t>
  </si>
  <si>
    <t>Beta</t>
  </si>
  <si>
    <t>Risk-free Rate (Rf)</t>
  </si>
  <si>
    <t>Expected return of market (Rm)</t>
  </si>
  <si>
    <t>Market Risk Premium (Rm - Rf)</t>
  </si>
  <si>
    <t>Estimate the Cost of Debt</t>
  </si>
  <si>
    <t>Debt Yield</t>
  </si>
  <si>
    <t>Capital Structure</t>
  </si>
  <si>
    <t>Debt Value</t>
  </si>
  <si>
    <t>E/V</t>
  </si>
  <si>
    <t>D/V</t>
  </si>
  <si>
    <t>WACC</t>
  </si>
  <si>
    <t>Effective Tax Rate</t>
  </si>
  <si>
    <t>Cumulative FCFE</t>
  </si>
  <si>
    <t>Operating Profit After Tax</t>
  </si>
  <si>
    <t>Operating Cash Flow</t>
  </si>
  <si>
    <t>FCFF</t>
  </si>
  <si>
    <t>Net Debt Flows</t>
  </si>
  <si>
    <t>FCFE</t>
  </si>
  <si>
    <t>NPV@5%</t>
  </si>
  <si>
    <t>NPV@8%</t>
  </si>
  <si>
    <t>Best Case</t>
  </si>
  <si>
    <t>Worst Case</t>
  </si>
  <si>
    <t>Stress Test For Each Variable</t>
  </si>
  <si>
    <t>DFC VALUATION</t>
  </si>
  <si>
    <t>Change in WC</t>
  </si>
  <si>
    <t xml:space="preserve"> NPV @10%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</si>
</sst>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00000_);_(* \(#,##0.00000000\);_(* &quot;-&quot;??_);_(@_)"/>
    <numFmt numFmtId="166" formatCode="#,##0_-;\ \(#,##0\);_-* &quot;-&quot;??;_-@_-"/>
    <numFmt numFmtId="167" formatCode="0.00\ &quot;x&quot;"/>
    <numFmt numFmtId="168" formatCode="&quot;Warning&quot;;&quot;Warning&quot;;&quot;OK&quot;"/>
    <numFmt numFmtId="169" formatCode="0\ &quot;Qtr(s)&quot;"/>
    <numFmt numFmtId="170" formatCode="0\ &quot;Yr(s)&quot;"/>
    <numFmt numFmtId="171" formatCode="_(* #,##0.00%_);_(* \(#,##0.00%\);_(* &quot;-&quot;??_);_(@_)"/>
    <numFmt numFmtId="172" formatCode="&quot;Op Yr&quot;\ 0"/>
    <numFmt numFmtId="173" formatCode="_(* #,##0%_);_(* \(#,##0%\);_(* &quot;-&quot;??_);_(@_)"/>
    <numFmt numFmtId="174" formatCode="_(* #,##0%_);_(* \(#,##0%\);_(* &quot;-&quot;_);_(@_)"/>
    <numFmt numFmtId="175" formatCode="_(* #,##0.0%_);_(* \(#,##0.0%\);_(* &quot;-&quot;??_);_(@_)"/>
    <numFmt numFmtId="176" formatCode="0.0%"/>
    <numFmt numFmtId="177" formatCode="_(&quot;$&quot;* #,##0.000_);_(&quot;$&quot;* \(#,##0.000\);_(&quot;$&quot;* &quot;-&quot;??_);_(@_)"/>
    <numFmt numFmtId="178" formatCode="&quot;$&quot;#,##0"/>
    <numFmt numFmtId="179" formatCode="_(&quot;$&quot;* #,##0_);_(&quot;$&quot;* \(#,##0\);_(&quot;$&quot;* &quot;-&quot;??_);_(@_)"/>
    <numFmt numFmtId="180" formatCode="0.0"/>
  </numFmts>
  <fonts count="46" x14ac:knownFonts="1">
    <font>
      <sz val="10"/>
      <name val="Arial"/>
    </font>
    <font>
      <sz val="10"/>
      <name val="Arial"/>
      <family val="2"/>
    </font>
    <font>
      <sz val="10"/>
      <color indexed="55"/>
      <name val="Arial"/>
      <family val="2"/>
    </font>
    <font>
      <sz val="10"/>
      <color indexed="16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u/>
      <sz val="11"/>
      <name val="Arial"/>
      <family val="2"/>
    </font>
    <font>
      <b/>
      <sz val="10"/>
      <color indexed="36"/>
      <name val="Arial"/>
      <family val="2"/>
    </font>
    <font>
      <sz val="10"/>
      <color indexed="23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Tahoma"/>
      <family val="2"/>
    </font>
    <font>
      <b/>
      <sz val="13"/>
      <color theme="3"/>
      <name val="Tahoma"/>
      <family val="2"/>
    </font>
    <font>
      <b/>
      <sz val="11"/>
      <color theme="3"/>
      <name val="Tahoma"/>
      <family val="2"/>
    </font>
    <font>
      <sz val="8"/>
      <color rgb="FF006100"/>
      <name val="Tahoma"/>
      <family val="2"/>
    </font>
    <font>
      <sz val="8"/>
      <color rgb="FF9C0006"/>
      <name val="Tahoma"/>
      <family val="2"/>
    </font>
    <font>
      <sz val="8"/>
      <color rgb="FF9C6500"/>
      <name val="Tahoma"/>
      <family val="2"/>
    </font>
    <font>
      <b/>
      <sz val="8"/>
      <color rgb="FF3F3F3F"/>
      <name val="Tahoma"/>
      <family val="2"/>
    </font>
    <font>
      <b/>
      <sz val="8"/>
      <color rgb="FFFA7D00"/>
      <name val="Tahoma"/>
      <family val="2"/>
    </font>
    <font>
      <sz val="8"/>
      <color rgb="FFFA7D00"/>
      <name val="Tahoma"/>
      <family val="2"/>
    </font>
    <font>
      <b/>
      <sz val="8"/>
      <color theme="0"/>
      <name val="Tahoma"/>
      <family val="2"/>
    </font>
    <font>
      <sz val="8"/>
      <color rgb="FFFF0000"/>
      <name val="Tahoma"/>
      <family val="2"/>
    </font>
    <font>
      <i/>
      <sz val="8"/>
      <color rgb="FF7F7F7F"/>
      <name val="Tahoma"/>
      <family val="2"/>
    </font>
    <font>
      <b/>
      <sz val="8"/>
      <color theme="1"/>
      <name val="Tahoma"/>
      <family val="2"/>
    </font>
    <font>
      <sz val="8"/>
      <color theme="0"/>
      <name val="Tahoma"/>
      <family val="2"/>
    </font>
    <font>
      <sz val="8"/>
      <color theme="1"/>
      <name val="Tahoma"/>
      <family val="2"/>
    </font>
    <font>
      <b/>
      <sz val="18"/>
      <name val="Arial"/>
      <family val="2"/>
    </font>
    <font>
      <b/>
      <sz val="11"/>
      <name val="Arial"/>
      <family val="2"/>
    </font>
    <font>
      <sz val="10"/>
      <color theme="1" tint="0.34998626667073579"/>
      <name val="Arial"/>
      <family val="2"/>
    </font>
    <font>
      <sz val="10"/>
      <color rgb="FF9E100A"/>
      <name val="Arial"/>
      <family val="2"/>
    </font>
    <font>
      <b/>
      <sz val="10"/>
      <color rgb="FF336633"/>
      <name val="Arial"/>
      <family val="2"/>
    </font>
    <font>
      <sz val="10"/>
      <color theme="5"/>
      <name val="Arial"/>
      <family val="2"/>
    </font>
    <font>
      <b/>
      <sz val="18"/>
      <color rgb="FFF47914"/>
      <name val="Arial"/>
      <family val="2"/>
    </font>
    <font>
      <b/>
      <sz val="16"/>
      <color rgb="FFF47914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i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9"/>
      <color indexed="55"/>
      <name val="Arial"/>
      <family val="2"/>
    </font>
  </fonts>
  <fills count="51">
    <fill>
      <patternFill patternType="none"/>
    </fill>
    <fill>
      <patternFill patternType="gray125"/>
    </fill>
    <fill>
      <patternFill patternType="lightGray">
        <bgColor indexed="9"/>
      </patternFill>
    </fill>
    <fill>
      <patternFill patternType="lightUp">
        <fgColor indexed="14"/>
        <bgColor indexed="45"/>
      </patternFill>
    </fill>
    <fill>
      <patternFill patternType="solid">
        <fgColor indexed="9"/>
        <bgColor indexed="64"/>
      </patternFill>
    </fill>
    <fill>
      <patternFill patternType="lightVertical">
        <fgColor indexed="48"/>
        <bgColor indexed="9"/>
      </patternFill>
    </fill>
    <fill>
      <patternFill patternType="lightDown">
        <fgColor indexed="23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FEDAD6"/>
        <bgColor indexed="64"/>
      </patternFill>
    </fill>
    <fill>
      <patternFill patternType="solid">
        <fgColor rgb="FFEDAA6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4791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1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ashed">
        <color indexed="8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9E100A"/>
      </left>
      <right style="thin">
        <color rgb="FF9E100A"/>
      </right>
      <top style="thin">
        <color rgb="FF9E100A"/>
      </top>
      <bottom style="thin">
        <color rgb="FF9E100A"/>
      </bottom>
      <diagonal/>
    </border>
    <border>
      <left style="thin">
        <color rgb="FF2F4F4F"/>
      </left>
      <right style="thin">
        <color rgb="FF2F4F4F"/>
      </right>
      <top style="thin">
        <color rgb="FF2F4F4F"/>
      </top>
      <bottom style="thin">
        <color rgb="FF2F4F4F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16"/>
      </left>
      <right style="thin">
        <color indexed="16"/>
      </right>
      <top style="thin">
        <color indexed="16"/>
      </top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9">
    <xf numFmtId="0" fontId="0" fillId="0" borderId="0" applyNumberFormat="0" applyAlignment="0"/>
    <xf numFmtId="168" fontId="2" fillId="0" borderId="3">
      <alignment horizontal="center"/>
    </xf>
    <xf numFmtId="0" fontId="1" fillId="2" borderId="4" applyNumberFormat="0"/>
    <xf numFmtId="0" fontId="9" fillId="3" borderId="5" applyNumberFormat="0" applyAlignment="0">
      <alignment horizontal="center"/>
    </xf>
    <xf numFmtId="0" fontId="1" fillId="4" borderId="0" applyNumberFormat="0" applyFont="0" applyAlignment="0"/>
    <xf numFmtId="0" fontId="11" fillId="5" borderId="2">
      <alignment horizontal="center"/>
    </xf>
    <xf numFmtId="166" fontId="10" fillId="6" borderId="1"/>
    <xf numFmtId="0" fontId="37" fillId="0" borderId="0" applyNumberFormat="0" applyFill="0" applyBorder="0" applyAlignment="0"/>
    <xf numFmtId="0" fontId="31" fillId="0" borderId="0" applyNumberFormat="0" applyFill="0"/>
    <xf numFmtId="0" fontId="8" fillId="0" borderId="0" applyNumberFormat="0" applyFill="0" applyBorder="0" applyAlignment="0"/>
    <xf numFmtId="0" fontId="2" fillId="0" borderId="0" applyNumberFormat="0" applyFill="0" applyBorder="0">
      <alignment horizontal="left"/>
    </xf>
    <xf numFmtId="0" fontId="12" fillId="7" borderId="6" applyAlignment="0">
      <alignment horizontal="left"/>
    </xf>
    <xf numFmtId="0" fontId="1" fillId="0" borderId="4" applyNumberFormat="0"/>
    <xf numFmtId="0" fontId="1" fillId="0" borderId="7" applyNumberFormat="0" applyFont="0" applyFill="0" applyAlignment="0"/>
    <xf numFmtId="0" fontId="1" fillId="0" borderId="8" applyNumberFormat="0" applyFont="0" applyFill="0" applyAlignment="0"/>
    <xf numFmtId="0" fontId="1" fillId="0" borderId="9" applyNumberFormat="0" applyFont="0" applyFill="0" applyAlignment="0"/>
    <xf numFmtId="169" fontId="1" fillId="8" borderId="4" applyNumberFormat="0" applyAlignment="0">
      <alignment horizontal="right"/>
    </xf>
    <xf numFmtId="0" fontId="1" fillId="0" borderId="10" applyNumberFormat="0" applyFont="0" applyFill="0" applyAlignment="0"/>
    <xf numFmtId="0" fontId="6" fillId="39" borderId="13" applyNumberFormat="0" applyAlignment="0"/>
    <xf numFmtId="0" fontId="3" fillId="8" borderId="6" applyNumberFormat="0"/>
    <xf numFmtId="167" fontId="1" fillId="0" borderId="0" applyFont="0" applyFill="0" applyBorder="0"/>
    <xf numFmtId="0" fontId="36" fillId="0" borderId="11" applyNumberFormat="0" applyFill="0" applyBorder="0" applyAlignment="0"/>
    <xf numFmtId="0" fontId="13" fillId="44" borderId="4" applyNumberFormat="0">
      <alignment horizontal="centerContinuous" vertical="center" wrapText="1"/>
    </xf>
    <xf numFmtId="0" fontId="10" fillId="9" borderId="1" applyNumberFormat="0">
      <alignment horizontal="right"/>
    </xf>
    <xf numFmtId="0" fontId="2" fillId="0" borderId="0" applyNumberFormat="0"/>
    <xf numFmtId="0" fontId="11" fillId="5" borderId="2">
      <alignment horizontal="center"/>
    </xf>
    <xf numFmtId="0" fontId="14" fillId="0" borderId="0" applyNumberFormat="0" applyFill="0" applyBorder="0" applyAlignment="0" applyProtection="0"/>
    <xf numFmtId="0" fontId="15" fillId="0" borderId="14" applyNumberFormat="0" applyFill="0" applyAlignment="0" applyProtection="0"/>
    <xf numFmtId="0" fontId="16" fillId="0" borderId="15" applyNumberFormat="0" applyFill="0" applyAlignment="0" applyProtection="0"/>
    <xf numFmtId="0" fontId="17" fillId="0" borderId="16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17" applyNumberFormat="0" applyAlignment="0" applyProtection="0"/>
    <xf numFmtId="0" fontId="22" fillId="13" borderId="18" applyNumberFormat="0" applyAlignment="0" applyProtection="0"/>
    <xf numFmtId="0" fontId="23" fillId="0" borderId="19" applyNumberFormat="0" applyFill="0" applyAlignment="0" applyProtection="0"/>
    <xf numFmtId="0" fontId="24" fillId="14" borderId="20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1" applyNumberFormat="0" applyFill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28" fillId="38" borderId="0" applyNumberFormat="0" applyBorder="0" applyAlignment="0" applyProtection="0"/>
    <xf numFmtId="0" fontId="30" fillId="0" borderId="12" applyNumberFormat="0" applyAlignment="0"/>
    <xf numFmtId="15" fontId="1" fillId="0" borderId="0" applyFont="0" applyFill="0" applyBorder="0" applyAlignment="0" applyProtection="0"/>
    <xf numFmtId="0" fontId="1" fillId="0" borderId="22" applyNumberFormat="0" applyAlignment="0"/>
    <xf numFmtId="22" fontId="32" fillId="0" borderId="0" applyFill="0" applyBorder="0" applyAlignment="0"/>
    <xf numFmtId="0" fontId="33" fillId="40" borderId="23" applyNumberFormat="0" applyAlignment="0"/>
    <xf numFmtId="0" fontId="1" fillId="41" borderId="13" applyNumberFormat="0" applyAlignment="0"/>
    <xf numFmtId="0" fontId="34" fillId="42" borderId="24" applyNumberFormat="0">
      <alignment horizontal="center"/>
    </xf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43" borderId="25" applyNumberFormat="0" applyProtection="0"/>
    <xf numFmtId="173" fontId="1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40" fillId="0" borderId="0" applyFont="0" applyFill="0" applyBorder="0" applyAlignment="0" applyProtection="0"/>
    <xf numFmtId="44" fontId="41" fillId="0" borderId="0" applyFont="0" applyFill="0" applyBorder="0" applyAlignment="0" applyProtection="0"/>
  </cellStyleXfs>
  <cellXfs count="196">
    <xf numFmtId="0" fontId="0" fillId="0" borderId="0" xfId="0"/>
    <xf numFmtId="0" fontId="8" fillId="0" borderId="0" xfId="9"/>
    <xf numFmtId="0" fontId="31" fillId="0" borderId="0" xfId="8"/>
    <xf numFmtId="0" fontId="10" fillId="9" borderId="1" xfId="23">
      <alignment horizontal="right"/>
    </xf>
    <xf numFmtId="0" fontId="37" fillId="0" borderId="0" xfId="7"/>
    <xf numFmtId="0" fontId="2" fillId="0" borderId="0" xfId="24"/>
    <xf numFmtId="3" fontId="10" fillId="9" borderId="1" xfId="23" applyNumberFormat="1">
      <alignment horizontal="right"/>
    </xf>
    <xf numFmtId="0" fontId="0" fillId="0" borderId="10" xfId="0" applyBorder="1"/>
    <xf numFmtId="0" fontId="3" fillId="8" borderId="6" xfId="19"/>
    <xf numFmtId="0" fontId="1" fillId="2" borderId="4" xfId="2"/>
    <xf numFmtId="4" fontId="10" fillId="9" borderId="1" xfId="23" applyNumberFormat="1">
      <alignment horizontal="right"/>
    </xf>
    <xf numFmtId="165" fontId="10" fillId="9" borderId="1" xfId="23" applyNumberFormat="1">
      <alignment horizontal="right"/>
    </xf>
    <xf numFmtId="0" fontId="36" fillId="0" borderId="11" xfId="21" applyBorder="1"/>
    <xf numFmtId="166" fontId="10" fillId="6" borderId="1" xfId="6"/>
    <xf numFmtId="43" fontId="0" fillId="0" borderId="0" xfId="72" applyFont="1"/>
    <xf numFmtId="0" fontId="35" fillId="43" borderId="25" xfId="74"/>
    <xf numFmtId="0" fontId="36" fillId="0" borderId="0" xfId="21" applyBorder="1"/>
    <xf numFmtId="0" fontId="13" fillId="44" borderId="4" xfId="22">
      <alignment horizontal="centerContinuous" vertical="center" wrapText="1"/>
    </xf>
    <xf numFmtId="166" fontId="0" fillId="0" borderId="0" xfId="0" applyNumberFormat="1"/>
    <xf numFmtId="164" fontId="0" fillId="0" borderId="0" xfId="73" applyFont="1"/>
    <xf numFmtId="10" fontId="35" fillId="43" borderId="25" xfId="74" applyNumberFormat="1"/>
    <xf numFmtId="164" fontId="35" fillId="43" borderId="25" xfId="74" applyNumberFormat="1"/>
    <xf numFmtId="43" fontId="35" fillId="43" borderId="25" xfId="72" applyFont="1" applyFill="1" applyBorder="1"/>
    <xf numFmtId="0" fontId="1" fillId="0" borderId="0" xfId="0" applyFont="1"/>
    <xf numFmtId="0" fontId="0" fillId="42" borderId="0" xfId="0" applyFill="1"/>
    <xf numFmtId="0" fontId="4" fillId="42" borderId="0" xfId="0" applyFont="1" applyFill="1"/>
    <xf numFmtId="0" fontId="4" fillId="45" borderId="0" xfId="0" applyFont="1" applyFill="1"/>
    <xf numFmtId="0" fontId="4" fillId="46" borderId="0" xfId="0" applyFont="1" applyFill="1"/>
    <xf numFmtId="0" fontId="1" fillId="42" borderId="0" xfId="0" applyFont="1" applyFill="1"/>
    <xf numFmtId="0" fontId="1" fillId="46" borderId="0" xfId="0" applyFont="1" applyFill="1"/>
    <xf numFmtId="0" fontId="7" fillId="46" borderId="0" xfId="0" applyFont="1" applyFill="1"/>
    <xf numFmtId="0" fontId="2" fillId="42" borderId="0" xfId="24" applyFill="1"/>
    <xf numFmtId="164" fontId="0" fillId="0" borderId="7" xfId="13" applyNumberFormat="1" applyFont="1"/>
    <xf numFmtId="171" fontId="0" fillId="0" borderId="0" xfId="75" applyNumberFormat="1" applyFont="1"/>
    <xf numFmtId="173" fontId="0" fillId="0" borderId="0" xfId="75" applyFont="1"/>
    <xf numFmtId="164" fontId="1" fillId="8" borderId="4" xfId="16" applyNumberFormat="1" applyAlignment="1"/>
    <xf numFmtId="164" fontId="0" fillId="0" borderId="10" xfId="73" applyFont="1" applyBorder="1"/>
    <xf numFmtId="164" fontId="0" fillId="0" borderId="0" xfId="0" applyNumberFormat="1"/>
    <xf numFmtId="164" fontId="0" fillId="0" borderId="10" xfId="17" applyNumberFormat="1" applyFont="1"/>
    <xf numFmtId="164" fontId="0" fillId="0" borderId="9" xfId="15" applyNumberFormat="1" applyFont="1"/>
    <xf numFmtId="164" fontId="0" fillId="0" borderId="8" xfId="14" applyNumberFormat="1" applyFont="1"/>
    <xf numFmtId="164" fontId="0" fillId="0" borderId="7" xfId="73" applyFont="1" applyBorder="1"/>
    <xf numFmtId="164" fontId="1" fillId="2" borderId="4" xfId="2" applyNumberFormat="1"/>
    <xf numFmtId="164" fontId="35" fillId="43" borderId="25" xfId="73" applyFont="1" applyFill="1" applyBorder="1"/>
    <xf numFmtId="164" fontId="0" fillId="42" borderId="0" xfId="73" applyFont="1" applyFill="1"/>
    <xf numFmtId="173" fontId="0" fillId="42" borderId="0" xfId="75" applyFont="1" applyFill="1"/>
    <xf numFmtId="170" fontId="0" fillId="42" borderId="0" xfId="0" applyNumberFormat="1" applyFill="1"/>
    <xf numFmtId="171" fontId="35" fillId="43" borderId="25" xfId="75" applyNumberFormat="1" applyFont="1" applyFill="1" applyBorder="1"/>
    <xf numFmtId="173" fontId="35" fillId="43" borderId="25" xfId="75" applyFont="1" applyFill="1" applyBorder="1"/>
    <xf numFmtId="164" fontId="1" fillId="2" borderId="4" xfId="73" applyFill="1" applyBorder="1"/>
    <xf numFmtId="172" fontId="0" fillId="0" borderId="0" xfId="0" applyNumberFormat="1"/>
    <xf numFmtId="164" fontId="0" fillId="0" borderId="0" xfId="73" applyFont="1" applyFill="1" applyBorder="1"/>
    <xf numFmtId="9" fontId="0" fillId="0" borderId="0" xfId="0" applyNumberFormat="1"/>
    <xf numFmtId="164" fontId="0" fillId="42" borderId="10" xfId="17" applyNumberFormat="1" applyFont="1" applyFill="1"/>
    <xf numFmtId="164" fontId="0" fillId="42" borderId="10" xfId="73" applyFont="1" applyFill="1" applyBorder="1"/>
    <xf numFmtId="171" fontId="0" fillId="42" borderId="0" xfId="75" applyNumberFormat="1" applyFont="1" applyFill="1"/>
    <xf numFmtId="9" fontId="0" fillId="0" borderId="0" xfId="76" applyFont="1"/>
    <xf numFmtId="9" fontId="0" fillId="42" borderId="0" xfId="0" applyNumberFormat="1" applyFill="1"/>
    <xf numFmtId="173" fontId="1" fillId="0" borderId="4" xfId="12" applyNumberFormat="1"/>
    <xf numFmtId="164" fontId="0" fillId="0" borderId="0" xfId="72" applyNumberFormat="1" applyFont="1"/>
    <xf numFmtId="0" fontId="0" fillId="47" borderId="0" xfId="0" applyFill="1"/>
    <xf numFmtId="10" fontId="0" fillId="42" borderId="0" xfId="76" applyNumberFormat="1" applyFont="1" applyFill="1"/>
    <xf numFmtId="164" fontId="0" fillId="42" borderId="0" xfId="72" applyNumberFormat="1" applyFont="1" applyFill="1"/>
    <xf numFmtId="43" fontId="0" fillId="0" borderId="0" xfId="0" applyNumberFormat="1"/>
    <xf numFmtId="164" fontId="1" fillId="0" borderId="4" xfId="12" applyNumberFormat="1"/>
    <xf numFmtId="164" fontId="3" fillId="8" borderId="6" xfId="72" applyNumberFormat="1" applyFont="1" applyFill="1" applyBorder="1"/>
    <xf numFmtId="9" fontId="35" fillId="43" borderId="25" xfId="76" applyFont="1" applyFill="1" applyBorder="1"/>
    <xf numFmtId="8" fontId="0" fillId="0" borderId="0" xfId="0" applyNumberFormat="1"/>
    <xf numFmtId="0" fontId="40" fillId="0" borderId="0" xfId="77" applyAlignment="1">
      <alignment horizontal="right"/>
    </xf>
    <xf numFmtId="0" fontId="40" fillId="0" borderId="0" xfId="77"/>
    <xf numFmtId="0" fontId="0" fillId="0" borderId="8" xfId="14" applyFont="1"/>
    <xf numFmtId="0" fontId="2" fillId="0" borderId="8" xfId="14" applyFont="1"/>
    <xf numFmtId="164" fontId="1" fillId="8" borderId="8" xfId="14" applyNumberFormat="1" applyFill="1" applyAlignment="1"/>
    <xf numFmtId="0" fontId="1" fillId="0" borderId="8" xfId="14" applyFont="1"/>
    <xf numFmtId="164" fontId="0" fillId="0" borderId="8" xfId="72" applyNumberFormat="1" applyFont="1" applyBorder="1"/>
    <xf numFmtId="3" fontId="0" fillId="0" borderId="8" xfId="14" applyNumberFormat="1" applyFont="1"/>
    <xf numFmtId="0" fontId="40" fillId="0" borderId="8" xfId="14" applyFont="1" applyAlignment="1">
      <alignment horizontal="right"/>
    </xf>
    <xf numFmtId="43" fontId="35" fillId="43" borderId="25" xfId="73" applyNumberFormat="1" applyFont="1" applyFill="1" applyBorder="1"/>
    <xf numFmtId="3" fontId="0" fillId="0" borderId="0" xfId="0" applyNumberFormat="1"/>
    <xf numFmtId="0" fontId="31" fillId="0" borderId="0" xfId="8" applyFill="1"/>
    <xf numFmtId="0" fontId="30" fillId="0" borderId="12" xfId="65"/>
    <xf numFmtId="0" fontId="1" fillId="0" borderId="4" xfId="12"/>
    <xf numFmtId="0" fontId="6" fillId="39" borderId="13" xfId="18"/>
    <xf numFmtId="173" fontId="35" fillId="43" borderId="25" xfId="74" applyNumberFormat="1"/>
    <xf numFmtId="171" fontId="1" fillId="0" borderId="4" xfId="12" applyNumberFormat="1"/>
    <xf numFmtId="173" fontId="3" fillId="8" borderId="6" xfId="75" applyFont="1" applyFill="1" applyBorder="1"/>
    <xf numFmtId="43" fontId="1" fillId="0" borderId="4" xfId="12" applyNumberFormat="1"/>
    <xf numFmtId="171" fontId="1" fillId="48" borderId="4" xfId="75" applyNumberFormat="1" applyFill="1" applyBorder="1"/>
    <xf numFmtId="0" fontId="2" fillId="0" borderId="8" xfId="24" applyBorder="1"/>
    <xf numFmtId="164" fontId="35" fillId="43" borderId="25" xfId="72" applyNumberFormat="1" applyFont="1" applyFill="1" applyBorder="1"/>
    <xf numFmtId="174" fontId="35" fillId="43" borderId="25" xfId="72" applyNumberFormat="1" applyFont="1" applyFill="1" applyBorder="1"/>
    <xf numFmtId="174" fontId="1" fillId="0" borderId="0" xfId="72" applyNumberFormat="1" applyFont="1" applyFill="1" applyBorder="1"/>
    <xf numFmtId="0" fontId="4" fillId="49" borderId="0" xfId="0" applyFont="1" applyFill="1"/>
    <xf numFmtId="0" fontId="2" fillId="49" borderId="0" xfId="24" applyFill="1"/>
    <xf numFmtId="6" fontId="4" fillId="49" borderId="4" xfId="72" applyNumberFormat="1" applyFont="1" applyFill="1" applyBorder="1"/>
    <xf numFmtId="173" fontId="4" fillId="49" borderId="4" xfId="12" applyNumberFormat="1" applyFont="1" applyFill="1"/>
    <xf numFmtId="43" fontId="4" fillId="49" borderId="4" xfId="72" applyFont="1" applyFill="1" applyBorder="1"/>
    <xf numFmtId="175" fontId="4" fillId="49" borderId="4" xfId="12" applyNumberFormat="1" applyFont="1" applyFill="1"/>
    <xf numFmtId="9" fontId="35" fillId="43" borderId="0" xfId="76" applyFont="1" applyFill="1" applyBorder="1"/>
    <xf numFmtId="43" fontId="1" fillId="8" borderId="4" xfId="16" applyNumberFormat="1" applyAlignment="1"/>
    <xf numFmtId="0" fontId="2" fillId="0" borderId="0" xfId="24" quotePrefix="1"/>
    <xf numFmtId="164" fontId="1" fillId="48" borderId="4" xfId="72" applyNumberFormat="1" applyFill="1" applyBorder="1"/>
    <xf numFmtId="164" fontId="1" fillId="0" borderId="4" xfId="72" applyNumberFormat="1" applyBorder="1"/>
    <xf numFmtId="10" fontId="0" fillId="0" borderId="0" xfId="76" applyNumberFormat="1" applyFont="1"/>
    <xf numFmtId="164" fontId="1" fillId="0" borderId="22" xfId="67" applyNumberFormat="1"/>
    <xf numFmtId="171" fontId="1" fillId="0" borderId="22" xfId="67" applyNumberFormat="1"/>
    <xf numFmtId="10" fontId="0" fillId="0" borderId="0" xfId="0" applyNumberFormat="1"/>
    <xf numFmtId="176" fontId="0" fillId="0" borderId="0" xfId="0" applyNumberFormat="1"/>
    <xf numFmtId="0" fontId="0" fillId="49" borderId="0" xfId="0" applyFill="1"/>
    <xf numFmtId="0" fontId="42" fillId="0" borderId="0" xfId="0" applyFont="1"/>
    <xf numFmtId="0" fontId="1" fillId="0" borderId="0" xfId="0" applyFont="1" applyAlignment="1">
      <alignment horizontal="center" vertical="center"/>
    </xf>
    <xf numFmtId="177" fontId="0" fillId="0" borderId="0" xfId="78" applyNumberFormat="1" applyFont="1"/>
    <xf numFmtId="44" fontId="0" fillId="0" borderId="0" xfId="0" applyNumberFormat="1"/>
    <xf numFmtId="2" fontId="0" fillId="0" borderId="0" xfId="0" applyNumberFormat="1"/>
    <xf numFmtId="177" fontId="1" fillId="0" borderId="0" xfId="78" applyNumberFormat="1" applyFont="1"/>
    <xf numFmtId="5" fontId="0" fillId="0" borderId="0" xfId="0" applyNumberFormat="1"/>
    <xf numFmtId="0" fontId="1" fillId="0" borderId="0" xfId="0" quotePrefix="1" applyFont="1"/>
    <xf numFmtId="178" fontId="0" fillId="0" borderId="0" xfId="0" applyNumberFormat="1"/>
    <xf numFmtId="179" fontId="0" fillId="0" borderId="0" xfId="78" applyNumberFormat="1" applyFont="1"/>
    <xf numFmtId="178" fontId="1" fillId="0" borderId="0" xfId="0" applyNumberFormat="1" applyFont="1"/>
    <xf numFmtId="2" fontId="35" fillId="43" borderId="25" xfId="74" applyNumberFormat="1"/>
    <xf numFmtId="180" fontId="35" fillId="43" borderId="25" xfId="74" applyNumberFormat="1"/>
    <xf numFmtId="0" fontId="43" fillId="0" borderId="32" xfId="0" quotePrefix="1" applyFont="1" applyBorder="1"/>
    <xf numFmtId="178" fontId="43" fillId="0" borderId="33" xfId="0" applyNumberFormat="1" applyFont="1" applyBorder="1"/>
    <xf numFmtId="179" fontId="43" fillId="0" borderId="33" xfId="78" applyNumberFormat="1" applyFont="1" applyBorder="1"/>
    <xf numFmtId="178" fontId="43" fillId="0" borderId="34" xfId="0" applyNumberFormat="1" applyFont="1" applyBorder="1"/>
    <xf numFmtId="0" fontId="43" fillId="0" borderId="35" xfId="0" quotePrefix="1" applyFont="1" applyBorder="1"/>
    <xf numFmtId="178" fontId="43" fillId="0" borderId="4" xfId="0" applyNumberFormat="1" applyFont="1" applyBorder="1"/>
    <xf numFmtId="179" fontId="43" fillId="0" borderId="4" xfId="78" applyNumberFormat="1" applyFont="1" applyBorder="1"/>
    <xf numFmtId="178" fontId="43" fillId="0" borderId="36" xfId="0" applyNumberFormat="1" applyFont="1" applyBorder="1"/>
    <xf numFmtId="0" fontId="43" fillId="0" borderId="26" xfId="0" applyFont="1" applyBorder="1"/>
    <xf numFmtId="10" fontId="43" fillId="0" borderId="31" xfId="76" applyNumberFormat="1" applyFont="1" applyBorder="1"/>
    <xf numFmtId="10" fontId="43" fillId="0" borderId="27" xfId="76" applyNumberFormat="1" applyFont="1" applyBorder="1"/>
    <xf numFmtId="0" fontId="43" fillId="0" borderId="28" xfId="0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3" fillId="0" borderId="4" xfId="0" applyFont="1" applyBorder="1"/>
    <xf numFmtId="0" fontId="43" fillId="49" borderId="4" xfId="0" applyFont="1" applyFill="1" applyBorder="1"/>
    <xf numFmtId="10" fontId="43" fillId="49" borderId="4" xfId="76" applyNumberFormat="1" applyFont="1" applyFill="1" applyBorder="1"/>
    <xf numFmtId="164" fontId="0" fillId="0" borderId="0" xfId="73" applyFont="1" applyProtection="1">
      <protection locked="0"/>
    </xf>
    <xf numFmtId="0" fontId="0" fillId="0" borderId="0" xfId="0" applyProtection="1">
      <protection locked="0"/>
    </xf>
    <xf numFmtId="164" fontId="0" fillId="0" borderId="0" xfId="73" applyFont="1" applyProtection="1"/>
    <xf numFmtId="173" fontId="3" fillId="0" borderId="0" xfId="75" applyFont="1" applyFill="1" applyBorder="1"/>
    <xf numFmtId="43" fontId="1" fillId="0" borderId="0" xfId="12" applyNumberFormat="1" applyBorder="1"/>
    <xf numFmtId="43" fontId="35" fillId="0" borderId="0" xfId="74" applyNumberFormat="1" applyFill="1" applyBorder="1"/>
    <xf numFmtId="173" fontId="3" fillId="8" borderId="38" xfId="75" applyFont="1" applyFill="1" applyBorder="1"/>
    <xf numFmtId="43" fontId="35" fillId="43" borderId="39" xfId="74" applyNumberFormat="1" applyBorder="1"/>
    <xf numFmtId="164" fontId="42" fillId="0" borderId="0" xfId="0" applyNumberFormat="1" applyFont="1"/>
    <xf numFmtId="9" fontId="42" fillId="0" borderId="0" xfId="76" applyFont="1" applyFill="1"/>
    <xf numFmtId="0" fontId="45" fillId="0" borderId="0" xfId="24" applyFont="1" applyProtection="1">
      <protection locked="0"/>
    </xf>
    <xf numFmtId="164" fontId="0" fillId="0" borderId="0" xfId="0" applyNumberFormat="1" applyProtection="1">
      <protection locked="0"/>
    </xf>
    <xf numFmtId="173" fontId="1" fillId="8" borderId="4" xfId="75" applyFill="1" applyBorder="1" applyAlignment="1" applyProtection="1"/>
    <xf numFmtId="171" fontId="1" fillId="8" borderId="4" xfId="75" applyNumberFormat="1" applyFill="1" applyBorder="1" applyAlignment="1" applyProtection="1"/>
    <xf numFmtId="171" fontId="1" fillId="8" borderId="4" xfId="16" applyNumberFormat="1" applyAlignment="1"/>
    <xf numFmtId="164" fontId="42" fillId="0" borderId="4" xfId="16" applyNumberFormat="1" applyFont="1" applyFill="1" applyAlignment="1"/>
    <xf numFmtId="166" fontId="10" fillId="6" borderId="1" xfId="6" applyProtection="1">
      <protection locked="0"/>
    </xf>
    <xf numFmtId="43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171" fontId="35" fillId="43" borderId="25" xfId="75" applyNumberFormat="1" applyFont="1" applyFill="1" applyBorder="1" applyProtection="1">
      <protection locked="0"/>
    </xf>
    <xf numFmtId="164" fontId="0" fillId="0" borderId="10" xfId="17" applyNumberFormat="1" applyFont="1" applyProtection="1">
      <protection locked="0"/>
    </xf>
    <xf numFmtId="164" fontId="35" fillId="43" borderId="25" xfId="74" applyNumberFormat="1" applyProtection="1">
      <protection locked="0"/>
    </xf>
    <xf numFmtId="171" fontId="0" fillId="0" borderId="0" xfId="75" applyNumberFormat="1" applyFont="1" applyProtection="1">
      <protection locked="0"/>
    </xf>
    <xf numFmtId="164" fontId="0" fillId="0" borderId="10" xfId="73" applyFont="1" applyBorder="1" applyProtection="1">
      <protection locked="0"/>
    </xf>
    <xf numFmtId="43" fontId="0" fillId="0" borderId="0" xfId="72" applyFont="1" applyProtection="1">
      <protection locked="0"/>
    </xf>
    <xf numFmtId="164" fontId="42" fillId="0" borderId="0" xfId="0" applyNumberFormat="1" applyFont="1" applyProtection="1">
      <protection locked="0"/>
    </xf>
    <xf numFmtId="164" fontId="0" fillId="0" borderId="9" xfId="15" applyNumberFormat="1" applyFont="1" applyProtection="1">
      <protection locked="0"/>
    </xf>
    <xf numFmtId="164" fontId="0" fillId="0" borderId="0" xfId="72" applyNumberFormat="1" applyFont="1" applyProtection="1">
      <protection locked="0"/>
    </xf>
    <xf numFmtId="164" fontId="1" fillId="0" borderId="4" xfId="12" applyNumberFormat="1" applyProtection="1">
      <protection locked="0"/>
    </xf>
    <xf numFmtId="164" fontId="1" fillId="0" borderId="22" xfId="67" applyNumberFormat="1" applyProtection="1">
      <protection locked="0"/>
    </xf>
    <xf numFmtId="0" fontId="1" fillId="0" borderId="40" xfId="0" applyFont="1" applyBorder="1"/>
    <xf numFmtId="0" fontId="1" fillId="0" borderId="26" xfId="0" applyFont="1" applyBorder="1"/>
    <xf numFmtId="0" fontId="1" fillId="0" borderId="4" xfId="0" applyFont="1" applyBorder="1"/>
    <xf numFmtId="10" fontId="0" fillId="0" borderId="4" xfId="0" applyNumberFormat="1" applyBorder="1"/>
    <xf numFmtId="0" fontId="0" fillId="0" borderId="4" xfId="0" applyBorder="1"/>
    <xf numFmtId="9" fontId="0" fillId="0" borderId="4" xfId="0" applyNumberFormat="1" applyBorder="1"/>
    <xf numFmtId="0" fontId="1" fillId="0" borderId="32" xfId="0" applyFont="1" applyBorder="1"/>
    <xf numFmtId="0" fontId="1" fillId="0" borderId="41" xfId="0" applyFont="1" applyBorder="1"/>
    <xf numFmtId="0" fontId="0" fillId="0" borderId="42" xfId="0" applyBorder="1"/>
    <xf numFmtId="177" fontId="0" fillId="0" borderId="43" xfId="78" applyNumberFormat="1" applyFont="1" applyBorder="1"/>
    <xf numFmtId="177" fontId="1" fillId="0" borderId="44" xfId="78" applyNumberFormat="1" applyFont="1" applyBorder="1"/>
    <xf numFmtId="44" fontId="0" fillId="0" borderId="45" xfId="0" applyNumberFormat="1" applyBorder="1"/>
    <xf numFmtId="0" fontId="0" fillId="0" borderId="37" xfId="0" applyBorder="1"/>
    <xf numFmtId="5" fontId="0" fillId="0" borderId="37" xfId="0" applyNumberFormat="1" applyBorder="1"/>
    <xf numFmtId="178" fontId="0" fillId="0" borderId="37" xfId="0" applyNumberFormat="1" applyBorder="1"/>
    <xf numFmtId="0" fontId="0" fillId="0" borderId="8" xfId="0" applyBorder="1"/>
    <xf numFmtId="179" fontId="0" fillId="0" borderId="8" xfId="78" applyNumberFormat="1" applyFont="1" applyBorder="1"/>
    <xf numFmtId="43" fontId="0" fillId="0" borderId="8" xfId="72" applyFont="1" applyBorder="1"/>
    <xf numFmtId="178" fontId="0" fillId="0" borderId="8" xfId="0" applyNumberFormat="1" applyBorder="1"/>
    <xf numFmtId="5" fontId="0" fillId="0" borderId="8" xfId="0" applyNumberFormat="1" applyBorder="1"/>
    <xf numFmtId="5" fontId="0" fillId="50" borderId="8" xfId="0" applyNumberFormat="1" applyFill="1" applyBorder="1"/>
    <xf numFmtId="0" fontId="1" fillId="0" borderId="4" xfId="0" quotePrefix="1" applyFont="1" applyBorder="1"/>
    <xf numFmtId="5" fontId="0" fillId="0" borderId="4" xfId="0" applyNumberFormat="1" applyBorder="1"/>
    <xf numFmtId="9" fontId="0" fillId="42" borderId="0" xfId="76" applyFont="1" applyFill="1"/>
    <xf numFmtId="10" fontId="43" fillId="0" borderId="4" xfId="76" applyNumberFormat="1" applyFont="1" applyBorder="1"/>
    <xf numFmtId="0" fontId="1" fillId="0" borderId="37" xfId="0" applyFont="1" applyBorder="1" applyAlignment="1">
      <alignment horizontal="center"/>
    </xf>
    <xf numFmtId="0" fontId="0" fillId="0" borderId="37" xfId="0" applyBorder="1" applyAlignment="1">
      <alignment horizontal="center"/>
    </xf>
  </cellXfs>
  <cellStyles count="79">
    <cellStyle name="20% - Accent1" xfId="42" builtinId="30" hidden="1"/>
    <cellStyle name="20% - Accent2" xfId="46" builtinId="34" hidden="1"/>
    <cellStyle name="20% - Accent3" xfId="50" builtinId="38" hidden="1"/>
    <cellStyle name="20% - Accent4" xfId="54" builtinId="42" hidden="1"/>
    <cellStyle name="20% - Accent5" xfId="58" builtinId="46" hidden="1"/>
    <cellStyle name="20% - Accent6" xfId="62" builtinId="50" hidden="1"/>
    <cellStyle name="40% - Accent1" xfId="43" builtinId="31" hidden="1"/>
    <cellStyle name="40% - Accent2" xfId="47" builtinId="35" hidden="1"/>
    <cellStyle name="40% - Accent3" xfId="51" builtinId="39" hidden="1"/>
    <cellStyle name="40% - Accent4" xfId="55" builtinId="43" hidden="1"/>
    <cellStyle name="40% - Accent5" xfId="59" builtinId="47" hidden="1"/>
    <cellStyle name="40% - Accent6" xfId="63" builtinId="51" hidden="1"/>
    <cellStyle name="60% - Accent1" xfId="44" builtinId="32" hidden="1"/>
    <cellStyle name="60% - Accent2" xfId="48" builtinId="36" hidden="1"/>
    <cellStyle name="60% - Accent3" xfId="52" builtinId="40" hidden="1"/>
    <cellStyle name="60% - Accent4" xfId="56" builtinId="44" hidden="1"/>
    <cellStyle name="60% - Accent5" xfId="60" builtinId="48" hidden="1"/>
    <cellStyle name="60% - Accent6" xfId="64" builtinId="52" hidden="1"/>
    <cellStyle name="Accent1" xfId="41" builtinId="29" hidden="1"/>
    <cellStyle name="Accent2" xfId="45" builtinId="33" hidden="1"/>
    <cellStyle name="Accent3" xfId="49" builtinId="37" hidden="1"/>
    <cellStyle name="Accent4" xfId="53" builtinId="41" hidden="1"/>
    <cellStyle name="Accent5" xfId="57" builtinId="45" hidden="1"/>
    <cellStyle name="Accent6" xfId="61" builtinId="49" hidden="1"/>
    <cellStyle name="Assumption" xfId="74" xr:uid="{00000000-0005-0000-0000-000018000000}"/>
    <cellStyle name="Bad" xfId="32" builtinId="27" hidden="1"/>
    <cellStyle name="Calculation" xfId="35" builtinId="22" hidden="1"/>
    <cellStyle name="Check" xfId="1" xr:uid="{00000000-0005-0000-0000-00001C000000}"/>
    <cellStyle name="Check Cell" xfId="37" builtinId="23" hidden="1"/>
    <cellStyle name="Comma" xfId="72" builtinId="3" customBuiltin="1"/>
    <cellStyle name="Comma [0]" xfId="73" builtinId="6" customBuiltin="1"/>
    <cellStyle name="Currency" xfId="78" builtinId="4"/>
    <cellStyle name="Date" xfId="66" xr:uid="{00000000-0005-0000-0000-000020000000}"/>
    <cellStyle name="Empty_Cell" xfId="2" xr:uid="{00000000-0005-0000-0000-000021000000}"/>
    <cellStyle name="Error" xfId="3" xr:uid="{00000000-0005-0000-0000-000022000000}"/>
    <cellStyle name="Explanatory Text" xfId="39" builtinId="53" hidden="1"/>
    <cellStyle name="Fill" xfId="4" xr:uid="{00000000-0005-0000-0000-000024000000}"/>
    <cellStyle name="Fixed" xfId="5" xr:uid="{00000000-0005-0000-0000-000025000000}"/>
    <cellStyle name="Flag" xfId="6" xr:uid="{00000000-0005-0000-0000-000026000000}"/>
    <cellStyle name="Good" xfId="31" builtinId="26" hidden="1"/>
    <cellStyle name="Grid" xfId="67" xr:uid="{00000000-0005-0000-0000-000028000000}"/>
    <cellStyle name="Header0" xfId="65" xr:uid="{00000000-0005-0000-0000-000029000000}"/>
    <cellStyle name="Header1" xfId="7" xr:uid="{00000000-0005-0000-0000-00002A000000}"/>
    <cellStyle name="Header2" xfId="8" xr:uid="{00000000-0005-0000-0000-00002B000000}"/>
    <cellStyle name="Header3" xfId="9" xr:uid="{00000000-0005-0000-0000-00002C000000}"/>
    <cellStyle name="Heading 1" xfId="27" builtinId="16" hidden="1"/>
    <cellStyle name="Heading 2" xfId="28" builtinId="17" hidden="1"/>
    <cellStyle name="Heading 3" xfId="29" builtinId="18" hidden="1"/>
    <cellStyle name="Heading 4" xfId="30" builtinId="19" hidden="1"/>
    <cellStyle name="Info" xfId="10" xr:uid="{00000000-0005-0000-0000-000031000000}"/>
    <cellStyle name="Input" xfId="11" builtinId="20" customBuiltin="1"/>
    <cellStyle name="Inputs_Check" xfId="68" xr:uid="{00000000-0005-0000-0000-000033000000}"/>
    <cellStyle name="InSheet" xfId="12" xr:uid="{00000000-0005-0000-0000-000034000000}"/>
    <cellStyle name="Interface" xfId="69" xr:uid="{00000000-0005-0000-0000-000035000000}"/>
    <cellStyle name="Line_ClosingBal" xfId="13" xr:uid="{00000000-0005-0000-0000-000036000000}"/>
    <cellStyle name="Line_Operation" xfId="15" xr:uid="{00000000-0005-0000-0000-000037000000}"/>
    <cellStyle name="Line_Subtotal" xfId="17" xr:uid="{00000000-0005-0000-0000-000038000000}"/>
    <cellStyle name="Line_Summary" xfId="16" xr:uid="{00000000-0005-0000-0000-000039000000}"/>
    <cellStyle name="Line_Total" xfId="14" xr:uid="{00000000-0005-0000-0000-00003A000000}"/>
    <cellStyle name="Linked Cell" xfId="36" builtinId="24" hidden="1"/>
    <cellStyle name="Macro_Paste" xfId="70" xr:uid="{00000000-0005-0000-0000-00003C000000}"/>
    <cellStyle name="Name_Input" xfId="18" xr:uid="{00000000-0005-0000-0000-00003D000000}"/>
    <cellStyle name="Neutral" xfId="33" builtinId="28" hidden="1"/>
    <cellStyle name="Normal" xfId="0" builtinId="0"/>
    <cellStyle name="Normal 2" xfId="77" xr:uid="{2A692D7B-2D27-467F-837F-1B32F620A557}"/>
    <cellStyle name="OffSheet" xfId="19" xr:uid="{00000000-0005-0000-0000-000040000000}"/>
    <cellStyle name="Output" xfId="34" builtinId="21" hidden="1"/>
    <cellStyle name="Percent" xfId="76" builtinId="5"/>
    <cellStyle name="Percent [0]" xfId="75" xr:uid="{00000000-0005-0000-0000-000042000000}"/>
    <cellStyle name="Query" xfId="71" xr:uid="{00000000-0005-0000-0000-000043000000}"/>
    <cellStyle name="Ratio" xfId="20" xr:uid="{00000000-0005-0000-0000-000044000000}"/>
    <cellStyle name="Sheet_Header" xfId="21" xr:uid="{00000000-0005-0000-0000-000045000000}"/>
    <cellStyle name="Table_Heading" xfId="22" xr:uid="{00000000-0005-0000-0000-000046000000}"/>
    <cellStyle name="Technical_Input" xfId="23" xr:uid="{00000000-0005-0000-0000-000047000000}"/>
    <cellStyle name="Title" xfId="26" builtinId="15" hidden="1"/>
    <cellStyle name="Total" xfId="40" builtinId="25" hidden="1"/>
    <cellStyle name="unit" xfId="24" xr:uid="{00000000-0005-0000-0000-00004A000000}"/>
    <cellStyle name="Warning Text" xfId="38" builtinId="11" hidden="1"/>
    <cellStyle name="WIP" xfId="25" xr:uid="{00000000-0005-0000-0000-00004C000000}"/>
  </cellStyles>
  <dxfs count="20"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257CFB"/>
      <rgbColor rgb="0033CCCC"/>
      <rgbColor rgb="00B6F600"/>
      <rgbColor rgb="00FFCC00"/>
      <rgbColor rgb="00FF9900"/>
      <rgbColor rgb="00FF6600"/>
      <rgbColor rgb="00666699"/>
      <rgbColor rgb="00969696"/>
      <rgbColor rgb="0000ADEF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F4136"/>
      <color rgb="FFF47914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'Financials &amp; Metrics'!$C$10</c:f>
              <c:strCache>
                <c:ptCount val="1"/>
                <c:pt idx="0">
                  <c:v>Net Smelter Revenue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'Financials &amp; Metrics'!$J$10:$AA$10</c:f>
              <c:numCache>
                <c:formatCode>_(* #,##0_);_(* \(#,##0\);_(*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2836526000</c:v>
                </c:pt>
                <c:pt idx="5">
                  <c:v>3157744666.6666665</c:v>
                </c:pt>
                <c:pt idx="6">
                  <c:v>3228812666.6666665</c:v>
                </c:pt>
                <c:pt idx="7">
                  <c:v>3223488000</c:v>
                </c:pt>
                <c:pt idx="8">
                  <c:v>3224031333.3333335</c:v>
                </c:pt>
                <c:pt idx="9">
                  <c:v>1688027999.9999998</c:v>
                </c:pt>
                <c:pt idx="10">
                  <c:v>1823970000</c:v>
                </c:pt>
                <c:pt idx="11">
                  <c:v>1967844666.6666667</c:v>
                </c:pt>
                <c:pt idx="12">
                  <c:v>1673249333.333333</c:v>
                </c:pt>
                <c:pt idx="13">
                  <c:v>1711500000.0000002</c:v>
                </c:pt>
                <c:pt idx="14">
                  <c:v>849012666.66666663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A-428C-89FA-37DAAA9B4605}"/>
            </c:ext>
          </c:extLst>
        </c:ser>
        <c:ser>
          <c:idx val="1"/>
          <c:order val="1"/>
          <c:tx>
            <c:strRef>
              <c:f>'Financials &amp; Metrics'!$C$17</c:f>
              <c:strCache>
                <c:ptCount val="1"/>
                <c:pt idx="0">
                  <c:v>Operational Expenditure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'Financials &amp; Metrics'!$J$18:$Z$18</c:f>
              <c:numCache>
                <c:formatCode>_(* #,##0_);_(* \(#,##0\);_(* "-"??_);_(@_)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-275178194.7982496</c:v>
                </c:pt>
                <c:pt idx="5">
                  <c:v>-318109918.80852932</c:v>
                </c:pt>
                <c:pt idx="6">
                  <c:v>-312520873.35832947</c:v>
                </c:pt>
                <c:pt idx="7">
                  <c:v>-302294457.1182341</c:v>
                </c:pt>
                <c:pt idx="8">
                  <c:v>-312049110.36835682</c:v>
                </c:pt>
                <c:pt idx="9">
                  <c:v>-305397231.67822289</c:v>
                </c:pt>
                <c:pt idx="10">
                  <c:v>-300382202.71812195</c:v>
                </c:pt>
                <c:pt idx="11">
                  <c:v>-298029803.86811137</c:v>
                </c:pt>
                <c:pt idx="12">
                  <c:v>-292666509.00800341</c:v>
                </c:pt>
                <c:pt idx="13">
                  <c:v>-287103825.94803566</c:v>
                </c:pt>
                <c:pt idx="14">
                  <c:v>-233834789.8278057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EA-428C-89FA-37DAAA9B4605}"/>
            </c:ext>
          </c:extLst>
        </c:ser>
        <c:ser>
          <c:idx val="2"/>
          <c:order val="2"/>
          <c:tx>
            <c:strRef>
              <c:f>'Financials &amp; Metrics'!$C$69</c:f>
              <c:strCache>
                <c:ptCount val="1"/>
                <c:pt idx="0">
                  <c:v>Depreciation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'Financials &amp; Metrics'!$J$69:$AA$69</c:f>
              <c:numCache>
                <c:formatCode>_(* #,##0_);_(* \(#,##0\);_(*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556826107.50000012</c:v>
                </c:pt>
                <c:pt idx="5">
                  <c:v>592826107.50000012</c:v>
                </c:pt>
                <c:pt idx="6">
                  <c:v>630326107.50000012</c:v>
                </c:pt>
                <c:pt idx="7">
                  <c:v>663326107.50000012</c:v>
                </c:pt>
                <c:pt idx="8">
                  <c:v>135000000</c:v>
                </c:pt>
                <c:pt idx="9">
                  <c:v>118500000</c:v>
                </c:pt>
                <c:pt idx="10">
                  <c:v>85500000</c:v>
                </c:pt>
                <c:pt idx="11">
                  <c:v>58000000</c:v>
                </c:pt>
                <c:pt idx="12">
                  <c:v>32000000</c:v>
                </c:pt>
                <c:pt idx="13">
                  <c:v>15000000</c:v>
                </c:pt>
                <c:pt idx="14">
                  <c:v>10500000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EA-428C-89FA-37DAAA9B4605}"/>
            </c:ext>
          </c:extLst>
        </c:ser>
        <c:ser>
          <c:idx val="3"/>
          <c:order val="3"/>
          <c:tx>
            <c:strRef>
              <c:f>'Financials &amp; Metrics'!$C$77</c:f>
              <c:strCache>
                <c:ptCount val="1"/>
                <c:pt idx="0">
                  <c:v>Royaltes &amp; Profit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'Financials &amp; Metrics'!$J$77:$AA$77</c:f>
              <c:numCache>
                <c:formatCode>_(* #,##0_);_(* \(#,##0\);_(*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491987985.30439937</c:v>
                </c:pt>
                <c:pt idx="5">
                  <c:v>549995646.2407974</c:v>
                </c:pt>
                <c:pt idx="6">
                  <c:v>560662390.19561183</c:v>
                </c:pt>
                <c:pt idx="7">
                  <c:v>556088530.04794574</c:v>
                </c:pt>
                <c:pt idx="8">
                  <c:v>633992393.34702742</c:v>
                </c:pt>
                <c:pt idx="9">
                  <c:v>303468803.30725169</c:v>
                </c:pt>
                <c:pt idx="10">
                  <c:v>338730977.0835954</c:v>
                </c:pt>
                <c:pt idx="11">
                  <c:v>374493675.70278597</c:v>
                </c:pt>
                <c:pt idx="12">
                  <c:v>315139863.31226367</c:v>
                </c:pt>
                <c:pt idx="13">
                  <c:v>326841685.14790136</c:v>
                </c:pt>
                <c:pt idx="14">
                  <c:v>147963411.04204205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EA-428C-89FA-37DAAA9B4605}"/>
            </c:ext>
          </c:extLst>
        </c:ser>
        <c:ser>
          <c:idx val="4"/>
          <c:order val="4"/>
          <c:tx>
            <c:strRef>
              <c:f>'Financials &amp; Metrics'!$C$28</c:f>
              <c:strCache>
                <c:ptCount val="1"/>
                <c:pt idx="0">
                  <c:v>Tax Paid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'Financials &amp; Metrics'!$J$28:$AA$28</c:f>
              <c:numCache>
                <c:formatCode>_(* #,##0_);_(* \(#,##0\);_(*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-396283832.64810592</c:v>
                </c:pt>
                <c:pt idx="5">
                  <c:v>-444565004.45874298</c:v>
                </c:pt>
                <c:pt idx="6">
                  <c:v>-452029463.45053405</c:v>
                </c:pt>
                <c:pt idx="7">
                  <c:v>-445866073.19746083</c:v>
                </c:pt>
                <c:pt idx="8">
                  <c:v>-561463335.35990274</c:v>
                </c:pt>
                <c:pt idx="9">
                  <c:v>-251693434.83380562</c:v>
                </c:pt>
                <c:pt idx="10">
                  <c:v>-288031486.89195007</c:v>
                </c:pt>
                <c:pt idx="11">
                  <c:v>-324178151.01909161</c:v>
                </c:pt>
                <c:pt idx="12">
                  <c:v>-270762055.78542328</c:v>
                </c:pt>
                <c:pt idx="13">
                  <c:v>-283629276.09286457</c:v>
                </c:pt>
                <c:pt idx="14">
                  <c:v>-119659190.03876653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EA-428C-89FA-37DAAA9B4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5014328"/>
        <c:axId val="889155072"/>
      </c:barChart>
      <c:lineChart>
        <c:grouping val="standard"/>
        <c:varyColors val="0"/>
        <c:ser>
          <c:idx val="5"/>
          <c:order val="5"/>
          <c:tx>
            <c:strRef>
              <c:f>'Financials &amp; Metrics'!$C$33</c:f>
              <c:strCache>
                <c:ptCount val="1"/>
                <c:pt idx="0">
                  <c:v>Net Cashflow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'Financials &amp; Metrics'!$J$33:$AA$33</c:f>
              <c:numCache>
                <c:formatCode>_(* #,##0_);_(* \(#,##0\);_(* "-"??_);_(@_)</c:formatCode>
                <c:ptCount val="18"/>
                <c:pt idx="0">
                  <c:v>-174221665.5368098</c:v>
                </c:pt>
                <c:pt idx="1">
                  <c:v>-383580473.7028923</c:v>
                </c:pt>
                <c:pt idx="2">
                  <c:v>-714455233.46187568</c:v>
                </c:pt>
                <c:pt idx="3">
                  <c:v>-398220949.79842246</c:v>
                </c:pt>
                <c:pt idx="4">
                  <c:v>1146806990.436934</c:v>
                </c:pt>
                <c:pt idx="5">
                  <c:v>1271305572.8689475</c:v>
                </c:pt>
                <c:pt idx="6">
                  <c:v>1328699954.7466433</c:v>
                </c:pt>
                <c:pt idx="7">
                  <c:v>1353929204.7272694</c:v>
                </c:pt>
                <c:pt idx="8">
                  <c:v>1228894870.6935349</c:v>
                </c:pt>
                <c:pt idx="9">
                  <c:v>607101397.63553977</c:v>
                </c:pt>
                <c:pt idx="10">
                  <c:v>656118999.97974932</c:v>
                </c:pt>
                <c:pt idx="11">
                  <c:v>720857277.05750835</c:v>
                </c:pt>
                <c:pt idx="12">
                  <c:v>588510678.9207319</c:v>
                </c:pt>
                <c:pt idx="13">
                  <c:v>610443909.60839903</c:v>
                </c:pt>
                <c:pt idx="14">
                  <c:v>226166456.81853932</c:v>
                </c:pt>
                <c:pt idx="15">
                  <c:v>-52470000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EA-428C-89FA-37DAAA9B4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014328"/>
        <c:axId val="889155072"/>
      </c:lineChart>
      <c:lineChart>
        <c:grouping val="standard"/>
        <c:varyColors val="0"/>
        <c:ser>
          <c:idx val="6"/>
          <c:order val="6"/>
          <c:tx>
            <c:v>Cumulative Cash Flow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'Financials &amp; Metrics'!$J$36:$AA$36</c:f>
              <c:numCache>
                <c:formatCode>_(* #,##0_);_(* \(#,##0\);_(* "-"??_);_(@_)</c:formatCode>
                <c:ptCount val="18"/>
                <c:pt idx="0">
                  <c:v>-174221665.5368098</c:v>
                </c:pt>
                <c:pt idx="1">
                  <c:v>-557802139.23970211</c:v>
                </c:pt>
                <c:pt idx="2">
                  <c:v>-1272257372.7015777</c:v>
                </c:pt>
                <c:pt idx="3">
                  <c:v>-1670478322.5</c:v>
                </c:pt>
                <c:pt idx="4">
                  <c:v>-523671332.06306601</c:v>
                </c:pt>
                <c:pt idx="5">
                  <c:v>747634240.8058815</c:v>
                </c:pt>
                <c:pt idx="6">
                  <c:v>2076334195.5525248</c:v>
                </c:pt>
                <c:pt idx="7">
                  <c:v>3430263400.2797942</c:v>
                </c:pt>
                <c:pt idx="8">
                  <c:v>4659158270.9733295</c:v>
                </c:pt>
                <c:pt idx="9">
                  <c:v>5266259668.6088696</c:v>
                </c:pt>
                <c:pt idx="10">
                  <c:v>5922378668.5886192</c:v>
                </c:pt>
                <c:pt idx="11">
                  <c:v>6643235945.6461277</c:v>
                </c:pt>
                <c:pt idx="12">
                  <c:v>7231746624.5668592</c:v>
                </c:pt>
                <c:pt idx="13">
                  <c:v>7842190534.1752586</c:v>
                </c:pt>
                <c:pt idx="14">
                  <c:v>8068356990.9937983</c:v>
                </c:pt>
                <c:pt idx="15">
                  <c:v>8015886990.9937983</c:v>
                </c:pt>
                <c:pt idx="16">
                  <c:v>8015886990.9937983</c:v>
                </c:pt>
                <c:pt idx="17">
                  <c:v>8015886990.9937983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EA-428C-89FA-37DAAA9B4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9175784"/>
        <c:axId val="799172832"/>
      </c:lineChart>
      <c:catAx>
        <c:axId val="905014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155072"/>
        <c:crossesAt val="-2.4999999999999999E+32"/>
        <c:auto val="1"/>
        <c:lblAlgn val="ctr"/>
        <c:lblOffset val="100"/>
        <c:noMultiLvlLbl val="0"/>
      </c:catAx>
      <c:valAx>
        <c:axId val="8891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01432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799172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CAD (Cumulative)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75784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99175784"/>
        <c:scaling>
          <c:orientation val="minMax"/>
        </c:scaling>
        <c:delete val="1"/>
        <c:axPos val="b"/>
        <c:majorTickMark val="out"/>
        <c:minorTickMark val="none"/>
        <c:tickLblPos val="nextTo"/>
        <c:crossAx val="799172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'Financials &amp; Metrics'!$C$62</c:f>
              <c:strCache>
                <c:ptCount val="1"/>
                <c:pt idx="0">
                  <c:v>Uranium Sold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'Financials &amp; Metrics'!$J$62:$AB$62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26103000</c:v>
                </c:pt>
                <c:pt idx="5">
                  <c:v>29059000</c:v>
                </c:pt>
                <c:pt idx="6">
                  <c:v>29713000</c:v>
                </c:pt>
                <c:pt idx="7">
                  <c:v>29664000</c:v>
                </c:pt>
                <c:pt idx="8">
                  <c:v>29669000</c:v>
                </c:pt>
                <c:pt idx="9">
                  <c:v>15533999.999999998</c:v>
                </c:pt>
                <c:pt idx="10">
                  <c:v>16785000</c:v>
                </c:pt>
                <c:pt idx="11">
                  <c:v>18109000</c:v>
                </c:pt>
                <c:pt idx="12">
                  <c:v>15397999.999999998</c:v>
                </c:pt>
                <c:pt idx="13">
                  <c:v>15750000.000000002</c:v>
                </c:pt>
                <c:pt idx="14">
                  <c:v>7813000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7-4758-8B97-9A22B007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583160"/>
        <c:axId val="1213588736"/>
      </c:barChart>
      <c:lineChart>
        <c:grouping val="standard"/>
        <c:varyColors val="0"/>
        <c:ser>
          <c:idx val="2"/>
          <c:order val="1"/>
          <c:tx>
            <c:strRef>
              <c:f>Operations!$C$62</c:f>
              <c:strCache>
                <c:ptCount val="1"/>
                <c:pt idx="0">
                  <c:v>Uranium Price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Operations!$J$62:$AA$62</c:f>
              <c:numCache>
                <c:formatCode>_(* #,##0.00_);_(* \(#,##0.00\);_(*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81.5</c:v>
                </c:pt>
                <c:pt idx="5">
                  <c:v>81.5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81.5</c:v>
                </c:pt>
                <c:pt idx="10">
                  <c:v>81.5</c:v>
                </c:pt>
                <c:pt idx="11">
                  <c:v>81.5</c:v>
                </c:pt>
                <c:pt idx="12">
                  <c:v>81.5</c:v>
                </c:pt>
                <c:pt idx="13">
                  <c:v>81.5</c:v>
                </c:pt>
                <c:pt idx="14">
                  <c:v>81.5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57-4758-8B97-9A22B007B5ED}"/>
            </c:ext>
          </c:extLst>
        </c:ser>
        <c:ser>
          <c:idx val="4"/>
          <c:order val="2"/>
          <c:tx>
            <c:strRef>
              <c:f>'Financials &amp; Metrics'!$C$66</c:f>
              <c:strCache>
                <c:ptCount val="1"/>
                <c:pt idx="0">
                  <c:v>C1 Cost 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'Financials &amp; Metrics'!$J$66:$AA$66</c:f>
              <c:numCache>
                <c:formatCode>_(* #,##0_);_(* \(#,##0\);_(*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7.9065105964328701</c:v>
                </c:pt>
                <c:pt idx="5">
                  <c:v>8.2102769918578407</c:v>
                </c:pt>
                <c:pt idx="6">
                  <c:v>7.8884883727239625</c:v>
                </c:pt>
                <c:pt idx="7">
                  <c:v>7.6429626091786531</c:v>
                </c:pt>
                <c:pt idx="8">
                  <c:v>7.8882615786264321</c:v>
                </c:pt>
                <c:pt idx="9">
                  <c:v>14.744941660787127</c:v>
                </c:pt>
                <c:pt idx="10">
                  <c:v>13.421903606707863</c:v>
                </c:pt>
                <c:pt idx="11">
                  <c:v>12.343163780500499</c:v>
                </c:pt>
                <c:pt idx="12">
                  <c:v>14.255090385504779</c:v>
                </c:pt>
                <c:pt idx="13">
                  <c:v>13.671610759430266</c:v>
                </c:pt>
                <c:pt idx="14">
                  <c:v>22.446703234462341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57-4758-8B97-9A22B007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324584"/>
        <c:axId val="1165323600"/>
      </c:lineChart>
      <c:catAx>
        <c:axId val="1213583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588736"/>
        <c:crosses val="autoZero"/>
        <c:auto val="1"/>
        <c:lblAlgn val="ctr"/>
        <c:lblOffset val="100"/>
        <c:noMultiLvlLbl val="0"/>
      </c:catAx>
      <c:valAx>
        <c:axId val="121358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</a:t>
                </a:r>
                <a:r>
                  <a:rPr lang="en-US" baseline="0"/>
                  <a:t> Produced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583160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1653236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USD/lb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324584"/>
        <c:crosses val="max"/>
        <c:crossBetween val="between"/>
      </c:valAx>
      <c:catAx>
        <c:axId val="1165324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165323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Cost-Revenue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71300018843239E-2"/>
          <c:y val="8.9242082744755855E-2"/>
          <c:w val="0.85865982901626359"/>
          <c:h val="0.81885683806232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Operations!$N$4:$X$4</c:f>
              <c:strCach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Operations!$N$69:$X$69</c:f>
              <c:numCache>
                <c:formatCode>_(* #,##0_);_(* \(#,##0\);_(* "-"??_);_(@_)</c:formatCode>
                <c:ptCount val="11"/>
                <c:pt idx="0">
                  <c:v>2836526000</c:v>
                </c:pt>
                <c:pt idx="1">
                  <c:v>3157744666.6666665</c:v>
                </c:pt>
                <c:pt idx="2">
                  <c:v>3228812666.6666665</c:v>
                </c:pt>
                <c:pt idx="3">
                  <c:v>3223488000</c:v>
                </c:pt>
                <c:pt idx="4">
                  <c:v>3224031333.3333335</c:v>
                </c:pt>
                <c:pt idx="5">
                  <c:v>1688027999.9999998</c:v>
                </c:pt>
                <c:pt idx="6">
                  <c:v>1823970000</c:v>
                </c:pt>
                <c:pt idx="7">
                  <c:v>1967844666.6666667</c:v>
                </c:pt>
                <c:pt idx="8">
                  <c:v>1673249333.333333</c:v>
                </c:pt>
                <c:pt idx="9">
                  <c:v>1711500000.0000002</c:v>
                </c:pt>
                <c:pt idx="10">
                  <c:v>849012666.66666663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9742-A413-5DD43135B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605392"/>
        <c:axId val="577621856"/>
      </c:barChart>
      <c:lineChart>
        <c:grouping val="standard"/>
        <c:varyColors val="0"/>
        <c:ser>
          <c:idx val="1"/>
          <c:order val="1"/>
          <c:tx>
            <c:strRef>
              <c:f>Operations!$C$110</c:f>
              <c:strCache>
                <c:ptCount val="1"/>
                <c:pt idx="0">
                  <c:v>Total Operating Costs (2024)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Operations!$N$110:$X$110</c:f>
              <c:numCache>
                <c:formatCode>_(* #,##0_);_(* \(#,##0\);_(* "-"??_);_(@_)</c:formatCode>
                <c:ptCount val="11"/>
                <c:pt idx="0">
                  <c:v>275178194.7982496</c:v>
                </c:pt>
                <c:pt idx="1">
                  <c:v>318109918.80852932</c:v>
                </c:pt>
                <c:pt idx="2">
                  <c:v>312520873.35832947</c:v>
                </c:pt>
                <c:pt idx="3">
                  <c:v>302294457.1182341</c:v>
                </c:pt>
                <c:pt idx="4">
                  <c:v>312049110.36835682</c:v>
                </c:pt>
                <c:pt idx="5">
                  <c:v>305397231.67822289</c:v>
                </c:pt>
                <c:pt idx="6">
                  <c:v>300382202.71812195</c:v>
                </c:pt>
                <c:pt idx="7">
                  <c:v>298029803.86811137</c:v>
                </c:pt>
                <c:pt idx="8">
                  <c:v>292666509.00800341</c:v>
                </c:pt>
                <c:pt idx="9">
                  <c:v>287103825.94803566</c:v>
                </c:pt>
                <c:pt idx="10">
                  <c:v>233834789.8278057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5-9742-A413-5DD43135B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21376"/>
        <c:axId val="232517376"/>
      </c:lineChart>
      <c:catAx>
        <c:axId val="57760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Production</a:t>
                </a:r>
                <a:r>
                  <a:rPr lang="en-US" sz="1200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21856"/>
        <c:crosses val="autoZero"/>
        <c:auto val="1"/>
        <c:lblAlgn val="ctr"/>
        <c:lblOffset val="100"/>
        <c:noMultiLvlLbl val="0"/>
      </c:catAx>
      <c:valAx>
        <c:axId val="5776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0539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232517376"/>
        <c:scaling>
          <c:orientation val="minMax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FF00"/>
                </a:solidFill>
                <a:effectLst>
                  <a:outerShdw blurRad="50800" dist="50800" dir="5400000" sx="70000" sy="70000" algn="ctr" rotWithShape="0">
                    <a:srgbClr val="EF4136"/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21376"/>
        <c:crosses val="max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.96119523198051848"/>
                <c:y val="6.3257788671611553E-2"/>
              </c:manualLayout>
            </c:layout>
            <c:spPr>
              <a:noFill/>
              <a:ln cap="flat">
                <a:solidFill>
                  <a:schemeClr val="tx1"/>
                </a:solidFill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ln>
                      <a:noFill/>
                    </a:ln>
                    <a:solidFill>
                      <a:sysClr val="window" lastClr="FFFFFF">
                        <a:lumMod val="8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23252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32517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Mining</a:t>
            </a:r>
            <a:r>
              <a:rPr lang="en-US" baseline="0"/>
              <a:t> Cost Breakdown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21-A449-A18E-EA4EFA1B0C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21-A449-A18E-EA4EFA1B0CD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(Operations!$C$78,Operations!$C$82)</c:f>
              <c:strCache>
                <c:ptCount val="2"/>
                <c:pt idx="0">
                  <c:v>Fixed Mining Cost</c:v>
                </c:pt>
                <c:pt idx="1">
                  <c:v>Variable Mining Cost</c:v>
                </c:pt>
              </c:strCache>
            </c:strRef>
          </c:cat>
          <c:val>
            <c:numRef>
              <c:f>(Operations!$I$78,Operations!$I$82)</c:f>
              <c:numCache>
                <c:formatCode>_(* #,##0_);_(* \(#,##0\);_(* "-"??_);_(@_)</c:formatCode>
                <c:ptCount val="2"/>
                <c:pt idx="0">
                  <c:v>419800000.00000012</c:v>
                </c:pt>
                <c:pt idx="1">
                  <c:v>271400000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21-A449-A18E-EA4EFA1B0CD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Processing</a:t>
            </a:r>
            <a:r>
              <a:rPr lang="en-US" baseline="0"/>
              <a:t> Cost Breakdown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01A-924D-861C-A02B9837CA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01A-924D-861C-A02B9837CA8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(Operations!$C$86,Operations!$C$89)</c:f>
              <c:strCache>
                <c:ptCount val="2"/>
                <c:pt idx="0">
                  <c:v>Fixed Processing Cost</c:v>
                </c:pt>
                <c:pt idx="1">
                  <c:v>Variable Processing Cost</c:v>
                </c:pt>
              </c:strCache>
            </c:strRef>
          </c:cat>
          <c:val>
            <c:numRef>
              <c:f>(Operations!$I$86,Operations!$I$89)</c:f>
              <c:numCache>
                <c:formatCode>_(* #,##0_);_(* \(#,##0\);_(* "-"??_);_(@_)</c:formatCode>
                <c:ptCount val="2"/>
                <c:pt idx="0">
                  <c:v>305799999.99999994</c:v>
                </c:pt>
                <c:pt idx="1">
                  <c:v>341157750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1A-924D-861C-A02B9837CA8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Cost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80-C541-A7AF-684E61C2EB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80-C541-A7AF-684E61C2EB2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(Operations!$C$107,Operations!$C$108)</c:f>
              <c:strCache>
                <c:ptCount val="2"/>
                <c:pt idx="0">
                  <c:v>Fixed Operating Costs</c:v>
                </c:pt>
                <c:pt idx="1">
                  <c:v>Variable Operating Costs</c:v>
                </c:pt>
              </c:strCache>
            </c:strRef>
          </c:cat>
          <c:val>
            <c:numRef>
              <c:f>(Operations!$I$107,Operations!$I$108)</c:f>
              <c:numCache>
                <c:formatCode>_(* #,##0_);_(* \(#,##0\);_(* "-"??_);_(@_)</c:formatCode>
                <c:ptCount val="2"/>
                <c:pt idx="0">
                  <c:v>1026400000.0000004</c:v>
                </c:pt>
                <c:pt idx="1">
                  <c:v>742762250.00000012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0-C541-A7AF-684E61C2EB2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Mine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20928007190509"/>
          <c:y val="9.4303960465412021E-2"/>
          <c:w val="0.82512314779096418"/>
          <c:h val="0.80037330910559257"/>
        </c:manualLayout>
      </c:layout>
      <c:areaChart>
        <c:grouping val="standard"/>
        <c:varyColors val="0"/>
        <c:ser>
          <c:idx val="0"/>
          <c:order val="0"/>
          <c:tx>
            <c:strRef>
              <c:f>Operations!$C$37</c:f>
              <c:strCache>
                <c:ptCount val="1"/>
                <c:pt idx="0">
                  <c:v>Ore Mined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Operations!$M$37:$X$37</c:f>
              <c:numCache>
                <c:formatCode>_(* #,##0_);_(* \(#,##0\);_(* "-"??_);_(@_)</c:formatCode>
                <c:ptCount val="12"/>
                <c:pt idx="0">
                  <c:v>14000</c:v>
                </c:pt>
                <c:pt idx="1">
                  <c:v>247000</c:v>
                </c:pt>
                <c:pt idx="2">
                  <c:v>424000</c:v>
                </c:pt>
                <c:pt idx="3">
                  <c:v>410000</c:v>
                </c:pt>
                <c:pt idx="4">
                  <c:v>471000</c:v>
                </c:pt>
                <c:pt idx="5">
                  <c:v>456000</c:v>
                </c:pt>
                <c:pt idx="6">
                  <c:v>454000</c:v>
                </c:pt>
                <c:pt idx="7">
                  <c:v>455000</c:v>
                </c:pt>
                <c:pt idx="8">
                  <c:v>455000</c:v>
                </c:pt>
                <c:pt idx="9">
                  <c:v>369000</c:v>
                </c:pt>
                <c:pt idx="10">
                  <c:v>335000</c:v>
                </c:pt>
                <c:pt idx="11">
                  <c:v>258000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8-FB44-BCCE-E97A8422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27184"/>
        <c:axId val="229128896"/>
      </c:areaChart>
      <c:lineChart>
        <c:grouping val="standard"/>
        <c:varyColors val="0"/>
        <c:ser>
          <c:idx val="1"/>
          <c:order val="1"/>
          <c:tx>
            <c:strRef>
              <c:f>Operations!$C$39</c:f>
              <c:strCache>
                <c:ptCount val="1"/>
                <c:pt idx="0">
                  <c:v>Uranium Grade Mined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Operations!$M$39:$X$39</c:f>
              <c:numCache>
                <c:formatCode>_(* #,##0.00%_);_(* \(#,##0.00%\);_(* "-"??_);_(@_)</c:formatCode>
                <c:ptCount val="12"/>
                <c:pt idx="0">
                  <c:v>0.05</c:v>
                </c:pt>
                <c:pt idx="1">
                  <c:v>5.3999999999999999E-2</c:v>
                </c:pt>
                <c:pt idx="2">
                  <c:v>3.1E-2</c:v>
                </c:pt>
                <c:pt idx="3">
                  <c:v>3.1E-2</c:v>
                </c:pt>
                <c:pt idx="4">
                  <c:v>0.03</c:v>
                </c:pt>
                <c:pt idx="5">
                  <c:v>0.03</c:v>
                </c:pt>
                <c:pt idx="6">
                  <c:v>1.4999999999999999E-2</c:v>
                </c:pt>
                <c:pt idx="7">
                  <c:v>1.7999999999999999E-2</c:v>
                </c:pt>
                <c:pt idx="8">
                  <c:v>1.9E-2</c:v>
                </c:pt>
                <c:pt idx="9">
                  <c:v>1.7999999999999999E-2</c:v>
                </c:pt>
                <c:pt idx="10">
                  <c:v>2.1000000000000001E-2</c:v>
                </c:pt>
                <c:pt idx="11">
                  <c:v>1.2999999999999999E-2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8-FB44-BCCE-E97A8422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394336"/>
        <c:axId val="930391760"/>
      </c:lineChart>
      <c:catAx>
        <c:axId val="22912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Production</a:t>
                </a:r>
                <a:r>
                  <a:rPr lang="en-US" sz="1600" baseline="0"/>
                  <a:t> Year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0.46392881291507876"/>
              <c:y val="0.951692206743388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28896"/>
        <c:crosses val="autoZero"/>
        <c:auto val="1"/>
        <c:lblAlgn val="ctr"/>
        <c:lblOffset val="100"/>
        <c:noMultiLvlLbl val="0"/>
      </c:catAx>
      <c:valAx>
        <c:axId val="2291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Ore Mined</a:t>
                </a:r>
              </a:p>
            </c:rich>
          </c:tx>
          <c:layout>
            <c:manualLayout>
              <c:xMode val="edge"/>
              <c:yMode val="edge"/>
              <c:x val="9.836090093566327E-3"/>
              <c:y val="0.42811504598161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27184"/>
        <c:crosses val="autoZero"/>
        <c:crossBetween val="between"/>
      </c:valAx>
      <c:valAx>
        <c:axId val="930391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Uranium Grade</a:t>
                </a:r>
              </a:p>
            </c:rich>
          </c:tx>
          <c:layout>
            <c:manualLayout>
              <c:xMode val="edge"/>
              <c:yMode val="edge"/>
              <c:x val="0.96431196470855385"/>
              <c:y val="0.4060598011736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394336"/>
        <c:crosses val="max"/>
        <c:crossBetween val="between"/>
      </c:valAx>
      <c:catAx>
        <c:axId val="930394336"/>
        <c:scaling>
          <c:orientation val="minMax"/>
        </c:scaling>
        <c:delete val="1"/>
        <c:axPos val="b"/>
        <c:majorTickMark val="out"/>
        <c:minorTickMark val="none"/>
        <c:tickLblPos val="nextTo"/>
        <c:crossAx val="930391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CAPEX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89-3442-BA28-F7D91D8CD6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89-3442-BA28-F7D91D8CD6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089-3442-BA28-F7D91D8CD6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089-3442-BA28-F7D91D8CD63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089-3442-BA28-F7D91D8CD63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089-3442-BA28-F7D91D8CD63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Operations!$C$24:$C$29</c:f>
              <c:strCache>
                <c:ptCount val="6"/>
                <c:pt idx="0">
                  <c:v>Mining</c:v>
                </c:pt>
                <c:pt idx="1">
                  <c:v>Processing</c:v>
                </c:pt>
                <c:pt idx="2">
                  <c:v>Site Development</c:v>
                </c:pt>
                <c:pt idx="3">
                  <c:v>On Site / Off Site Infrastructure</c:v>
                </c:pt>
                <c:pt idx="4">
                  <c:v>Indirect Costs</c:v>
                </c:pt>
                <c:pt idx="5">
                  <c:v>Owner's Costs</c:v>
                </c:pt>
              </c:strCache>
            </c:strRef>
          </c:cat>
          <c:val>
            <c:numRef>
              <c:f>Operations!$I$24:$I$29</c:f>
              <c:numCache>
                <c:formatCode>_(* #,##0_);_(* \(#,##0\);_(* "-"??_);_(@_)</c:formatCode>
                <c:ptCount val="6"/>
                <c:pt idx="0">
                  <c:v>267600000</c:v>
                </c:pt>
                <c:pt idx="1">
                  <c:v>239771200.00000003</c:v>
                </c:pt>
                <c:pt idx="2">
                  <c:v>30940900</c:v>
                </c:pt>
                <c:pt idx="3">
                  <c:v>132811299.99999999</c:v>
                </c:pt>
                <c:pt idx="4">
                  <c:v>362415000</c:v>
                </c:pt>
                <c:pt idx="5">
                  <c:v>108669000.00000001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089-3442-BA28-F7D91D8CD63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01572402495162"/>
          <c:y val="0.3502783244562292"/>
          <c:w val="0.26270271570864095"/>
          <c:h val="0.3282090483722374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Cumulative Free Cash Flow to Equity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FCFE!$B$26</c:f>
              <c:strCache>
                <c:ptCount val="1"/>
                <c:pt idx="0">
                  <c:v>Cumulative FCFE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FCFE!$F$26:$U$26</c:f>
              <c:numCache>
                <c:formatCode>"$"#,##0_);\("$"#,##0\)</c:formatCode>
                <c:ptCount val="16"/>
                <c:pt idx="0">
                  <c:v>374454445.95092022</c:v>
                </c:pt>
                <c:pt idx="1">
                  <c:v>-138056185.65293616</c:v>
                </c:pt>
                <c:pt idx="2">
                  <c:v>-1155963163.6021037</c:v>
                </c:pt>
                <c:pt idx="3">
                  <c:v>-1743424430.0000002</c:v>
                </c:pt>
                <c:pt idx="4">
                  <c:v>-1708676957.7507553</c:v>
                </c:pt>
                <c:pt idx="5">
                  <c:v>-1580692308.9254923</c:v>
                </c:pt>
                <c:pt idx="6">
                  <c:v>-1439435217.5966346</c:v>
                </c:pt>
                <c:pt idx="7">
                  <c:v>-1314972892.9602757</c:v>
                </c:pt>
                <c:pt idx="8">
                  <c:v>-285297965.36889577</c:v>
                </c:pt>
                <c:pt idx="9">
                  <c:v>202769164.81182384</c:v>
                </c:pt>
                <c:pt idx="10">
                  <c:v>815395998.11815643</c:v>
                </c:pt>
                <c:pt idx="11">
                  <c:v>1562146800.8615007</c:v>
                </c:pt>
                <c:pt idx="12">
                  <c:v>2199165239.4224768</c:v>
                </c:pt>
                <c:pt idx="13">
                  <c:v>2897515452.2336755</c:v>
                </c:pt>
                <c:pt idx="14">
                  <c:v>3135620094.6583943</c:v>
                </c:pt>
                <c:pt idx="15">
                  <c:v>3065660094.6583943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A0-594B-9370-33B83FA95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521632"/>
        <c:axId val="1482493600"/>
      </c:lineChart>
      <c:catAx>
        <c:axId val="436521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493600"/>
        <c:crosses val="autoZero"/>
        <c:auto val="1"/>
        <c:lblAlgn val="ctr"/>
        <c:lblOffset val="100"/>
        <c:noMultiLvlLbl val="0"/>
      </c:catAx>
      <c:valAx>
        <c:axId val="148249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2163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230000</xdr:colOff>
      <xdr:row>4</xdr:row>
      <xdr:rowOff>36978</xdr:rowOff>
    </xdr:from>
    <xdr:to>
      <xdr:col>22</xdr:col>
      <xdr:colOff>391927</xdr:colOff>
      <xdr:row>30</xdr:row>
      <xdr:rowOff>132788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11A5A4-4BBF-4D75-BE9E-D0422B142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237471</xdr:colOff>
      <xdr:row>31</xdr:row>
      <xdr:rowOff>107575</xdr:rowOff>
    </xdr:from>
    <xdr:to>
      <xdr:col>22</xdr:col>
      <xdr:colOff>426851</xdr:colOff>
      <xdr:row>58</xdr:row>
      <xdr:rowOff>43142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F56E4952-F655-4491-AA0D-22C1A1C83F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11546</xdr:colOff>
      <xdr:row>34</xdr:row>
      <xdr:rowOff>69273</xdr:rowOff>
    </xdr:from>
    <xdr:to>
      <xdr:col>7</xdr:col>
      <xdr:colOff>1004455</xdr:colOff>
      <xdr:row>65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DD3186-10DD-634E-A879-53CF932137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35</xdr:row>
      <xdr:rowOff>0</xdr:rowOff>
    </xdr:from>
    <xdr:to>
      <xdr:col>11</xdr:col>
      <xdr:colOff>764470</xdr:colOff>
      <xdr:row>57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602CA9-93CC-3B4E-9D6F-C6358097F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796219</xdr:colOff>
      <xdr:row>35</xdr:row>
      <xdr:rowOff>6350</xdr:rowOff>
    </xdr:from>
    <xdr:to>
      <xdr:col>17</xdr:col>
      <xdr:colOff>63499</xdr:colOff>
      <xdr:row>57</xdr:row>
      <xdr:rowOff>118533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9EFDDE-ADC1-964E-B115-B6C26FCAC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49389</xdr:colOff>
      <xdr:row>35</xdr:row>
      <xdr:rowOff>9524</xdr:rowOff>
    </xdr:from>
    <xdr:to>
      <xdr:col>22</xdr:col>
      <xdr:colOff>416278</xdr:colOff>
      <xdr:row>57</xdr:row>
      <xdr:rowOff>121707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02DF34-95B7-CB4B-9142-C199A02B6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71</xdr:row>
      <xdr:rowOff>0</xdr:rowOff>
    </xdr:from>
    <xdr:to>
      <xdr:col>8</xdr:col>
      <xdr:colOff>174625</xdr:colOff>
      <xdr:row>105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D9AAAF-4A87-1D48-91CC-1BF9EC373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1254125</xdr:colOff>
      <xdr:row>70</xdr:row>
      <xdr:rowOff>79375</xdr:rowOff>
    </xdr:from>
    <xdr:to>
      <xdr:col>16</xdr:col>
      <xdr:colOff>200772</xdr:colOff>
      <xdr:row>102</xdr:row>
      <xdr:rowOff>154081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995523-2294-BF47-A62F-1BB783E4B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108</xdr:row>
      <xdr:rowOff>0</xdr:rowOff>
    </xdr:from>
    <xdr:to>
      <xdr:col>8</xdr:col>
      <xdr:colOff>1053042</xdr:colOff>
      <xdr:row>139</xdr:row>
      <xdr:rowOff>130527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4101889-2C96-904D-AB9C-F65A08C7B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5" dT="2024-12-04T23:30:05.57" personId="{00000000-0000-0000-0000-000000000000}" id="{84006F9B-6611-0A43-9A51-9CBE30DDABF7}">
    <text>Company has not started to generate revenue so that I ignore the tax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0" dT="2024-12-04T21:42:50.96" personId="{00000000-0000-0000-0000-000000000000}" id="{BF69892A-0989-F849-805A-0C15F1E9A60A}">
    <text>It is for dynamic inflation</text>
  </threadedComment>
  <threadedComment ref="C32" dT="2024-10-19T17:25:04.41" personId="{00000000-0000-0000-0000-000000000000}" id="{BA69AB1F-9556-4C5F-A171-88C2688C3F32}">
    <text>Inflated by 95% based on 2021 pre-production cost of C$1.142B to 2024 reported pre-production capex of C$2.2B.</text>
  </threadedComment>
  <threadedComment ref="G62" dT="2024-10-19T18:15:41.39" personId="{00000000-0000-0000-0000-000000000000}" id="{B20FC017-F8BF-4550-8F6B-4D6D3E48A316}">
    <text>Spot long term contract price, as reported by Cameco</text>
  </threadedComment>
  <threadedComment ref="C110" dT="2024-10-19T17:13:18.47" personId="{00000000-0000-0000-0000-000000000000}" id="{9F5A30DF-1EFA-482A-A347-084BDA6D21A4}">
    <text>Inflated by 83% based on press release from 1 Aug 2024 (C$7.58/lb opex up to C$13.86/lb)</text>
  </threadedComment>
  <threadedComment ref="C116" dT="2024-10-19T17:21:57.73" personId="{00000000-0000-0000-0000-000000000000}" id="{6B051102-FAAF-4865-A299-92C6580A9210}">
    <text>Inflated based on C$362 in 2021 to $715M in 2024 ($785M inclusive of closure)</text>
  </threadedComment>
  <threadedComment ref="C117" dT="2024-10-19T17:23:06.06" personId="{00000000-0000-0000-0000-000000000000}" id="{0F1D30C9-E41B-4BDE-831C-A37DB0D6E9BA}">
    <text>Estimated based on new closure cost of C$70M (assumed to be net of salvage value) vs net C$53M previously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/>
  </sheetPr>
  <dimension ref="B3:H69"/>
  <sheetViews>
    <sheetView zoomScale="85" zoomScaleNormal="85" workbookViewId="0">
      <selection activeCell="G51" sqref="G51"/>
    </sheetView>
  </sheetViews>
  <sheetFormatPr baseColWidth="10" defaultColWidth="9.1640625" defaultRowHeight="13" x14ac:dyDescent="0.15"/>
  <cols>
    <col min="1" max="1" width="9.1640625" style="24"/>
    <col min="2" max="2" width="30.33203125" style="24" bestFit="1" customWidth="1"/>
    <col min="3" max="3" width="17.5" style="24" bestFit="1" customWidth="1"/>
    <col min="4" max="4" width="13.83203125" style="24" customWidth="1"/>
    <col min="5" max="5" width="9.1640625" style="24"/>
    <col min="6" max="6" width="26.83203125" style="24" bestFit="1" customWidth="1"/>
    <col min="7" max="7" width="18.1640625" style="24" customWidth="1"/>
    <col min="8" max="8" width="20.5" style="24" customWidth="1"/>
    <col min="9" max="16384" width="9.1640625" style="24"/>
  </cols>
  <sheetData>
    <row r="3" spans="2:8" x14ac:dyDescent="0.15">
      <c r="C3" s="25"/>
    </row>
    <row r="5" spans="2:8" ht="14" x14ac:dyDescent="0.15">
      <c r="B5" s="17" t="s">
        <v>25</v>
      </c>
      <c r="C5" s="17"/>
      <c r="D5" s="17"/>
      <c r="F5" s="17" t="s">
        <v>26</v>
      </c>
      <c r="G5" s="17"/>
      <c r="H5" s="17"/>
    </row>
    <row r="6" spans="2:8" x14ac:dyDescent="0.15">
      <c r="B6" s="26" t="s">
        <v>27</v>
      </c>
      <c r="C6" s="26"/>
      <c r="D6" s="26"/>
      <c r="F6" s="26" t="s">
        <v>31</v>
      </c>
      <c r="G6" s="26"/>
      <c r="H6" s="26"/>
    </row>
    <row r="7" spans="2:8" x14ac:dyDescent="0.15">
      <c r="B7" s="28" t="s">
        <v>147</v>
      </c>
      <c r="C7" s="31" t="s">
        <v>132</v>
      </c>
      <c r="D7" s="44">
        <f>Operations!I62</f>
        <v>81.5</v>
      </c>
      <c r="F7" s="27" t="s">
        <v>74</v>
      </c>
      <c r="G7" s="27"/>
      <c r="H7" s="27"/>
    </row>
    <row r="8" spans="2:8" x14ac:dyDescent="0.15">
      <c r="F8" s="28" t="s">
        <v>32</v>
      </c>
      <c r="G8" s="31" t="s">
        <v>167</v>
      </c>
      <c r="H8" s="44">
        <f>'Financials &amp; Metrics'!I10</f>
        <v>25384207333.333332</v>
      </c>
    </row>
    <row r="9" spans="2:8" x14ac:dyDescent="0.15">
      <c r="B9" s="26" t="s">
        <v>12</v>
      </c>
      <c r="C9" s="26"/>
      <c r="D9" s="26"/>
      <c r="F9" s="28" t="s">
        <v>137</v>
      </c>
      <c r="G9" s="31" t="s">
        <v>167</v>
      </c>
      <c r="H9" s="44">
        <f>'Financials &amp; Metrics'!I18+'Financials &amp; Metrics'!I15</f>
        <v>-5077921949.166666</v>
      </c>
    </row>
    <row r="10" spans="2:8" x14ac:dyDescent="0.15">
      <c r="B10" s="28" t="s">
        <v>46</v>
      </c>
      <c r="C10" s="31" t="s">
        <v>14</v>
      </c>
      <c r="D10" s="46">
        <f>Operations!E5</f>
        <v>4</v>
      </c>
      <c r="F10" s="28" t="s">
        <v>34</v>
      </c>
      <c r="G10" s="31" t="s">
        <v>167</v>
      </c>
      <c r="H10" s="44">
        <f>H8+H9</f>
        <v>20306285384.166664</v>
      </c>
    </row>
    <row r="11" spans="2:8" x14ac:dyDescent="0.15">
      <c r="B11" s="28" t="s">
        <v>47</v>
      </c>
      <c r="C11" s="31" t="s">
        <v>14</v>
      </c>
      <c r="D11" s="46">
        <f>Operations!E6</f>
        <v>11</v>
      </c>
      <c r="F11" s="28" t="s">
        <v>35</v>
      </c>
      <c r="G11" s="31" t="s">
        <v>18</v>
      </c>
      <c r="H11" s="45">
        <f>H10/H8</f>
        <v>0.79995743485365478</v>
      </c>
    </row>
    <row r="12" spans="2:8" x14ac:dyDescent="0.15">
      <c r="B12" s="28"/>
      <c r="C12" s="31"/>
      <c r="F12" s="28" t="s">
        <v>36</v>
      </c>
      <c r="G12" s="31" t="s">
        <v>167</v>
      </c>
      <c r="H12" s="44">
        <f>-'Financials &amp; Metrics'!I28</f>
        <v>3838161303.776648</v>
      </c>
    </row>
    <row r="13" spans="2:8" x14ac:dyDescent="0.15">
      <c r="B13" s="26" t="s">
        <v>28</v>
      </c>
      <c r="C13" s="26"/>
      <c r="D13" s="26"/>
      <c r="F13" s="28" t="s">
        <v>37</v>
      </c>
      <c r="G13" s="31" t="s">
        <v>167</v>
      </c>
      <c r="H13" s="44">
        <f>'Financials &amp; Metrics'!I33</f>
        <v>8015886990.9937983</v>
      </c>
    </row>
    <row r="14" spans="2:8" x14ac:dyDescent="0.15">
      <c r="B14" s="28" t="s">
        <v>48</v>
      </c>
      <c r="C14" s="31" t="s">
        <v>129</v>
      </c>
      <c r="D14" s="44">
        <f>Operations!I37</f>
        <v>4348000</v>
      </c>
    </row>
    <row r="15" spans="2:8" x14ac:dyDescent="0.15">
      <c r="B15" s="28" t="s">
        <v>50</v>
      </c>
      <c r="C15" s="31" t="s">
        <v>129</v>
      </c>
      <c r="D15" s="44">
        <f>Operations!I36</f>
        <v>10587000</v>
      </c>
      <c r="F15" s="29" t="s">
        <v>41</v>
      </c>
      <c r="G15" s="30"/>
      <c r="H15" s="30"/>
    </row>
    <row r="16" spans="2:8" x14ac:dyDescent="0.15">
      <c r="B16" s="28" t="s">
        <v>51</v>
      </c>
      <c r="C16" s="31" t="s">
        <v>129</v>
      </c>
      <c r="D16" s="53">
        <f>SUM(D14:D15)</f>
        <v>14935000</v>
      </c>
      <c r="F16" s="28" t="s">
        <v>43</v>
      </c>
      <c r="G16" s="31" t="s">
        <v>0</v>
      </c>
      <c r="H16" s="44">
        <f>'Financials &amp; Metrics'!I53</f>
        <v>12963765715.625002</v>
      </c>
    </row>
    <row r="17" spans="2:8" x14ac:dyDescent="0.15">
      <c r="B17" s="28"/>
      <c r="C17" s="31"/>
      <c r="F17" s="57" t="str">
        <f>'Financials &amp; Metrics'!C55</f>
        <v>NPV @ 5%</v>
      </c>
      <c r="G17" s="31" t="s">
        <v>0</v>
      </c>
      <c r="H17" s="44">
        <f>'Financials &amp; Metrics'!J55</f>
        <v>8095577956.2743816</v>
      </c>
    </row>
    <row r="18" spans="2:8" x14ac:dyDescent="0.15">
      <c r="B18" s="28" t="s">
        <v>156</v>
      </c>
      <c r="C18" s="31" t="s">
        <v>18</v>
      </c>
      <c r="D18" s="61">
        <f>Operations!I39</f>
        <v>2.4925942962281501E-2</v>
      </c>
      <c r="F18" s="57" t="str">
        <f>'Financials &amp; Metrics'!C56</f>
        <v>NPV @ 8%</v>
      </c>
      <c r="G18" s="31" t="s">
        <v>0</v>
      </c>
      <c r="H18" s="44">
        <f>'Financials &amp; Metrics'!J56</f>
        <v>6181390003.0755539</v>
      </c>
    </row>
    <row r="19" spans="2:8" x14ac:dyDescent="0.15">
      <c r="F19" s="57" t="str">
        <f>'Financials &amp; Metrics'!C57</f>
        <v>NPV @ 10%</v>
      </c>
      <c r="G19" s="31" t="s">
        <v>0</v>
      </c>
      <c r="H19" s="44">
        <f>'Financials &amp; Metrics'!J57</f>
        <v>5186187642.9704247</v>
      </c>
    </row>
    <row r="20" spans="2:8" x14ac:dyDescent="0.15">
      <c r="B20" s="24" t="s">
        <v>157</v>
      </c>
      <c r="C20" s="31" t="s">
        <v>158</v>
      </c>
      <c r="D20" s="62">
        <f>Operations!I41/Million</f>
        <v>238.93230635999993</v>
      </c>
      <c r="F20" s="28" t="s">
        <v>44</v>
      </c>
      <c r="G20" s="31" t="s">
        <v>18</v>
      </c>
      <c r="H20" s="57">
        <f>'Financials &amp; Metrics'!J59</f>
        <v>0.55128786493443349</v>
      </c>
    </row>
    <row r="22" spans="2:8" x14ac:dyDescent="0.15">
      <c r="B22" s="26" t="s">
        <v>29</v>
      </c>
      <c r="C22" s="26"/>
      <c r="D22" s="26"/>
      <c r="F22" s="29" t="s">
        <v>42</v>
      </c>
      <c r="G22" s="30"/>
      <c r="H22" s="30"/>
    </row>
    <row r="23" spans="2:8" x14ac:dyDescent="0.15">
      <c r="B23" s="28"/>
      <c r="F23" s="28" t="s">
        <v>43</v>
      </c>
      <c r="G23" s="31" t="s">
        <v>0</v>
      </c>
      <c r="H23" s="44">
        <f>'Financials &amp; Metrics'!I33</f>
        <v>8015886990.9937983</v>
      </c>
    </row>
    <row r="24" spans="2:8" x14ac:dyDescent="0.15">
      <c r="B24" s="28" t="s">
        <v>159</v>
      </c>
      <c r="C24" s="31" t="s">
        <v>18</v>
      </c>
      <c r="D24" s="61">
        <f>Operations!I45</f>
        <v>2.3729719355333946E-2</v>
      </c>
      <c r="F24" s="57" t="str">
        <f>'Financials &amp; Metrics'!C40</f>
        <v>NPV @ 5%</v>
      </c>
      <c r="G24" s="31" t="s">
        <v>0</v>
      </c>
      <c r="H24" s="44">
        <f>'Financials &amp; Metrics'!J40</f>
        <v>4904312996.3747883</v>
      </c>
    </row>
    <row r="25" spans="2:8" x14ac:dyDescent="0.15">
      <c r="F25" s="57" t="str">
        <f>'Financials &amp; Metrics'!C41</f>
        <v>NPV @ 8%</v>
      </c>
      <c r="G25" s="31" t="s">
        <v>0</v>
      </c>
      <c r="H25" s="44">
        <f>'Financials &amp; Metrics'!J41</f>
        <v>3682196006.7143154</v>
      </c>
    </row>
    <row r="26" spans="2:8" x14ac:dyDescent="0.15">
      <c r="B26" s="24" t="s">
        <v>144</v>
      </c>
      <c r="C26" s="31" t="s">
        <v>18</v>
      </c>
      <c r="D26" s="55">
        <f>Operations!I48</f>
        <v>0.97599999999999998</v>
      </c>
      <c r="F26" s="57" t="str">
        <f>'Financials &amp; Metrics'!C42</f>
        <v>NPV @ 10%</v>
      </c>
      <c r="G26" s="31" t="s">
        <v>0</v>
      </c>
      <c r="H26" s="44">
        <f>'Financials &amp; Metrics'!J42</f>
        <v>3047815155.1500077</v>
      </c>
    </row>
    <row r="27" spans="2:8" x14ac:dyDescent="0.15">
      <c r="F27" s="28" t="s">
        <v>44</v>
      </c>
      <c r="G27" s="31" t="s">
        <v>18</v>
      </c>
      <c r="H27" s="57">
        <f>'Financials &amp; Metrics'!J44</f>
        <v>0.41807919899907953</v>
      </c>
    </row>
    <row r="28" spans="2:8" x14ac:dyDescent="0.15">
      <c r="B28" s="24" t="s">
        <v>145</v>
      </c>
      <c r="C28" s="31" t="s">
        <v>158</v>
      </c>
      <c r="D28" s="44">
        <f>Operations!I51/Million</f>
        <v>233.59700000000001</v>
      </c>
      <c r="F28" s="28" t="s">
        <v>45</v>
      </c>
      <c r="G28" s="31" t="s">
        <v>14</v>
      </c>
      <c r="H28" s="24">
        <f>'Financials &amp; Metrics'!J50</f>
        <v>2</v>
      </c>
    </row>
    <row r="30" spans="2:8" x14ac:dyDescent="0.15">
      <c r="B30" s="26" t="s">
        <v>30</v>
      </c>
      <c r="C30" s="26"/>
      <c r="D30" s="26"/>
    </row>
    <row r="31" spans="2:8" x14ac:dyDescent="0.15">
      <c r="B31" s="24" t="s">
        <v>77</v>
      </c>
      <c r="C31" s="31" t="s">
        <v>167</v>
      </c>
      <c r="D31" s="44">
        <f>Operations!I83</f>
        <v>691200000</v>
      </c>
    </row>
    <row r="32" spans="2:8" x14ac:dyDescent="0.15">
      <c r="B32" s="24" t="s">
        <v>78</v>
      </c>
      <c r="C32" s="31" t="s">
        <v>167</v>
      </c>
      <c r="D32" s="44">
        <f>Operations!I90</f>
        <v>646957750</v>
      </c>
    </row>
    <row r="33" spans="2:6" x14ac:dyDescent="0.15">
      <c r="B33" s="24" t="s">
        <v>160</v>
      </c>
      <c r="C33" s="31" t="s">
        <v>167</v>
      </c>
      <c r="D33" s="44">
        <f>Operations!I97</f>
        <v>144004500.00000003</v>
      </c>
    </row>
    <row r="34" spans="2:6" x14ac:dyDescent="0.15">
      <c r="B34" s="24" t="s">
        <v>117</v>
      </c>
      <c r="C34" s="31" t="s">
        <v>167</v>
      </c>
      <c r="D34" s="44">
        <f>Operations!I104</f>
        <v>287000000</v>
      </c>
    </row>
    <row r="35" spans="2:6" x14ac:dyDescent="0.15">
      <c r="B35" s="24" t="s">
        <v>33</v>
      </c>
      <c r="C35" s="31" t="s">
        <v>167</v>
      </c>
      <c r="D35" s="54">
        <f>SUM(D31:D34)</f>
        <v>1769162250</v>
      </c>
    </row>
    <row r="37" spans="2:6" x14ac:dyDescent="0.15">
      <c r="B37" s="28" t="s">
        <v>52</v>
      </c>
      <c r="C37" s="31" t="s">
        <v>296</v>
      </c>
      <c r="D37" s="44">
        <f>'Financials &amp; Metrics'!I64</f>
        <v>13.85962541256951</v>
      </c>
    </row>
    <row r="38" spans="2:6" x14ac:dyDescent="0.15">
      <c r="C38" s="31"/>
      <c r="D38" s="44"/>
    </row>
    <row r="39" spans="2:6" x14ac:dyDescent="0.15">
      <c r="B39" s="24" t="s">
        <v>161</v>
      </c>
      <c r="C39" s="31" t="s">
        <v>296</v>
      </c>
      <c r="D39" s="44">
        <f>'Financials &amp; Metrics'!I72</f>
        <v>26.264769442672637</v>
      </c>
    </row>
    <row r="40" spans="2:6" x14ac:dyDescent="0.15">
      <c r="C40" s="31"/>
      <c r="D40" s="44"/>
    </row>
    <row r="41" spans="2:6" x14ac:dyDescent="0.15">
      <c r="B41" s="24" t="s">
        <v>162</v>
      </c>
      <c r="C41" s="31" t="s">
        <v>296</v>
      </c>
      <c r="D41" s="44">
        <f>'Financials &amp; Metrics'!I80</f>
        <v>45.954086346278508</v>
      </c>
    </row>
    <row r="43" spans="2:6" x14ac:dyDescent="0.15">
      <c r="B43" s="26" t="s">
        <v>75</v>
      </c>
      <c r="C43" s="26"/>
      <c r="D43" s="26"/>
    </row>
    <row r="44" spans="2:6" x14ac:dyDescent="0.15">
      <c r="B44" s="28" t="s">
        <v>38</v>
      </c>
      <c r="C44" s="31" t="s">
        <v>167</v>
      </c>
      <c r="D44" s="44">
        <f>-SUM('Financials &amp; Metrics'!I21:I21)</f>
        <v>2227304430.0000005</v>
      </c>
    </row>
    <row r="45" spans="2:6" x14ac:dyDescent="0.15">
      <c r="B45" s="28" t="s">
        <v>39</v>
      </c>
      <c r="C45" s="31" t="s">
        <v>167</v>
      </c>
      <c r="D45" s="44">
        <f>-SUM('Financials &amp; Metrics'!I22:I23)</f>
        <v>793960000</v>
      </c>
    </row>
    <row r="46" spans="2:6" x14ac:dyDescent="0.15">
      <c r="B46" s="28" t="s">
        <v>40</v>
      </c>
      <c r="C46" s="31" t="s">
        <v>167</v>
      </c>
      <c r="D46" s="44">
        <f>D44+D45</f>
        <v>3021264430.0000005</v>
      </c>
      <c r="F46" s="192"/>
    </row>
    <row r="47" spans="2:6" x14ac:dyDescent="0.15">
      <c r="F47" s="192"/>
    </row>
    <row r="48" spans="2:6" x14ac:dyDescent="0.15">
      <c r="F48" s="192"/>
    </row>
    <row r="49" spans="2:6" x14ac:dyDescent="0.15">
      <c r="F49" s="192"/>
    </row>
    <row r="50" spans="2:6" x14ac:dyDescent="0.15">
      <c r="B50" s="28" t="s">
        <v>393</v>
      </c>
      <c r="F50" s="192"/>
    </row>
    <row r="51" spans="2:6" ht="16" x14ac:dyDescent="0.2">
      <c r="B51" s="136" t="s">
        <v>374</v>
      </c>
      <c r="C51" s="193">
        <v>6.5699999999999995E-2</v>
      </c>
    </row>
    <row r="52" spans="2:6" ht="16" x14ac:dyDescent="0.2">
      <c r="B52" s="136" t="s">
        <v>369</v>
      </c>
      <c r="C52" s="193">
        <v>0.1368</v>
      </c>
    </row>
    <row r="53" spans="2:6" ht="16" x14ac:dyDescent="0.2">
      <c r="B53" s="136" t="s">
        <v>378</v>
      </c>
      <c r="C53" s="193">
        <v>0.91928333949021057</v>
      </c>
    </row>
    <row r="54" spans="2:6" ht="16" x14ac:dyDescent="0.2">
      <c r="B54" s="136" t="s">
        <v>379</v>
      </c>
      <c r="C54" s="193">
        <v>8.0716660509789429E-2</v>
      </c>
    </row>
    <row r="55" spans="2:6" ht="16" x14ac:dyDescent="0.2">
      <c r="B55" s="137" t="s">
        <v>380</v>
      </c>
      <c r="C55" s="138">
        <v>0.10237938677502771</v>
      </c>
    </row>
    <row r="58" spans="2:6" x14ac:dyDescent="0.15">
      <c r="B58" s="171" t="s">
        <v>371</v>
      </c>
      <c r="C58" s="172">
        <v>3.1199999999999999E-2</v>
      </c>
    </row>
    <row r="59" spans="2:6" x14ac:dyDescent="0.15">
      <c r="B59" s="171" t="s">
        <v>370</v>
      </c>
      <c r="C59" s="173">
        <v>2</v>
      </c>
    </row>
    <row r="60" spans="2:6" x14ac:dyDescent="0.15">
      <c r="B60" s="171" t="s">
        <v>372</v>
      </c>
      <c r="C60" s="172">
        <f>C61+C58</f>
        <v>9.1200000000000003E-2</v>
      </c>
    </row>
    <row r="61" spans="2:6" x14ac:dyDescent="0.15">
      <c r="B61" s="171" t="s">
        <v>373</v>
      </c>
      <c r="C61" s="174">
        <v>0.06</v>
      </c>
    </row>
    <row r="62" spans="2:6" x14ac:dyDescent="0.15">
      <c r="B62"/>
      <c r="C62"/>
    </row>
    <row r="63" spans="2:6" x14ac:dyDescent="0.15">
      <c r="B63" s="23" t="s">
        <v>375</v>
      </c>
      <c r="C63" s="52">
        <v>0.09</v>
      </c>
    </row>
    <row r="64" spans="2:6" x14ac:dyDescent="0.15">
      <c r="B64" s="23" t="s">
        <v>381</v>
      </c>
      <c r="C64" s="52">
        <v>0.27</v>
      </c>
    </row>
    <row r="65" spans="2:3" ht="14" thickBot="1" x14ac:dyDescent="0.2"/>
    <row r="66" spans="2:3" x14ac:dyDescent="0.15">
      <c r="B66" s="175" t="s">
        <v>376</v>
      </c>
      <c r="C66" s="177"/>
    </row>
    <row r="67" spans="2:3" x14ac:dyDescent="0.15">
      <c r="B67" s="169" t="s">
        <v>277</v>
      </c>
      <c r="C67" s="178">
        <v>4.9770000000000003</v>
      </c>
    </row>
    <row r="68" spans="2:3" x14ac:dyDescent="0.15">
      <c r="B68" s="176" t="s">
        <v>377</v>
      </c>
      <c r="C68" s="179">
        <v>0.437</v>
      </c>
    </row>
    <row r="69" spans="2:3" ht="14" thickBot="1" x14ac:dyDescent="0.2">
      <c r="B69" s="170" t="s">
        <v>99</v>
      </c>
      <c r="C69" s="180">
        <f>SUM(C67:C68)</f>
        <v>5.4140000000000006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2A4F-E09F-41B1-9CA1-0A9931A52A74}">
  <sheetPr>
    <tabColor rgb="FFFFFF00"/>
    <outlinePr summaryBelow="0"/>
  </sheetPr>
  <dimension ref="A1:EE47"/>
  <sheetViews>
    <sheetView showGridLines="0" zoomScale="80" zoomScaleNormal="80" workbookViewId="0">
      <selection activeCell="J124" sqref="J124"/>
    </sheetView>
  </sheetViews>
  <sheetFormatPr baseColWidth="10" defaultColWidth="0" defaultRowHeight="13" x14ac:dyDescent="0.15"/>
  <cols>
    <col min="1" max="2" width="2.6640625" customWidth="1"/>
    <col min="3" max="3" width="38.83203125" customWidth="1"/>
    <col min="4" max="4" width="23.5" customWidth="1"/>
    <col min="5" max="5" width="17.6640625" customWidth="1"/>
    <col min="6" max="6" width="22.33203125" customWidth="1"/>
    <col min="7" max="8" width="20" customWidth="1"/>
    <col min="9" max="10" width="17.83203125" bestFit="1" customWidth="1"/>
    <col min="11" max="11" width="16.6640625" bestFit="1" customWidth="1"/>
    <col min="12" max="12" width="12.1640625" bestFit="1" customWidth="1"/>
    <col min="13" max="13" width="17.5" bestFit="1" customWidth="1"/>
    <col min="14" max="26" width="12" bestFit="1" customWidth="1"/>
    <col min="27" max="29" width="10.5" bestFit="1" customWidth="1"/>
    <col min="30" max="30" width="9.6640625" customWidth="1"/>
    <col min="31" max="31" width="9.5" customWidth="1"/>
    <col min="32" max="34" width="9.6640625" customWidth="1"/>
    <col min="35" max="35" width="9.5" customWidth="1"/>
    <col min="36" max="38" width="9.6640625" customWidth="1"/>
    <col min="39" max="39" width="9.5" customWidth="1"/>
    <col min="40" max="42" width="9.6640625" customWidth="1"/>
    <col min="43" max="43" width="9.5" customWidth="1"/>
    <col min="44" max="46" width="9.6640625" customWidth="1"/>
    <col min="47" max="47" width="9.5" customWidth="1"/>
    <col min="48" max="50" width="9.6640625" customWidth="1"/>
    <col min="51" max="51" width="9.5" customWidth="1"/>
    <col min="52" max="58" width="9.6640625" customWidth="1"/>
    <col min="59" max="59" width="9.5" customWidth="1"/>
    <col min="60" max="117" width="9.6640625" customWidth="1"/>
    <col min="118" max="118" width="3.5" customWidth="1"/>
    <col min="119" max="135" width="9.6640625" hidden="1" customWidth="1"/>
    <col min="136" max="16384" width="9.1640625" hidden="1"/>
  </cols>
  <sheetData>
    <row r="1" spans="1:23" ht="23" x14ac:dyDescent="0.25">
      <c r="A1" s="12" t="s">
        <v>280</v>
      </c>
    </row>
    <row r="2" spans="1:23" ht="14" x14ac:dyDescent="0.15">
      <c r="A2" s="79"/>
    </row>
    <row r="4" spans="1:23" ht="24" thickBot="1" x14ac:dyDescent="0.3">
      <c r="C4" s="80" t="s">
        <v>281</v>
      </c>
    </row>
    <row r="5" spans="1:23" x14ac:dyDescent="0.15">
      <c r="J5" s="23"/>
    </row>
    <row r="6" spans="1:23" x14ac:dyDescent="0.15">
      <c r="C6" s="23" t="s">
        <v>282</v>
      </c>
      <c r="D6" s="15">
        <v>1</v>
      </c>
      <c r="F6" s="194" t="s">
        <v>392</v>
      </c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10" t="s">
        <v>390</v>
      </c>
      <c r="R6" s="110" t="s">
        <v>391</v>
      </c>
    </row>
    <row r="7" spans="1:23" ht="14" x14ac:dyDescent="0.15">
      <c r="E7" s="17" t="s">
        <v>283</v>
      </c>
      <c r="F7" s="17">
        <v>1</v>
      </c>
      <c r="G7" s="17">
        <f>F7+1</f>
        <v>2</v>
      </c>
      <c r="H7" s="17">
        <f t="shared" ref="H7:W7" si="0">G7+1</f>
        <v>3</v>
      </c>
      <c r="I7" s="17">
        <f t="shared" si="0"/>
        <v>4</v>
      </c>
      <c r="J7" s="17">
        <f t="shared" si="0"/>
        <v>5</v>
      </c>
      <c r="K7" s="17">
        <f t="shared" si="0"/>
        <v>6</v>
      </c>
      <c r="L7" s="17">
        <f t="shared" si="0"/>
        <v>7</v>
      </c>
      <c r="M7" s="17">
        <f t="shared" si="0"/>
        <v>8</v>
      </c>
      <c r="N7" s="17">
        <f t="shared" si="0"/>
        <v>9</v>
      </c>
      <c r="O7" s="17">
        <f t="shared" si="0"/>
        <v>10</v>
      </c>
      <c r="P7" s="17">
        <f t="shared" si="0"/>
        <v>11</v>
      </c>
      <c r="Q7" s="17">
        <f t="shared" si="0"/>
        <v>12</v>
      </c>
      <c r="R7" s="17">
        <f t="shared" si="0"/>
        <v>13</v>
      </c>
      <c r="S7" s="17">
        <f t="shared" si="0"/>
        <v>14</v>
      </c>
      <c r="T7" s="17">
        <f t="shared" si="0"/>
        <v>15</v>
      </c>
      <c r="U7" s="17">
        <f t="shared" si="0"/>
        <v>16</v>
      </c>
      <c r="V7" s="17">
        <f t="shared" si="0"/>
        <v>17</v>
      </c>
      <c r="W7" s="17">
        <f t="shared" si="0"/>
        <v>18</v>
      </c>
    </row>
    <row r="8" spans="1:23" ht="14" x14ac:dyDescent="0.15">
      <c r="E8" s="81" t="str">
        <f>LOOKUP(D$6,$F$7:$W$7,F8:W8)</f>
        <v>Base Case</v>
      </c>
      <c r="F8" s="17" t="s">
        <v>284</v>
      </c>
      <c r="G8" s="82" t="str">
        <f>_xlfn.CONCAT("Case ",G7)</f>
        <v>Case 2</v>
      </c>
      <c r="H8" s="82" t="str">
        <f t="shared" ref="H8:W8" si="1">_xlfn.CONCAT("Case ",H7)</f>
        <v>Case 3</v>
      </c>
      <c r="I8" s="82" t="str">
        <f t="shared" si="1"/>
        <v>Case 4</v>
      </c>
      <c r="J8" s="82" t="str">
        <f t="shared" si="1"/>
        <v>Case 5</v>
      </c>
      <c r="K8" s="82" t="str">
        <f t="shared" si="1"/>
        <v>Case 6</v>
      </c>
      <c r="L8" s="82" t="str">
        <f t="shared" si="1"/>
        <v>Case 7</v>
      </c>
      <c r="M8" s="82" t="str">
        <f t="shared" si="1"/>
        <v>Case 8</v>
      </c>
      <c r="N8" s="82" t="str">
        <f t="shared" si="1"/>
        <v>Case 9</v>
      </c>
      <c r="O8" s="82" t="str">
        <f t="shared" si="1"/>
        <v>Case 10</v>
      </c>
      <c r="P8" s="82" t="str">
        <f t="shared" si="1"/>
        <v>Case 11</v>
      </c>
      <c r="Q8" s="82" t="str">
        <f t="shared" si="1"/>
        <v>Case 12</v>
      </c>
      <c r="R8" s="82" t="str">
        <f t="shared" si="1"/>
        <v>Case 13</v>
      </c>
      <c r="S8" s="82" t="str">
        <f t="shared" si="1"/>
        <v>Case 14</v>
      </c>
      <c r="T8" s="82" t="str">
        <f t="shared" si="1"/>
        <v>Case 15</v>
      </c>
      <c r="U8" s="82" t="str">
        <f t="shared" si="1"/>
        <v>Case 16</v>
      </c>
      <c r="V8" s="82" t="str">
        <f t="shared" si="1"/>
        <v>Case 17</v>
      </c>
      <c r="W8" s="82" t="str">
        <f t="shared" si="1"/>
        <v>Case 18</v>
      </c>
    </row>
    <row r="9" spans="1:23" x14ac:dyDescent="0.15">
      <c r="B9" s="23" t="s">
        <v>285</v>
      </c>
      <c r="C9" s="23" t="s">
        <v>286</v>
      </c>
      <c r="D9" s="5" t="s">
        <v>287</v>
      </c>
      <c r="E9" s="87">
        <f t="shared" ref="E9:E18" si="2">LOOKUP(D$6,$F$7:$W$7,F9:W9)</f>
        <v>0</v>
      </c>
      <c r="F9" s="83">
        <v>0</v>
      </c>
      <c r="G9" s="83">
        <v>0.1</v>
      </c>
      <c r="H9" s="83"/>
      <c r="I9" s="83"/>
      <c r="J9" s="83"/>
      <c r="K9" s="83"/>
      <c r="L9" s="83"/>
      <c r="M9" s="83"/>
      <c r="N9" s="83"/>
      <c r="O9" s="83"/>
      <c r="P9" s="83"/>
      <c r="Q9" s="83">
        <v>0.1</v>
      </c>
      <c r="R9" s="83">
        <v>-0.1</v>
      </c>
      <c r="S9" s="83"/>
      <c r="T9" s="83"/>
      <c r="U9" s="83"/>
      <c r="V9" s="83"/>
      <c r="W9" s="83"/>
    </row>
    <row r="10" spans="1:23" x14ac:dyDescent="0.15">
      <c r="B10" s="23" t="s">
        <v>285</v>
      </c>
      <c r="C10" s="23" t="s">
        <v>295</v>
      </c>
      <c r="D10" s="5" t="s">
        <v>287</v>
      </c>
      <c r="E10" s="87">
        <f t="shared" si="2"/>
        <v>0</v>
      </c>
      <c r="F10" s="83"/>
      <c r="G10" s="83"/>
      <c r="H10" s="83">
        <v>0.1</v>
      </c>
      <c r="I10" s="83"/>
      <c r="J10" s="83"/>
      <c r="K10" s="83"/>
      <c r="L10" s="83"/>
      <c r="M10" s="83"/>
      <c r="N10" s="83"/>
      <c r="O10" s="83"/>
      <c r="P10" s="83"/>
      <c r="Q10" s="83">
        <v>0.1</v>
      </c>
      <c r="R10" s="83">
        <v>-0.1</v>
      </c>
      <c r="S10" s="83"/>
      <c r="T10" s="83"/>
      <c r="U10" s="83"/>
      <c r="V10" s="83"/>
      <c r="W10" s="83"/>
    </row>
    <row r="11" spans="1:23" x14ac:dyDescent="0.15">
      <c r="B11" s="23" t="s">
        <v>285</v>
      </c>
      <c r="C11" s="23" t="s">
        <v>346</v>
      </c>
      <c r="D11" s="5" t="s">
        <v>287</v>
      </c>
      <c r="E11" s="87">
        <f t="shared" si="2"/>
        <v>0</v>
      </c>
      <c r="F11" s="83">
        <v>0</v>
      </c>
      <c r="G11" s="83"/>
      <c r="H11" s="83"/>
      <c r="I11" s="83">
        <v>0.01</v>
      </c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 x14ac:dyDescent="0.15">
      <c r="B12" s="23" t="s">
        <v>285</v>
      </c>
      <c r="C12" s="23" t="s">
        <v>288</v>
      </c>
      <c r="D12" s="5" t="s">
        <v>287</v>
      </c>
      <c r="E12" s="87">
        <f t="shared" si="2"/>
        <v>0</v>
      </c>
      <c r="F12" s="83">
        <v>0</v>
      </c>
      <c r="G12" s="83"/>
      <c r="H12" s="83"/>
      <c r="I12" s="83"/>
      <c r="J12" s="83">
        <v>0.1</v>
      </c>
      <c r="K12" s="83"/>
      <c r="L12" s="83"/>
      <c r="M12" s="83"/>
      <c r="N12" s="83"/>
      <c r="O12" s="83"/>
      <c r="P12" s="83"/>
      <c r="Q12" s="83">
        <v>0.1</v>
      </c>
      <c r="R12" s="83">
        <v>-0.1</v>
      </c>
      <c r="S12" s="83"/>
      <c r="T12" s="83"/>
      <c r="U12" s="83"/>
      <c r="V12" s="83"/>
      <c r="W12" s="83"/>
    </row>
    <row r="13" spans="1:23" x14ac:dyDescent="0.15">
      <c r="B13" s="23" t="s">
        <v>285</v>
      </c>
      <c r="C13" s="23" t="s">
        <v>289</v>
      </c>
      <c r="D13" s="5" t="s">
        <v>287</v>
      </c>
      <c r="E13" s="87">
        <f t="shared" si="2"/>
        <v>0</v>
      </c>
      <c r="F13" s="83">
        <v>0</v>
      </c>
      <c r="G13" s="83"/>
      <c r="H13" s="83"/>
      <c r="I13" s="83"/>
      <c r="J13" s="83"/>
      <c r="K13" s="83">
        <v>0.1</v>
      </c>
      <c r="L13" s="83"/>
      <c r="M13" s="83"/>
      <c r="N13" s="83"/>
      <c r="O13" s="83"/>
      <c r="P13" s="83"/>
      <c r="Q13" s="83">
        <v>0.1</v>
      </c>
      <c r="R13" s="83">
        <v>-0.1</v>
      </c>
      <c r="S13" s="83"/>
      <c r="T13" s="83"/>
      <c r="U13" s="83"/>
      <c r="V13" s="83"/>
      <c r="W13" s="83"/>
    </row>
    <row r="14" spans="1:23" x14ac:dyDescent="0.15">
      <c r="B14" s="23" t="s">
        <v>285</v>
      </c>
      <c r="C14" s="23" t="s">
        <v>303</v>
      </c>
      <c r="D14" s="5" t="s">
        <v>287</v>
      </c>
      <c r="E14" s="87">
        <f t="shared" si="2"/>
        <v>0</v>
      </c>
      <c r="F14" s="83">
        <v>0</v>
      </c>
      <c r="G14" s="83"/>
      <c r="H14" s="83"/>
      <c r="I14" s="83"/>
      <c r="J14" s="83"/>
      <c r="K14" s="83"/>
      <c r="L14" s="83">
        <v>0.1</v>
      </c>
      <c r="M14" s="83"/>
      <c r="N14" s="83"/>
      <c r="O14" s="83"/>
      <c r="P14" s="83"/>
      <c r="Q14" s="83">
        <v>-0.1</v>
      </c>
      <c r="R14" s="83">
        <v>0.1</v>
      </c>
      <c r="S14" s="83"/>
      <c r="T14" s="83"/>
      <c r="U14" s="83"/>
      <c r="V14" s="83"/>
      <c r="W14" s="83"/>
    </row>
    <row r="15" spans="1:23" x14ac:dyDescent="0.15">
      <c r="B15" s="23" t="s">
        <v>285</v>
      </c>
      <c r="C15" s="23" t="s">
        <v>304</v>
      </c>
      <c r="D15" s="5" t="s">
        <v>287</v>
      </c>
      <c r="E15" s="87">
        <f t="shared" si="2"/>
        <v>0</v>
      </c>
      <c r="F15" s="83">
        <v>0</v>
      </c>
      <c r="G15" s="83"/>
      <c r="H15" s="83"/>
      <c r="I15" s="83"/>
      <c r="J15" s="83"/>
      <c r="K15" s="83"/>
      <c r="L15" s="83"/>
      <c r="M15" s="83">
        <v>0.1</v>
      </c>
      <c r="N15" s="83"/>
      <c r="O15" s="83"/>
      <c r="P15" s="83"/>
      <c r="Q15" s="83">
        <v>-0.1</v>
      </c>
      <c r="R15" s="83">
        <v>0.1</v>
      </c>
      <c r="S15" s="83"/>
      <c r="T15" s="83"/>
      <c r="U15" s="83"/>
      <c r="V15" s="83"/>
      <c r="W15" s="83"/>
    </row>
    <row r="16" spans="1:23" x14ac:dyDescent="0.15">
      <c r="B16" s="23" t="s">
        <v>285</v>
      </c>
      <c r="C16" s="23" t="s">
        <v>290</v>
      </c>
      <c r="D16" s="5" t="s">
        <v>287</v>
      </c>
      <c r="E16" s="87">
        <f t="shared" si="2"/>
        <v>0</v>
      </c>
      <c r="F16" s="83"/>
      <c r="G16" s="83"/>
      <c r="H16" s="83"/>
      <c r="I16" s="83"/>
      <c r="J16" s="83"/>
      <c r="K16" s="83"/>
      <c r="L16" s="83"/>
      <c r="M16" s="83"/>
      <c r="N16" s="83">
        <v>0.01</v>
      </c>
      <c r="O16" s="83"/>
      <c r="P16" s="83"/>
      <c r="Q16" s="83"/>
      <c r="R16" s="83"/>
      <c r="S16" s="83"/>
      <c r="T16" s="83"/>
      <c r="U16" s="83"/>
      <c r="V16" s="83"/>
      <c r="W16" s="83"/>
    </row>
    <row r="17" spans="2:23" x14ac:dyDescent="0.15">
      <c r="B17" s="23" t="s">
        <v>285</v>
      </c>
      <c r="C17" s="23" t="s">
        <v>306</v>
      </c>
      <c r="D17" s="5" t="s">
        <v>287</v>
      </c>
      <c r="E17" s="87">
        <f t="shared" si="2"/>
        <v>0</v>
      </c>
      <c r="F17" s="83">
        <v>0</v>
      </c>
      <c r="G17" s="83"/>
      <c r="H17" s="83"/>
      <c r="I17" s="83"/>
      <c r="J17" s="83"/>
      <c r="K17" s="83"/>
      <c r="L17" s="83"/>
      <c r="M17" s="83"/>
      <c r="N17" s="83"/>
      <c r="O17" s="83">
        <v>0.1</v>
      </c>
      <c r="P17" s="83"/>
      <c r="Q17" s="83"/>
      <c r="R17" s="83"/>
      <c r="S17" s="83"/>
      <c r="T17" s="83"/>
      <c r="U17" s="83"/>
      <c r="V17" s="83"/>
      <c r="W17" s="83"/>
    </row>
    <row r="18" spans="2:23" x14ac:dyDescent="0.15">
      <c r="B18" s="23" t="s">
        <v>285</v>
      </c>
      <c r="C18" s="23" t="s">
        <v>292</v>
      </c>
      <c r="D18" s="5" t="s">
        <v>287</v>
      </c>
      <c r="E18" s="87">
        <f t="shared" si="2"/>
        <v>0</v>
      </c>
      <c r="F18" s="83">
        <v>0</v>
      </c>
      <c r="G18" s="83"/>
      <c r="H18" s="83"/>
      <c r="I18" s="83"/>
      <c r="J18" s="83"/>
      <c r="K18" s="83"/>
      <c r="L18" s="83"/>
      <c r="M18" s="83"/>
      <c r="N18" s="83"/>
      <c r="O18" s="83"/>
      <c r="P18" s="83">
        <v>0.1</v>
      </c>
      <c r="Q18" s="83"/>
      <c r="R18" s="83"/>
      <c r="S18" s="83"/>
      <c r="T18" s="83"/>
      <c r="U18" s="83"/>
      <c r="V18" s="83"/>
      <c r="W18" s="83"/>
    </row>
    <row r="19" spans="2:23" x14ac:dyDescent="0.15">
      <c r="B19" s="23" t="s">
        <v>285</v>
      </c>
      <c r="C19" s="23" t="s">
        <v>361</v>
      </c>
      <c r="D19" s="100" t="s">
        <v>360</v>
      </c>
      <c r="E19" s="101">
        <f t="shared" ref="E19" si="3">LOOKUP(D$6,$F$7:$W$7,F19:W19)</f>
        <v>0</v>
      </c>
      <c r="F19" s="89">
        <v>0</v>
      </c>
      <c r="G19" s="83"/>
      <c r="H19" s="83"/>
      <c r="I19" s="83"/>
      <c r="J19" s="121"/>
      <c r="K19" s="120"/>
      <c r="L19" s="83"/>
      <c r="M19" s="83"/>
      <c r="N19" s="83"/>
      <c r="O19" s="83"/>
      <c r="P19" s="83"/>
      <c r="Q19" s="83">
        <v>0.02</v>
      </c>
      <c r="R19" s="83"/>
      <c r="S19" s="83"/>
      <c r="T19" s="83"/>
      <c r="U19" s="83"/>
      <c r="V19" s="83"/>
      <c r="W19" s="83"/>
    </row>
    <row r="23" spans="2:23" x14ac:dyDescent="0.15">
      <c r="C23" s="23"/>
      <c r="D23" s="52"/>
      <c r="G23" s="23"/>
    </row>
    <row r="24" spans="2:23" x14ac:dyDescent="0.15">
      <c r="C24" s="23"/>
      <c r="D24" s="52"/>
      <c r="G24" s="119"/>
      <c r="H24" s="117"/>
      <c r="I24" s="118"/>
    </row>
    <row r="25" spans="2:23" x14ac:dyDescent="0.15">
      <c r="C25" s="23"/>
      <c r="D25" s="52"/>
      <c r="G25" s="119"/>
      <c r="H25" s="117"/>
      <c r="I25" s="118"/>
    </row>
    <row r="26" spans="2:23" ht="14" thickBot="1" x14ac:dyDescent="0.2">
      <c r="C26" s="23"/>
      <c r="D26" s="52"/>
      <c r="G26" s="119"/>
      <c r="H26" s="117"/>
      <c r="I26" s="118"/>
    </row>
    <row r="27" spans="2:23" ht="17" thickBot="1" x14ac:dyDescent="0.2">
      <c r="C27" s="23"/>
      <c r="D27" s="133"/>
      <c r="E27" s="134" t="s">
        <v>284</v>
      </c>
      <c r="F27" s="134" t="s">
        <v>390</v>
      </c>
      <c r="G27" s="135" t="s">
        <v>391</v>
      </c>
      <c r="H27" s="103"/>
      <c r="I27" s="56"/>
    </row>
    <row r="28" spans="2:23" ht="16" x14ac:dyDescent="0.2">
      <c r="C28" s="23"/>
      <c r="D28" s="122" t="s">
        <v>388</v>
      </c>
      <c r="E28" s="123">
        <v>4904312996.3747883</v>
      </c>
      <c r="F28" s="124">
        <v>7061288665.4538059</v>
      </c>
      <c r="G28" s="125">
        <v>3796610922.6906948</v>
      </c>
    </row>
    <row r="29" spans="2:23" ht="16" x14ac:dyDescent="0.2">
      <c r="C29" s="23"/>
      <c r="D29" s="126" t="s">
        <v>389</v>
      </c>
      <c r="E29" s="127">
        <v>3682196006.7143154</v>
      </c>
      <c r="F29" s="128">
        <v>5196621254.8517914</v>
      </c>
      <c r="G29" s="129">
        <v>2845907281.5642095</v>
      </c>
    </row>
    <row r="30" spans="2:23" ht="16" x14ac:dyDescent="0.2">
      <c r="C30" s="23"/>
      <c r="D30" s="126"/>
      <c r="E30" s="127">
        <v>2979628043.6879935</v>
      </c>
      <c r="F30" s="128">
        <v>4154796906.1100326</v>
      </c>
      <c r="G30" s="129">
        <v>2299221021.1691756</v>
      </c>
    </row>
    <row r="31" spans="2:23" ht="17" thickBot="1" x14ac:dyDescent="0.25">
      <c r="C31" s="23"/>
      <c r="D31" s="130" t="s">
        <v>44</v>
      </c>
      <c r="E31" s="131">
        <v>0.41807919899907953</v>
      </c>
      <c r="F31" s="131">
        <v>0.42879135435390636</v>
      </c>
      <c r="G31" s="132">
        <v>0.40780785849425971</v>
      </c>
    </row>
    <row r="32" spans="2:23" x14ac:dyDescent="0.15">
      <c r="C32" s="23"/>
      <c r="D32" s="23"/>
    </row>
    <row r="39" spans="5:7" x14ac:dyDescent="0.15">
      <c r="E39" s="116"/>
      <c r="F39" s="115"/>
    </row>
    <row r="40" spans="5:7" x14ac:dyDescent="0.15">
      <c r="E40" s="116"/>
      <c r="F40" s="115"/>
    </row>
    <row r="46" spans="5:7" x14ac:dyDescent="0.15">
      <c r="E46" s="116"/>
      <c r="F46" s="115"/>
      <c r="G46" s="23"/>
    </row>
    <row r="47" spans="5:7" x14ac:dyDescent="0.15">
      <c r="E47" s="23"/>
      <c r="F47" s="106"/>
      <c r="G47" s="23"/>
    </row>
  </sheetData>
  <mergeCells count="1">
    <mergeCell ref="F6:P6"/>
  </mergeCells>
  <dataValidations count="1">
    <dataValidation type="list" allowBlank="1" showInputMessage="1" showErrorMessage="1" sqref="D6" xr:uid="{5C1FC6B9-AFB5-4CC4-B175-FA05F9AADF27}">
      <formula1>$F$7:$W$7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9" tint="-0.249977111117893"/>
    <outlinePr summaryBelow="0"/>
  </sheetPr>
  <dimension ref="A1:EE118"/>
  <sheetViews>
    <sheetView showGridLines="0" zoomScale="85" zoomScaleNormal="85" workbookViewId="0">
      <selection activeCell="J4" sqref="J4:J6"/>
    </sheetView>
  </sheetViews>
  <sheetFormatPr baseColWidth="10" defaultColWidth="0" defaultRowHeight="13" outlineLevelRow="1" x14ac:dyDescent="0.15"/>
  <cols>
    <col min="1" max="2" width="2.6640625" customWidth="1"/>
    <col min="3" max="3" width="38.83203125" customWidth="1"/>
    <col min="4" max="4" width="23.5" customWidth="1"/>
    <col min="5" max="5" width="13.5" bestFit="1" customWidth="1"/>
    <col min="6" max="6" width="11.5" bestFit="1" customWidth="1"/>
    <col min="7" max="7" width="12.5" customWidth="1"/>
    <col min="8" max="8" width="13.5" customWidth="1"/>
    <col min="9" max="9" width="18.1640625" customWidth="1"/>
    <col min="10" max="10" width="13.1640625" style="140" customWidth="1"/>
    <col min="11" max="12" width="13.1640625" customWidth="1"/>
    <col min="13" max="13" width="17.5" bestFit="1" customWidth="1"/>
    <col min="14" max="118" width="14.5" customWidth="1"/>
    <col min="119" max="135" width="9.6640625" hidden="1" customWidth="1"/>
    <col min="136" max="16384" width="9.1640625" hidden="1"/>
  </cols>
  <sheetData>
    <row r="1" spans="1:117" ht="23" x14ac:dyDescent="0.25">
      <c r="A1" s="16" t="s">
        <v>84</v>
      </c>
    </row>
    <row r="3" spans="1:117" ht="20" x14ac:dyDescent="0.2">
      <c r="C3" s="4" t="s">
        <v>15</v>
      </c>
    </row>
    <row r="4" spans="1:117" ht="13.5" customHeight="1" outlineLevel="1" x14ac:dyDescent="0.15">
      <c r="C4" t="s">
        <v>85</v>
      </c>
      <c r="D4" s="5" t="s">
        <v>8</v>
      </c>
      <c r="E4" s="17" t="s">
        <v>91</v>
      </c>
      <c r="J4" s="140">
        <v>1</v>
      </c>
      <c r="K4">
        <f>J4+1</f>
        <v>2</v>
      </c>
      <c r="L4">
        <f t="shared" ref="L4:BW4" si="0">K4+1</f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>
        <f t="shared" si="0"/>
        <v>31</v>
      </c>
      <c r="AO4">
        <f t="shared" si="0"/>
        <v>32</v>
      </c>
      <c r="AP4">
        <f t="shared" si="0"/>
        <v>33</v>
      </c>
      <c r="AQ4">
        <f t="shared" si="0"/>
        <v>34</v>
      </c>
      <c r="AR4">
        <f t="shared" si="0"/>
        <v>35</v>
      </c>
      <c r="AS4">
        <f t="shared" si="0"/>
        <v>36</v>
      </c>
      <c r="AT4">
        <f t="shared" si="0"/>
        <v>37</v>
      </c>
      <c r="AU4">
        <f t="shared" si="0"/>
        <v>38</v>
      </c>
      <c r="AV4">
        <f t="shared" si="0"/>
        <v>39</v>
      </c>
      <c r="AW4">
        <f t="shared" si="0"/>
        <v>40</v>
      </c>
      <c r="AX4">
        <f t="shared" si="0"/>
        <v>41</v>
      </c>
      <c r="AY4">
        <f t="shared" si="0"/>
        <v>42</v>
      </c>
      <c r="AZ4">
        <f t="shared" si="0"/>
        <v>43</v>
      </c>
      <c r="BA4">
        <f t="shared" si="0"/>
        <v>44</v>
      </c>
      <c r="BB4">
        <f t="shared" si="0"/>
        <v>45</v>
      </c>
      <c r="BC4">
        <f t="shared" si="0"/>
        <v>46</v>
      </c>
      <c r="BD4">
        <f t="shared" si="0"/>
        <v>47</v>
      </c>
      <c r="BE4">
        <f t="shared" si="0"/>
        <v>48</v>
      </c>
      <c r="BF4">
        <f t="shared" si="0"/>
        <v>49</v>
      </c>
      <c r="BG4">
        <f t="shared" si="0"/>
        <v>50</v>
      </c>
      <c r="BH4">
        <f t="shared" si="0"/>
        <v>51</v>
      </c>
      <c r="BI4">
        <f t="shared" si="0"/>
        <v>52</v>
      </c>
      <c r="BJ4">
        <f t="shared" si="0"/>
        <v>53</v>
      </c>
      <c r="BK4">
        <f t="shared" si="0"/>
        <v>54</v>
      </c>
      <c r="BL4">
        <f t="shared" si="0"/>
        <v>55</v>
      </c>
      <c r="BM4">
        <f t="shared" si="0"/>
        <v>56</v>
      </c>
      <c r="BN4">
        <f t="shared" si="0"/>
        <v>57</v>
      </c>
      <c r="BO4">
        <f t="shared" si="0"/>
        <v>58</v>
      </c>
      <c r="BP4">
        <f t="shared" si="0"/>
        <v>59</v>
      </c>
      <c r="BQ4">
        <f t="shared" si="0"/>
        <v>60</v>
      </c>
      <c r="BR4">
        <f t="shared" si="0"/>
        <v>61</v>
      </c>
      <c r="BS4">
        <f t="shared" si="0"/>
        <v>62</v>
      </c>
      <c r="BT4">
        <f t="shared" si="0"/>
        <v>63</v>
      </c>
      <c r="BU4">
        <f t="shared" si="0"/>
        <v>64</v>
      </c>
      <c r="BV4">
        <f t="shared" si="0"/>
        <v>65</v>
      </c>
      <c r="BW4">
        <f t="shared" si="0"/>
        <v>66</v>
      </c>
      <c r="BX4">
        <f t="shared" ref="BX4:DM4" si="1">BW4+1</f>
        <v>67</v>
      </c>
      <c r="BY4">
        <f t="shared" si="1"/>
        <v>68</v>
      </c>
      <c r="BZ4">
        <f t="shared" si="1"/>
        <v>69</v>
      </c>
      <c r="CA4">
        <f t="shared" si="1"/>
        <v>70</v>
      </c>
      <c r="CB4">
        <f t="shared" si="1"/>
        <v>71</v>
      </c>
      <c r="CC4">
        <f t="shared" si="1"/>
        <v>72</v>
      </c>
      <c r="CD4">
        <f t="shared" si="1"/>
        <v>73</v>
      </c>
      <c r="CE4">
        <f t="shared" si="1"/>
        <v>74</v>
      </c>
      <c r="CF4">
        <f t="shared" si="1"/>
        <v>75</v>
      </c>
      <c r="CG4">
        <f t="shared" si="1"/>
        <v>76</v>
      </c>
      <c r="CH4">
        <f t="shared" si="1"/>
        <v>77</v>
      </c>
      <c r="CI4">
        <f t="shared" si="1"/>
        <v>78</v>
      </c>
      <c r="CJ4">
        <f t="shared" si="1"/>
        <v>79</v>
      </c>
      <c r="CK4">
        <f t="shared" si="1"/>
        <v>80</v>
      </c>
      <c r="CL4">
        <f t="shared" si="1"/>
        <v>81</v>
      </c>
      <c r="CM4">
        <f t="shared" si="1"/>
        <v>82</v>
      </c>
      <c r="CN4">
        <f t="shared" si="1"/>
        <v>83</v>
      </c>
      <c r="CO4">
        <f t="shared" si="1"/>
        <v>84</v>
      </c>
      <c r="CP4">
        <f t="shared" si="1"/>
        <v>85</v>
      </c>
      <c r="CQ4">
        <f t="shared" si="1"/>
        <v>86</v>
      </c>
      <c r="CR4">
        <f t="shared" si="1"/>
        <v>87</v>
      </c>
      <c r="CS4">
        <f t="shared" si="1"/>
        <v>88</v>
      </c>
      <c r="CT4">
        <f t="shared" si="1"/>
        <v>89</v>
      </c>
      <c r="CU4">
        <f t="shared" si="1"/>
        <v>90</v>
      </c>
      <c r="CV4">
        <f t="shared" si="1"/>
        <v>91</v>
      </c>
      <c r="CW4">
        <f t="shared" si="1"/>
        <v>92</v>
      </c>
      <c r="CX4">
        <f t="shared" si="1"/>
        <v>93</v>
      </c>
      <c r="CY4">
        <f t="shared" si="1"/>
        <v>94</v>
      </c>
      <c r="CZ4">
        <f t="shared" si="1"/>
        <v>95</v>
      </c>
      <c r="DA4">
        <f t="shared" si="1"/>
        <v>96</v>
      </c>
      <c r="DB4">
        <f t="shared" si="1"/>
        <v>97</v>
      </c>
      <c r="DC4">
        <f t="shared" si="1"/>
        <v>98</v>
      </c>
      <c r="DD4">
        <f t="shared" si="1"/>
        <v>99</v>
      </c>
      <c r="DE4">
        <f t="shared" si="1"/>
        <v>100</v>
      </c>
      <c r="DF4">
        <f t="shared" si="1"/>
        <v>101</v>
      </c>
      <c r="DG4">
        <f t="shared" si="1"/>
        <v>102</v>
      </c>
      <c r="DH4">
        <f t="shared" si="1"/>
        <v>103</v>
      </c>
      <c r="DI4">
        <f t="shared" si="1"/>
        <v>104</v>
      </c>
      <c r="DJ4">
        <f t="shared" si="1"/>
        <v>105</v>
      </c>
      <c r="DK4">
        <f t="shared" si="1"/>
        <v>106</v>
      </c>
      <c r="DL4">
        <f t="shared" si="1"/>
        <v>107</v>
      </c>
      <c r="DM4">
        <f t="shared" si="1"/>
        <v>108</v>
      </c>
    </row>
    <row r="5" spans="1:117" ht="13.5" customHeight="1" outlineLevel="1" x14ac:dyDescent="0.15">
      <c r="C5" t="s">
        <v>90</v>
      </c>
      <c r="D5" s="5" t="s">
        <v>22</v>
      </c>
      <c r="E5" s="15">
        <v>4</v>
      </c>
      <c r="J5" s="155">
        <f>IF(J4&lt;=$E$5,1,0)</f>
        <v>1</v>
      </c>
      <c r="K5" s="13">
        <f t="shared" ref="K5:BV5" si="2">IF(K4&lt;=$E$5,1,0)</f>
        <v>1</v>
      </c>
      <c r="L5" s="13">
        <f t="shared" si="2"/>
        <v>1</v>
      </c>
      <c r="M5" s="13">
        <f t="shared" si="2"/>
        <v>1</v>
      </c>
      <c r="N5" s="13">
        <f t="shared" si="2"/>
        <v>0</v>
      </c>
      <c r="O5" s="13">
        <f t="shared" si="2"/>
        <v>0</v>
      </c>
      <c r="P5" s="13">
        <f t="shared" si="2"/>
        <v>0</v>
      </c>
      <c r="Q5" s="13">
        <f t="shared" si="2"/>
        <v>0</v>
      </c>
      <c r="R5" s="13">
        <f t="shared" si="2"/>
        <v>0</v>
      </c>
      <c r="S5" s="13">
        <f t="shared" si="2"/>
        <v>0</v>
      </c>
      <c r="T5" s="13">
        <f t="shared" si="2"/>
        <v>0</v>
      </c>
      <c r="U5" s="13">
        <f t="shared" si="2"/>
        <v>0</v>
      </c>
      <c r="V5" s="13">
        <f t="shared" si="2"/>
        <v>0</v>
      </c>
      <c r="W5" s="13">
        <f t="shared" si="2"/>
        <v>0</v>
      </c>
      <c r="X5" s="13">
        <f t="shared" si="2"/>
        <v>0</v>
      </c>
      <c r="Y5" s="13">
        <f t="shared" si="2"/>
        <v>0</v>
      </c>
      <c r="Z5" s="13">
        <f t="shared" si="2"/>
        <v>0</v>
      </c>
      <c r="AA5" s="13">
        <f t="shared" si="2"/>
        <v>0</v>
      </c>
      <c r="AB5" s="13">
        <f t="shared" si="2"/>
        <v>0</v>
      </c>
      <c r="AC5" s="13">
        <f t="shared" si="2"/>
        <v>0</v>
      </c>
      <c r="AD5" s="13">
        <f t="shared" si="2"/>
        <v>0</v>
      </c>
      <c r="AE5" s="13">
        <f t="shared" si="2"/>
        <v>0</v>
      </c>
      <c r="AF5" s="13">
        <f t="shared" si="2"/>
        <v>0</v>
      </c>
      <c r="AG5" s="13">
        <f t="shared" si="2"/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  <c r="AM5" s="13">
        <f t="shared" si="2"/>
        <v>0</v>
      </c>
      <c r="AN5" s="13">
        <f t="shared" si="2"/>
        <v>0</v>
      </c>
      <c r="AO5" s="13">
        <f t="shared" si="2"/>
        <v>0</v>
      </c>
      <c r="AP5" s="13">
        <f t="shared" si="2"/>
        <v>0</v>
      </c>
      <c r="AQ5" s="13">
        <f t="shared" si="2"/>
        <v>0</v>
      </c>
      <c r="AR5" s="13">
        <f t="shared" si="2"/>
        <v>0</v>
      </c>
      <c r="AS5" s="13">
        <f t="shared" si="2"/>
        <v>0</v>
      </c>
      <c r="AT5" s="13">
        <f t="shared" si="2"/>
        <v>0</v>
      </c>
      <c r="AU5" s="13">
        <f t="shared" si="2"/>
        <v>0</v>
      </c>
      <c r="AV5" s="13">
        <f t="shared" si="2"/>
        <v>0</v>
      </c>
      <c r="AW5" s="13">
        <f t="shared" si="2"/>
        <v>0</v>
      </c>
      <c r="AX5" s="13">
        <f t="shared" si="2"/>
        <v>0</v>
      </c>
      <c r="AY5" s="13">
        <f t="shared" si="2"/>
        <v>0</v>
      </c>
      <c r="AZ5" s="13">
        <f t="shared" si="2"/>
        <v>0</v>
      </c>
      <c r="BA5" s="13">
        <f t="shared" si="2"/>
        <v>0</v>
      </c>
      <c r="BB5" s="13">
        <f t="shared" si="2"/>
        <v>0</v>
      </c>
      <c r="BC5" s="13">
        <f t="shared" si="2"/>
        <v>0</v>
      </c>
      <c r="BD5" s="13">
        <f t="shared" si="2"/>
        <v>0</v>
      </c>
      <c r="BE5" s="13">
        <f t="shared" si="2"/>
        <v>0</v>
      </c>
      <c r="BF5" s="13">
        <f t="shared" si="2"/>
        <v>0</v>
      </c>
      <c r="BG5" s="13">
        <f t="shared" si="2"/>
        <v>0</v>
      </c>
      <c r="BH5" s="13">
        <f t="shared" si="2"/>
        <v>0</v>
      </c>
      <c r="BI5" s="13">
        <f t="shared" si="2"/>
        <v>0</v>
      </c>
      <c r="BJ5" s="13">
        <f t="shared" si="2"/>
        <v>0</v>
      </c>
      <c r="BK5" s="13">
        <f t="shared" si="2"/>
        <v>0</v>
      </c>
      <c r="BL5" s="13">
        <f t="shared" si="2"/>
        <v>0</v>
      </c>
      <c r="BM5" s="13">
        <f t="shared" si="2"/>
        <v>0</v>
      </c>
      <c r="BN5" s="13">
        <f t="shared" si="2"/>
        <v>0</v>
      </c>
      <c r="BO5" s="13">
        <f t="shared" si="2"/>
        <v>0</v>
      </c>
      <c r="BP5" s="13">
        <f t="shared" si="2"/>
        <v>0</v>
      </c>
      <c r="BQ5" s="13">
        <f t="shared" si="2"/>
        <v>0</v>
      </c>
      <c r="BR5" s="13">
        <f t="shared" si="2"/>
        <v>0</v>
      </c>
      <c r="BS5" s="13">
        <f t="shared" si="2"/>
        <v>0</v>
      </c>
      <c r="BT5" s="13">
        <f t="shared" si="2"/>
        <v>0</v>
      </c>
      <c r="BU5" s="13">
        <f t="shared" si="2"/>
        <v>0</v>
      </c>
      <c r="BV5" s="13">
        <f t="shared" si="2"/>
        <v>0</v>
      </c>
      <c r="BW5" s="13">
        <f t="shared" ref="BW5:DM5" si="3">IF(BW4&lt;=$E$5,1,0)</f>
        <v>0</v>
      </c>
      <c r="BX5" s="13">
        <f t="shared" si="3"/>
        <v>0</v>
      </c>
      <c r="BY5" s="13">
        <f t="shared" si="3"/>
        <v>0</v>
      </c>
      <c r="BZ5" s="13">
        <f t="shared" si="3"/>
        <v>0</v>
      </c>
      <c r="CA5" s="13">
        <f t="shared" si="3"/>
        <v>0</v>
      </c>
      <c r="CB5" s="13">
        <f t="shared" si="3"/>
        <v>0</v>
      </c>
      <c r="CC5" s="13">
        <f t="shared" si="3"/>
        <v>0</v>
      </c>
      <c r="CD5" s="13">
        <f t="shared" si="3"/>
        <v>0</v>
      </c>
      <c r="CE5" s="13">
        <f t="shared" si="3"/>
        <v>0</v>
      </c>
      <c r="CF5" s="13">
        <f t="shared" si="3"/>
        <v>0</v>
      </c>
      <c r="CG5" s="13">
        <f t="shared" si="3"/>
        <v>0</v>
      </c>
      <c r="CH5" s="13">
        <f t="shared" si="3"/>
        <v>0</v>
      </c>
      <c r="CI5" s="13">
        <f t="shared" si="3"/>
        <v>0</v>
      </c>
      <c r="CJ5" s="13">
        <f t="shared" si="3"/>
        <v>0</v>
      </c>
      <c r="CK5" s="13">
        <f t="shared" si="3"/>
        <v>0</v>
      </c>
      <c r="CL5" s="13">
        <f t="shared" si="3"/>
        <v>0</v>
      </c>
      <c r="CM5" s="13">
        <f t="shared" si="3"/>
        <v>0</v>
      </c>
      <c r="CN5" s="13">
        <f t="shared" si="3"/>
        <v>0</v>
      </c>
      <c r="CO5" s="13">
        <f t="shared" si="3"/>
        <v>0</v>
      </c>
      <c r="CP5" s="13">
        <f t="shared" si="3"/>
        <v>0</v>
      </c>
      <c r="CQ5" s="13">
        <f t="shared" si="3"/>
        <v>0</v>
      </c>
      <c r="CR5" s="13">
        <f t="shared" si="3"/>
        <v>0</v>
      </c>
      <c r="CS5" s="13">
        <f t="shared" si="3"/>
        <v>0</v>
      </c>
      <c r="CT5" s="13">
        <f t="shared" si="3"/>
        <v>0</v>
      </c>
      <c r="CU5" s="13">
        <f t="shared" si="3"/>
        <v>0</v>
      </c>
      <c r="CV5" s="13">
        <f t="shared" si="3"/>
        <v>0</v>
      </c>
      <c r="CW5" s="13">
        <f t="shared" si="3"/>
        <v>0</v>
      </c>
      <c r="CX5" s="13">
        <f t="shared" si="3"/>
        <v>0</v>
      </c>
      <c r="CY5" s="13">
        <f t="shared" si="3"/>
        <v>0</v>
      </c>
      <c r="CZ5" s="13">
        <f t="shared" si="3"/>
        <v>0</v>
      </c>
      <c r="DA5" s="13">
        <f t="shared" si="3"/>
        <v>0</v>
      </c>
      <c r="DB5" s="13">
        <f t="shared" si="3"/>
        <v>0</v>
      </c>
      <c r="DC5" s="13">
        <f t="shared" si="3"/>
        <v>0</v>
      </c>
      <c r="DD5" s="13">
        <f t="shared" si="3"/>
        <v>0</v>
      </c>
      <c r="DE5" s="13">
        <f t="shared" si="3"/>
        <v>0</v>
      </c>
      <c r="DF5" s="13">
        <f t="shared" si="3"/>
        <v>0</v>
      </c>
      <c r="DG5" s="13">
        <f t="shared" si="3"/>
        <v>0</v>
      </c>
      <c r="DH5" s="13">
        <f t="shared" si="3"/>
        <v>0</v>
      </c>
      <c r="DI5" s="13">
        <f t="shared" si="3"/>
        <v>0</v>
      </c>
      <c r="DJ5" s="13">
        <f t="shared" si="3"/>
        <v>0</v>
      </c>
      <c r="DK5" s="13">
        <f t="shared" si="3"/>
        <v>0</v>
      </c>
      <c r="DL5" s="13">
        <f t="shared" si="3"/>
        <v>0</v>
      </c>
      <c r="DM5" s="13">
        <f t="shared" si="3"/>
        <v>0</v>
      </c>
    </row>
    <row r="6" spans="1:117" outlineLevel="1" x14ac:dyDescent="0.15">
      <c r="C6" t="s">
        <v>86</v>
      </c>
      <c r="D6" s="5" t="s">
        <v>22</v>
      </c>
      <c r="E6" s="21">
        <f>11+F36</f>
        <v>11</v>
      </c>
      <c r="J6" s="155">
        <f>IF(AND(J4&gt;$E$5,J4&lt;=$E$6+$E$5),1,0)</f>
        <v>0</v>
      </c>
      <c r="K6" s="13">
        <f t="shared" ref="K6:BV6" si="4">IF(AND(K4&gt;$E$5,K4&lt;=$E$6+$E$5),1,0)</f>
        <v>0</v>
      </c>
      <c r="L6" s="13">
        <f t="shared" si="4"/>
        <v>0</v>
      </c>
      <c r="M6" s="13">
        <f t="shared" si="4"/>
        <v>0</v>
      </c>
      <c r="N6" s="13">
        <f t="shared" si="4"/>
        <v>1</v>
      </c>
      <c r="O6" s="13">
        <f t="shared" si="4"/>
        <v>1</v>
      </c>
      <c r="P6" s="13">
        <f t="shared" si="4"/>
        <v>1</v>
      </c>
      <c r="Q6" s="13">
        <f t="shared" si="4"/>
        <v>1</v>
      </c>
      <c r="R6" s="13">
        <f t="shared" si="4"/>
        <v>1</v>
      </c>
      <c r="S6" s="13">
        <f t="shared" si="4"/>
        <v>1</v>
      </c>
      <c r="T6" s="13">
        <f t="shared" si="4"/>
        <v>1</v>
      </c>
      <c r="U6" s="13">
        <f t="shared" si="4"/>
        <v>1</v>
      </c>
      <c r="V6" s="13">
        <f t="shared" si="4"/>
        <v>1</v>
      </c>
      <c r="W6" s="13">
        <f t="shared" si="4"/>
        <v>1</v>
      </c>
      <c r="X6" s="13">
        <f t="shared" si="4"/>
        <v>1</v>
      </c>
      <c r="Y6" s="13">
        <f t="shared" si="4"/>
        <v>0</v>
      </c>
      <c r="Z6" s="13">
        <f t="shared" si="4"/>
        <v>0</v>
      </c>
      <c r="AA6" s="13">
        <f t="shared" si="4"/>
        <v>0</v>
      </c>
      <c r="AB6" s="13">
        <f t="shared" si="4"/>
        <v>0</v>
      </c>
      <c r="AC6" s="13">
        <f t="shared" si="4"/>
        <v>0</v>
      </c>
      <c r="AD6" s="13">
        <f t="shared" si="4"/>
        <v>0</v>
      </c>
      <c r="AE6" s="13">
        <f t="shared" si="4"/>
        <v>0</v>
      </c>
      <c r="AF6" s="13">
        <f t="shared" si="4"/>
        <v>0</v>
      </c>
      <c r="AG6" s="13">
        <f t="shared" si="4"/>
        <v>0</v>
      </c>
      <c r="AH6" s="13">
        <f t="shared" si="4"/>
        <v>0</v>
      </c>
      <c r="AI6" s="13">
        <f t="shared" si="4"/>
        <v>0</v>
      </c>
      <c r="AJ6" s="13">
        <f t="shared" si="4"/>
        <v>0</v>
      </c>
      <c r="AK6" s="13">
        <f t="shared" si="4"/>
        <v>0</v>
      </c>
      <c r="AL6" s="13">
        <f t="shared" si="4"/>
        <v>0</v>
      </c>
      <c r="AM6" s="13">
        <f t="shared" si="4"/>
        <v>0</v>
      </c>
      <c r="AN6" s="13">
        <f t="shared" si="4"/>
        <v>0</v>
      </c>
      <c r="AO6" s="13">
        <f t="shared" si="4"/>
        <v>0</v>
      </c>
      <c r="AP6" s="13">
        <f t="shared" si="4"/>
        <v>0</v>
      </c>
      <c r="AQ6" s="13">
        <f t="shared" si="4"/>
        <v>0</v>
      </c>
      <c r="AR6" s="13">
        <f t="shared" si="4"/>
        <v>0</v>
      </c>
      <c r="AS6" s="13">
        <f t="shared" si="4"/>
        <v>0</v>
      </c>
      <c r="AT6" s="13">
        <f t="shared" si="4"/>
        <v>0</v>
      </c>
      <c r="AU6" s="13">
        <f t="shared" si="4"/>
        <v>0</v>
      </c>
      <c r="AV6" s="13">
        <f t="shared" si="4"/>
        <v>0</v>
      </c>
      <c r="AW6" s="13">
        <f t="shared" si="4"/>
        <v>0</v>
      </c>
      <c r="AX6" s="13">
        <f t="shared" si="4"/>
        <v>0</v>
      </c>
      <c r="AY6" s="13">
        <f t="shared" si="4"/>
        <v>0</v>
      </c>
      <c r="AZ6" s="13">
        <f t="shared" si="4"/>
        <v>0</v>
      </c>
      <c r="BA6" s="13">
        <f t="shared" si="4"/>
        <v>0</v>
      </c>
      <c r="BB6" s="13">
        <f t="shared" si="4"/>
        <v>0</v>
      </c>
      <c r="BC6" s="13">
        <f t="shared" si="4"/>
        <v>0</v>
      </c>
      <c r="BD6" s="13">
        <f t="shared" si="4"/>
        <v>0</v>
      </c>
      <c r="BE6" s="13">
        <f t="shared" si="4"/>
        <v>0</v>
      </c>
      <c r="BF6" s="13">
        <f t="shared" si="4"/>
        <v>0</v>
      </c>
      <c r="BG6" s="13">
        <f t="shared" si="4"/>
        <v>0</v>
      </c>
      <c r="BH6" s="13">
        <f t="shared" si="4"/>
        <v>0</v>
      </c>
      <c r="BI6" s="13">
        <f t="shared" si="4"/>
        <v>0</v>
      </c>
      <c r="BJ6" s="13">
        <f t="shared" si="4"/>
        <v>0</v>
      </c>
      <c r="BK6" s="13">
        <f t="shared" si="4"/>
        <v>0</v>
      </c>
      <c r="BL6" s="13">
        <f t="shared" si="4"/>
        <v>0</v>
      </c>
      <c r="BM6" s="13">
        <f t="shared" si="4"/>
        <v>0</v>
      </c>
      <c r="BN6" s="13">
        <f t="shared" si="4"/>
        <v>0</v>
      </c>
      <c r="BO6" s="13">
        <f t="shared" si="4"/>
        <v>0</v>
      </c>
      <c r="BP6" s="13">
        <f t="shared" si="4"/>
        <v>0</v>
      </c>
      <c r="BQ6" s="13">
        <f t="shared" si="4"/>
        <v>0</v>
      </c>
      <c r="BR6" s="13">
        <f t="shared" si="4"/>
        <v>0</v>
      </c>
      <c r="BS6" s="13">
        <f t="shared" si="4"/>
        <v>0</v>
      </c>
      <c r="BT6" s="13">
        <f t="shared" si="4"/>
        <v>0</v>
      </c>
      <c r="BU6" s="13">
        <f t="shared" si="4"/>
        <v>0</v>
      </c>
      <c r="BV6" s="13">
        <f t="shared" si="4"/>
        <v>0</v>
      </c>
      <c r="BW6" s="13">
        <f t="shared" ref="BW6:DM6" si="5">IF(AND(BW4&gt;$E$5,BW4&lt;=$E$6+$E$5),1,0)</f>
        <v>0</v>
      </c>
      <c r="BX6" s="13">
        <f t="shared" si="5"/>
        <v>0</v>
      </c>
      <c r="BY6" s="13">
        <f t="shared" si="5"/>
        <v>0</v>
      </c>
      <c r="BZ6" s="13">
        <f t="shared" si="5"/>
        <v>0</v>
      </c>
      <c r="CA6" s="13">
        <f t="shared" si="5"/>
        <v>0</v>
      </c>
      <c r="CB6" s="13">
        <f t="shared" si="5"/>
        <v>0</v>
      </c>
      <c r="CC6" s="13">
        <f t="shared" si="5"/>
        <v>0</v>
      </c>
      <c r="CD6" s="13">
        <f t="shared" si="5"/>
        <v>0</v>
      </c>
      <c r="CE6" s="13">
        <f t="shared" si="5"/>
        <v>0</v>
      </c>
      <c r="CF6" s="13">
        <f t="shared" si="5"/>
        <v>0</v>
      </c>
      <c r="CG6" s="13">
        <f t="shared" si="5"/>
        <v>0</v>
      </c>
      <c r="CH6" s="13">
        <f t="shared" si="5"/>
        <v>0</v>
      </c>
      <c r="CI6" s="13">
        <f t="shared" si="5"/>
        <v>0</v>
      </c>
      <c r="CJ6" s="13">
        <f t="shared" si="5"/>
        <v>0</v>
      </c>
      <c r="CK6" s="13">
        <f t="shared" si="5"/>
        <v>0</v>
      </c>
      <c r="CL6" s="13">
        <f t="shared" si="5"/>
        <v>0</v>
      </c>
      <c r="CM6" s="13">
        <f t="shared" si="5"/>
        <v>0</v>
      </c>
      <c r="CN6" s="13">
        <f t="shared" si="5"/>
        <v>0</v>
      </c>
      <c r="CO6" s="13">
        <f t="shared" si="5"/>
        <v>0</v>
      </c>
      <c r="CP6" s="13">
        <f t="shared" si="5"/>
        <v>0</v>
      </c>
      <c r="CQ6" s="13">
        <f t="shared" si="5"/>
        <v>0</v>
      </c>
      <c r="CR6" s="13">
        <f t="shared" si="5"/>
        <v>0</v>
      </c>
      <c r="CS6" s="13">
        <f t="shared" si="5"/>
        <v>0</v>
      </c>
      <c r="CT6" s="13">
        <f t="shared" si="5"/>
        <v>0</v>
      </c>
      <c r="CU6" s="13">
        <f t="shared" si="5"/>
        <v>0</v>
      </c>
      <c r="CV6" s="13">
        <f t="shared" si="5"/>
        <v>0</v>
      </c>
      <c r="CW6" s="13">
        <f t="shared" si="5"/>
        <v>0</v>
      </c>
      <c r="CX6" s="13">
        <f t="shared" si="5"/>
        <v>0</v>
      </c>
      <c r="CY6" s="13">
        <f t="shared" si="5"/>
        <v>0</v>
      </c>
      <c r="CZ6" s="13">
        <f t="shared" si="5"/>
        <v>0</v>
      </c>
      <c r="DA6" s="13">
        <f t="shared" si="5"/>
        <v>0</v>
      </c>
      <c r="DB6" s="13">
        <f t="shared" si="5"/>
        <v>0</v>
      </c>
      <c r="DC6" s="13">
        <f t="shared" si="5"/>
        <v>0</v>
      </c>
      <c r="DD6" s="13">
        <f t="shared" si="5"/>
        <v>0</v>
      </c>
      <c r="DE6" s="13">
        <f t="shared" si="5"/>
        <v>0</v>
      </c>
      <c r="DF6" s="13">
        <f t="shared" si="5"/>
        <v>0</v>
      </c>
      <c r="DG6" s="13">
        <f t="shared" si="5"/>
        <v>0</v>
      </c>
      <c r="DH6" s="13">
        <f t="shared" si="5"/>
        <v>0</v>
      </c>
      <c r="DI6" s="13">
        <f t="shared" si="5"/>
        <v>0</v>
      </c>
      <c r="DJ6" s="13">
        <f t="shared" si="5"/>
        <v>0</v>
      </c>
      <c r="DK6" s="13">
        <f t="shared" si="5"/>
        <v>0</v>
      </c>
      <c r="DL6" s="13">
        <f t="shared" si="5"/>
        <v>0</v>
      </c>
      <c r="DM6" s="13">
        <f t="shared" si="5"/>
        <v>0</v>
      </c>
    </row>
    <row r="8" spans="1:117" ht="20" x14ac:dyDescent="0.2">
      <c r="C8" s="4" t="s">
        <v>165</v>
      </c>
    </row>
    <row r="9" spans="1:117" x14ac:dyDescent="0.15">
      <c r="C9" t="s">
        <v>166</v>
      </c>
      <c r="D9" s="5" t="s">
        <v>8</v>
      </c>
      <c r="E9" s="86">
        <f>(1+F9)*G9</f>
        <v>0.75</v>
      </c>
      <c r="F9" s="145">
        <f>'Scenario Manager'!E10</f>
        <v>0</v>
      </c>
      <c r="G9" s="146">
        <v>0.75</v>
      </c>
      <c r="J9" s="156">
        <f>$E$9</f>
        <v>0.75</v>
      </c>
      <c r="K9" s="63">
        <f t="shared" ref="K9:BV9" si="6">$E$9</f>
        <v>0.75</v>
      </c>
      <c r="L9" s="63">
        <f t="shared" si="6"/>
        <v>0.75</v>
      </c>
      <c r="M9" s="63">
        <f t="shared" si="6"/>
        <v>0.75</v>
      </c>
      <c r="N9" s="63">
        <f t="shared" si="6"/>
        <v>0.75</v>
      </c>
      <c r="O9" s="63">
        <f t="shared" si="6"/>
        <v>0.75</v>
      </c>
      <c r="P9" s="63">
        <f t="shared" si="6"/>
        <v>0.75</v>
      </c>
      <c r="Q9" s="63">
        <f t="shared" si="6"/>
        <v>0.75</v>
      </c>
      <c r="R9" s="63">
        <f t="shared" si="6"/>
        <v>0.75</v>
      </c>
      <c r="S9" s="63">
        <f t="shared" si="6"/>
        <v>0.75</v>
      </c>
      <c r="T9" s="63">
        <f t="shared" si="6"/>
        <v>0.75</v>
      </c>
      <c r="U9" s="63">
        <f t="shared" si="6"/>
        <v>0.75</v>
      </c>
      <c r="V9" s="63">
        <f t="shared" si="6"/>
        <v>0.75</v>
      </c>
      <c r="W9" s="63">
        <f t="shared" si="6"/>
        <v>0.75</v>
      </c>
      <c r="X9" s="63">
        <f t="shared" si="6"/>
        <v>0.75</v>
      </c>
      <c r="Y9" s="63">
        <f t="shared" si="6"/>
        <v>0.75</v>
      </c>
      <c r="Z9" s="63">
        <f t="shared" si="6"/>
        <v>0.75</v>
      </c>
      <c r="AA9" s="63">
        <f t="shared" si="6"/>
        <v>0.75</v>
      </c>
      <c r="AB9" s="63">
        <f t="shared" si="6"/>
        <v>0.75</v>
      </c>
      <c r="AC9" s="63">
        <f t="shared" si="6"/>
        <v>0.75</v>
      </c>
      <c r="AD9" s="63">
        <f t="shared" si="6"/>
        <v>0.75</v>
      </c>
      <c r="AE9" s="63">
        <f t="shared" si="6"/>
        <v>0.75</v>
      </c>
      <c r="AF9" s="63">
        <f t="shared" si="6"/>
        <v>0.75</v>
      </c>
      <c r="AG9" s="63">
        <f t="shared" si="6"/>
        <v>0.75</v>
      </c>
      <c r="AH9" s="63">
        <f t="shared" si="6"/>
        <v>0.75</v>
      </c>
      <c r="AI9" s="63">
        <f t="shared" si="6"/>
        <v>0.75</v>
      </c>
      <c r="AJ9" s="63">
        <f t="shared" si="6"/>
        <v>0.75</v>
      </c>
      <c r="AK9" s="63">
        <f t="shared" si="6"/>
        <v>0.75</v>
      </c>
      <c r="AL9" s="63">
        <f t="shared" si="6"/>
        <v>0.75</v>
      </c>
      <c r="AM9" s="63">
        <f t="shared" si="6"/>
        <v>0.75</v>
      </c>
      <c r="AN9" s="63">
        <f t="shared" si="6"/>
        <v>0.75</v>
      </c>
      <c r="AO9" s="63">
        <f t="shared" si="6"/>
        <v>0.75</v>
      </c>
      <c r="AP9" s="63">
        <f t="shared" si="6"/>
        <v>0.75</v>
      </c>
      <c r="AQ9" s="63">
        <f t="shared" si="6"/>
        <v>0.75</v>
      </c>
      <c r="AR9" s="63">
        <f t="shared" si="6"/>
        <v>0.75</v>
      </c>
      <c r="AS9" s="63">
        <f t="shared" si="6"/>
        <v>0.75</v>
      </c>
      <c r="AT9" s="63">
        <f t="shared" si="6"/>
        <v>0.75</v>
      </c>
      <c r="AU9" s="63">
        <f t="shared" si="6"/>
        <v>0.75</v>
      </c>
      <c r="AV9" s="63">
        <f t="shared" si="6"/>
        <v>0.75</v>
      </c>
      <c r="AW9" s="63">
        <f t="shared" si="6"/>
        <v>0.75</v>
      </c>
      <c r="AX9" s="63">
        <f t="shared" si="6"/>
        <v>0.75</v>
      </c>
      <c r="AY9" s="63">
        <f t="shared" si="6"/>
        <v>0.75</v>
      </c>
      <c r="AZ9" s="63">
        <f t="shared" si="6"/>
        <v>0.75</v>
      </c>
      <c r="BA9" s="63">
        <f t="shared" si="6"/>
        <v>0.75</v>
      </c>
      <c r="BB9" s="63">
        <f t="shared" si="6"/>
        <v>0.75</v>
      </c>
      <c r="BC9" s="63">
        <f t="shared" si="6"/>
        <v>0.75</v>
      </c>
      <c r="BD9" s="63">
        <f t="shared" si="6"/>
        <v>0.75</v>
      </c>
      <c r="BE9" s="63">
        <f t="shared" si="6"/>
        <v>0.75</v>
      </c>
      <c r="BF9" s="63">
        <f t="shared" si="6"/>
        <v>0.75</v>
      </c>
      <c r="BG9" s="63">
        <f t="shared" si="6"/>
        <v>0.75</v>
      </c>
      <c r="BH9" s="63">
        <f t="shared" si="6"/>
        <v>0.75</v>
      </c>
      <c r="BI9" s="63">
        <f t="shared" si="6"/>
        <v>0.75</v>
      </c>
      <c r="BJ9" s="63">
        <f t="shared" si="6"/>
        <v>0.75</v>
      </c>
      <c r="BK9" s="63">
        <f t="shared" si="6"/>
        <v>0.75</v>
      </c>
      <c r="BL9" s="63">
        <f t="shared" si="6"/>
        <v>0.75</v>
      </c>
      <c r="BM9" s="63">
        <f t="shared" si="6"/>
        <v>0.75</v>
      </c>
      <c r="BN9" s="63">
        <f t="shared" si="6"/>
        <v>0.75</v>
      </c>
      <c r="BO9" s="63">
        <f t="shared" si="6"/>
        <v>0.75</v>
      </c>
      <c r="BP9" s="63">
        <f t="shared" si="6"/>
        <v>0.75</v>
      </c>
      <c r="BQ9" s="63">
        <f t="shared" si="6"/>
        <v>0.75</v>
      </c>
      <c r="BR9" s="63">
        <f t="shared" si="6"/>
        <v>0.75</v>
      </c>
      <c r="BS9" s="63">
        <f t="shared" si="6"/>
        <v>0.75</v>
      </c>
      <c r="BT9" s="63">
        <f t="shared" si="6"/>
        <v>0.75</v>
      </c>
      <c r="BU9" s="63">
        <f t="shared" si="6"/>
        <v>0.75</v>
      </c>
      <c r="BV9" s="63">
        <f t="shared" si="6"/>
        <v>0.75</v>
      </c>
      <c r="BW9" s="63">
        <f t="shared" ref="BW9:DM9" si="7">$E$9</f>
        <v>0.75</v>
      </c>
      <c r="BX9" s="63">
        <f t="shared" si="7"/>
        <v>0.75</v>
      </c>
      <c r="BY9" s="63">
        <f t="shared" si="7"/>
        <v>0.75</v>
      </c>
      <c r="BZ9" s="63">
        <f t="shared" si="7"/>
        <v>0.75</v>
      </c>
      <c r="CA9" s="63">
        <f t="shared" si="7"/>
        <v>0.75</v>
      </c>
      <c r="CB9" s="63">
        <f t="shared" si="7"/>
        <v>0.75</v>
      </c>
      <c r="CC9" s="63">
        <f t="shared" si="7"/>
        <v>0.75</v>
      </c>
      <c r="CD9" s="63">
        <f t="shared" si="7"/>
        <v>0.75</v>
      </c>
      <c r="CE9" s="63">
        <f t="shared" si="7"/>
        <v>0.75</v>
      </c>
      <c r="CF9" s="63">
        <f t="shared" si="7"/>
        <v>0.75</v>
      </c>
      <c r="CG9" s="63">
        <f t="shared" si="7"/>
        <v>0.75</v>
      </c>
      <c r="CH9" s="63">
        <f t="shared" si="7"/>
        <v>0.75</v>
      </c>
      <c r="CI9" s="63">
        <f t="shared" si="7"/>
        <v>0.75</v>
      </c>
      <c r="CJ9" s="63">
        <f t="shared" si="7"/>
        <v>0.75</v>
      </c>
      <c r="CK9" s="63">
        <f t="shared" si="7"/>
        <v>0.75</v>
      </c>
      <c r="CL9" s="63">
        <f t="shared" si="7"/>
        <v>0.75</v>
      </c>
      <c r="CM9" s="63">
        <f t="shared" si="7"/>
        <v>0.75</v>
      </c>
      <c r="CN9" s="63">
        <f t="shared" si="7"/>
        <v>0.75</v>
      </c>
      <c r="CO9" s="63">
        <f t="shared" si="7"/>
        <v>0.75</v>
      </c>
      <c r="CP9" s="63">
        <f t="shared" si="7"/>
        <v>0.75</v>
      </c>
      <c r="CQ9" s="63">
        <f t="shared" si="7"/>
        <v>0.75</v>
      </c>
      <c r="CR9" s="63">
        <f t="shared" si="7"/>
        <v>0.75</v>
      </c>
      <c r="CS9" s="63">
        <f t="shared" si="7"/>
        <v>0.75</v>
      </c>
      <c r="CT9" s="63">
        <f t="shared" si="7"/>
        <v>0.75</v>
      </c>
      <c r="CU9" s="63">
        <f t="shared" si="7"/>
        <v>0.75</v>
      </c>
      <c r="CV9" s="63">
        <f t="shared" si="7"/>
        <v>0.75</v>
      </c>
      <c r="CW9" s="63">
        <f t="shared" si="7"/>
        <v>0.75</v>
      </c>
      <c r="CX9" s="63">
        <f t="shared" si="7"/>
        <v>0.75</v>
      </c>
      <c r="CY9" s="63">
        <f t="shared" si="7"/>
        <v>0.75</v>
      </c>
      <c r="CZ9" s="63">
        <f t="shared" si="7"/>
        <v>0.75</v>
      </c>
      <c r="DA9" s="63">
        <f t="shared" si="7"/>
        <v>0.75</v>
      </c>
      <c r="DB9" s="63">
        <f t="shared" si="7"/>
        <v>0.75</v>
      </c>
      <c r="DC9" s="63">
        <f t="shared" si="7"/>
        <v>0.75</v>
      </c>
      <c r="DD9" s="63">
        <f t="shared" si="7"/>
        <v>0.75</v>
      </c>
      <c r="DE9" s="63">
        <f t="shared" si="7"/>
        <v>0.75</v>
      </c>
      <c r="DF9" s="63">
        <f t="shared" si="7"/>
        <v>0.75</v>
      </c>
      <c r="DG9" s="63">
        <f t="shared" si="7"/>
        <v>0.75</v>
      </c>
      <c r="DH9" s="63">
        <f t="shared" si="7"/>
        <v>0.75</v>
      </c>
      <c r="DI9" s="63">
        <f t="shared" si="7"/>
        <v>0.75</v>
      </c>
      <c r="DJ9" s="63">
        <f t="shared" si="7"/>
        <v>0.75</v>
      </c>
      <c r="DK9" s="63">
        <f t="shared" si="7"/>
        <v>0.75</v>
      </c>
      <c r="DL9" s="63">
        <f t="shared" si="7"/>
        <v>0.75</v>
      </c>
      <c r="DM9" s="63">
        <f t="shared" si="7"/>
        <v>0.75</v>
      </c>
    </row>
    <row r="10" spans="1:117" x14ac:dyDescent="0.15">
      <c r="C10" s="23" t="s">
        <v>365</v>
      </c>
      <c r="D10" s="5" t="s">
        <v>18</v>
      </c>
      <c r="E10" s="143"/>
      <c r="F10" s="142"/>
      <c r="G10" s="144"/>
      <c r="J10" s="157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</row>
    <row r="12" spans="1:117" ht="20" x14ac:dyDescent="0.2">
      <c r="C12" s="4" t="s">
        <v>53</v>
      </c>
      <c r="E12" s="17" t="s">
        <v>294</v>
      </c>
      <c r="F12" s="17" t="s">
        <v>17</v>
      </c>
      <c r="G12" s="17" t="s">
        <v>16</v>
      </c>
      <c r="H12" s="17" t="s">
        <v>293</v>
      </c>
    </row>
    <row r="13" spans="1:117" x14ac:dyDescent="0.15">
      <c r="C13" t="s">
        <v>19</v>
      </c>
      <c r="D13" s="5" t="s">
        <v>167</v>
      </c>
      <c r="E13" s="64">
        <f>(1+$F$20)*H13</f>
        <v>240000000</v>
      </c>
      <c r="F13" s="47">
        <v>0.115</v>
      </c>
      <c r="G13" s="64">
        <f>E13*(1+F13)</f>
        <v>267600000</v>
      </c>
      <c r="H13" s="21">
        <v>240000000</v>
      </c>
    </row>
    <row r="14" spans="1:117" x14ac:dyDescent="0.15">
      <c r="C14" t="s">
        <v>76</v>
      </c>
      <c r="D14" s="5" t="s">
        <v>167</v>
      </c>
      <c r="E14" s="64">
        <f t="shared" ref="E14:E18" si="8">(1+$F$20)*H14</f>
        <v>216400000</v>
      </c>
      <c r="F14" s="47">
        <v>0.108</v>
      </c>
      <c r="G14" s="64">
        <f t="shared" ref="G14:G18" si="9">E14*(1+F14)</f>
        <v>239771200.00000003</v>
      </c>
      <c r="H14" s="21">
        <v>216400000</v>
      </c>
    </row>
    <row r="15" spans="1:117" x14ac:dyDescent="0.15">
      <c r="C15" t="s">
        <v>139</v>
      </c>
      <c r="D15" s="5" t="s">
        <v>167</v>
      </c>
      <c r="E15" s="64">
        <f t="shared" si="8"/>
        <v>27700000</v>
      </c>
      <c r="F15" s="47">
        <v>0.11700000000000001</v>
      </c>
      <c r="G15" s="64">
        <f t="shared" si="9"/>
        <v>30940900</v>
      </c>
      <c r="H15" s="21">
        <v>27700000</v>
      </c>
    </row>
    <row r="16" spans="1:117" x14ac:dyDescent="0.15">
      <c r="C16" t="s">
        <v>140</v>
      </c>
      <c r="D16" s="5" t="s">
        <v>167</v>
      </c>
      <c r="E16" s="64">
        <f t="shared" si="8"/>
        <v>118900000</v>
      </c>
      <c r="F16" s="47">
        <v>0.11700000000000001</v>
      </c>
      <c r="G16" s="64">
        <f t="shared" si="9"/>
        <v>132811300</v>
      </c>
      <c r="H16" s="21">
        <v>118900000</v>
      </c>
    </row>
    <row r="17" spans="3:117" x14ac:dyDescent="0.15">
      <c r="C17" t="s">
        <v>138</v>
      </c>
      <c r="D17" s="5" t="s">
        <v>167</v>
      </c>
      <c r="E17" s="64">
        <f t="shared" si="8"/>
        <v>326500000</v>
      </c>
      <c r="F17" s="47">
        <v>0.11</v>
      </c>
      <c r="G17" s="64">
        <f t="shared" si="9"/>
        <v>362415000.00000006</v>
      </c>
      <c r="H17" s="21">
        <v>326500000</v>
      </c>
    </row>
    <row r="18" spans="3:117" x14ac:dyDescent="0.15">
      <c r="C18" t="s">
        <v>98</v>
      </c>
      <c r="D18" s="5" t="s">
        <v>167</v>
      </c>
      <c r="E18" s="64">
        <f t="shared" si="8"/>
        <v>97900000</v>
      </c>
      <c r="F18" s="47">
        <v>0.11</v>
      </c>
      <c r="G18" s="64">
        <f t="shared" si="9"/>
        <v>108669000.00000001</v>
      </c>
      <c r="H18" s="21">
        <v>97900000</v>
      </c>
    </row>
    <row r="20" spans="3:117" x14ac:dyDescent="0.15">
      <c r="C20" t="s">
        <v>291</v>
      </c>
      <c r="F20" s="85">
        <f>'Scenario Manager'!E9</f>
        <v>0</v>
      </c>
    </row>
    <row r="22" spans="3:117" x14ac:dyDescent="0.15">
      <c r="C22" t="s">
        <v>172</v>
      </c>
      <c r="D22" s="5" t="s">
        <v>173</v>
      </c>
      <c r="I22" s="151">
        <f t="shared" ref="I22:I29" si="10">SUM(J22:DM22)</f>
        <v>1</v>
      </c>
      <c r="J22" s="158">
        <v>0.10429447852760736</v>
      </c>
      <c r="K22" s="47">
        <v>0.22962313759859773</v>
      </c>
      <c r="L22" s="47">
        <v>0.42769500438212094</v>
      </c>
      <c r="M22" s="47">
        <v>0.23838737949167396</v>
      </c>
    </row>
    <row r="24" spans="3:117" outlineLevel="1" x14ac:dyDescent="0.15">
      <c r="C24" t="s">
        <v>19</v>
      </c>
      <c r="D24" s="5" t="s">
        <v>167</v>
      </c>
      <c r="I24" s="35">
        <f t="shared" si="10"/>
        <v>267600000</v>
      </c>
      <c r="J24" s="139">
        <f>J$22*$G13</f>
        <v>27909202.453987729</v>
      </c>
      <c r="K24" s="19">
        <f t="shared" ref="K24:M24" si="11">K$22*$G13</f>
        <v>61447151.621384755</v>
      </c>
      <c r="L24" s="19">
        <f t="shared" si="11"/>
        <v>114451183.17265557</v>
      </c>
      <c r="M24" s="19">
        <f t="shared" si="11"/>
        <v>63792462.751971953</v>
      </c>
      <c r="N24" s="19">
        <f t="shared" ref="N24:BV25" si="12">($E24/$E$5)*N$5</f>
        <v>0</v>
      </c>
      <c r="O24" s="19">
        <f t="shared" si="12"/>
        <v>0</v>
      </c>
      <c r="P24" s="19">
        <f t="shared" si="12"/>
        <v>0</v>
      </c>
      <c r="Q24" s="19">
        <f t="shared" si="12"/>
        <v>0</v>
      </c>
      <c r="R24" s="19">
        <f t="shared" si="12"/>
        <v>0</v>
      </c>
      <c r="S24" s="19">
        <f t="shared" si="12"/>
        <v>0</v>
      </c>
      <c r="T24" s="19">
        <f t="shared" si="12"/>
        <v>0</v>
      </c>
      <c r="U24" s="19">
        <f t="shared" si="12"/>
        <v>0</v>
      </c>
      <c r="V24" s="19">
        <f t="shared" si="12"/>
        <v>0</v>
      </c>
      <c r="W24" s="19">
        <f t="shared" si="12"/>
        <v>0</v>
      </c>
      <c r="X24" s="19">
        <f t="shared" si="12"/>
        <v>0</v>
      </c>
      <c r="Y24" s="19">
        <f t="shared" si="12"/>
        <v>0</v>
      </c>
      <c r="Z24" s="19">
        <f t="shared" si="12"/>
        <v>0</v>
      </c>
      <c r="AA24" s="19">
        <f t="shared" si="12"/>
        <v>0</v>
      </c>
      <c r="AB24" s="19">
        <f t="shared" si="12"/>
        <v>0</v>
      </c>
      <c r="AC24" s="19">
        <f t="shared" si="12"/>
        <v>0</v>
      </c>
      <c r="AD24" s="19">
        <f t="shared" si="12"/>
        <v>0</v>
      </c>
      <c r="AE24" s="19">
        <f t="shared" si="12"/>
        <v>0</v>
      </c>
      <c r="AF24" s="19">
        <f t="shared" si="12"/>
        <v>0</v>
      </c>
      <c r="AG24" s="19">
        <f t="shared" si="12"/>
        <v>0</v>
      </c>
      <c r="AH24" s="19">
        <f t="shared" si="12"/>
        <v>0</v>
      </c>
      <c r="AI24" s="19">
        <f t="shared" si="12"/>
        <v>0</v>
      </c>
      <c r="AJ24" s="19">
        <f t="shared" si="12"/>
        <v>0</v>
      </c>
      <c r="AK24" s="19">
        <f t="shared" si="12"/>
        <v>0</v>
      </c>
      <c r="AL24" s="19">
        <f t="shared" si="12"/>
        <v>0</v>
      </c>
      <c r="AM24" s="19">
        <f t="shared" si="12"/>
        <v>0</v>
      </c>
      <c r="AN24" s="19">
        <f t="shared" si="12"/>
        <v>0</v>
      </c>
      <c r="AO24" s="19">
        <f t="shared" si="12"/>
        <v>0</v>
      </c>
      <c r="AP24" s="19">
        <f t="shared" si="12"/>
        <v>0</v>
      </c>
      <c r="AQ24" s="19">
        <f t="shared" si="12"/>
        <v>0</v>
      </c>
      <c r="AR24" s="19">
        <f t="shared" si="12"/>
        <v>0</v>
      </c>
      <c r="AS24" s="19">
        <f t="shared" si="12"/>
        <v>0</v>
      </c>
      <c r="AT24" s="19">
        <f t="shared" si="12"/>
        <v>0</v>
      </c>
      <c r="AU24" s="19">
        <f t="shared" si="12"/>
        <v>0</v>
      </c>
      <c r="AV24" s="19">
        <f t="shared" si="12"/>
        <v>0</v>
      </c>
      <c r="AW24" s="19">
        <f t="shared" si="12"/>
        <v>0</v>
      </c>
      <c r="AX24" s="19">
        <f t="shared" si="12"/>
        <v>0</v>
      </c>
      <c r="AY24" s="19">
        <f t="shared" si="12"/>
        <v>0</v>
      </c>
      <c r="AZ24" s="19">
        <f t="shared" si="12"/>
        <v>0</v>
      </c>
      <c r="BA24" s="19">
        <f t="shared" si="12"/>
        <v>0</v>
      </c>
      <c r="BB24" s="19">
        <f t="shared" si="12"/>
        <v>0</v>
      </c>
      <c r="BC24" s="19">
        <f t="shared" si="12"/>
        <v>0</v>
      </c>
      <c r="BD24" s="19">
        <f t="shared" si="12"/>
        <v>0</v>
      </c>
      <c r="BE24" s="19">
        <f t="shared" si="12"/>
        <v>0</v>
      </c>
      <c r="BF24" s="19">
        <f t="shared" si="12"/>
        <v>0</v>
      </c>
      <c r="BG24" s="19">
        <f t="shared" si="12"/>
        <v>0</v>
      </c>
      <c r="BH24" s="19">
        <f t="shared" si="12"/>
        <v>0</v>
      </c>
      <c r="BI24" s="19">
        <f t="shared" si="12"/>
        <v>0</v>
      </c>
      <c r="BJ24" s="19">
        <f t="shared" si="12"/>
        <v>0</v>
      </c>
      <c r="BK24" s="19">
        <f t="shared" si="12"/>
        <v>0</v>
      </c>
      <c r="BL24" s="19">
        <f t="shared" si="12"/>
        <v>0</v>
      </c>
      <c r="BM24" s="19">
        <f t="shared" si="12"/>
        <v>0</v>
      </c>
      <c r="BN24" s="19">
        <f t="shared" si="12"/>
        <v>0</v>
      </c>
      <c r="BO24" s="19">
        <f t="shared" si="12"/>
        <v>0</v>
      </c>
      <c r="BP24" s="19">
        <f t="shared" si="12"/>
        <v>0</v>
      </c>
      <c r="BQ24" s="19">
        <f t="shared" si="12"/>
        <v>0</v>
      </c>
      <c r="BR24" s="19">
        <f t="shared" si="12"/>
        <v>0</v>
      </c>
      <c r="BS24" s="19">
        <f t="shared" si="12"/>
        <v>0</v>
      </c>
      <c r="BT24" s="19">
        <f t="shared" si="12"/>
        <v>0</v>
      </c>
      <c r="BU24" s="19">
        <f t="shared" si="12"/>
        <v>0</v>
      </c>
      <c r="BV24" s="19">
        <f t="shared" si="12"/>
        <v>0</v>
      </c>
      <c r="BW24" s="19">
        <f t="shared" ref="BW24:DM28" si="13">($E24/$E$5)*BW$5</f>
        <v>0</v>
      </c>
      <c r="BX24" s="19">
        <f t="shared" si="13"/>
        <v>0</v>
      </c>
      <c r="BY24" s="19">
        <f t="shared" si="13"/>
        <v>0</v>
      </c>
      <c r="BZ24" s="19">
        <f t="shared" si="13"/>
        <v>0</v>
      </c>
      <c r="CA24" s="19">
        <f t="shared" si="13"/>
        <v>0</v>
      </c>
      <c r="CB24" s="19">
        <f t="shared" si="13"/>
        <v>0</v>
      </c>
      <c r="CC24" s="19">
        <f t="shared" si="13"/>
        <v>0</v>
      </c>
      <c r="CD24" s="19">
        <f t="shared" si="13"/>
        <v>0</v>
      </c>
      <c r="CE24" s="19">
        <f t="shared" si="13"/>
        <v>0</v>
      </c>
      <c r="CF24" s="19">
        <f t="shared" si="13"/>
        <v>0</v>
      </c>
      <c r="CG24" s="19">
        <f t="shared" si="13"/>
        <v>0</v>
      </c>
      <c r="CH24" s="19">
        <f t="shared" si="13"/>
        <v>0</v>
      </c>
      <c r="CI24" s="19">
        <f t="shared" si="13"/>
        <v>0</v>
      </c>
      <c r="CJ24" s="19">
        <f t="shared" si="13"/>
        <v>0</v>
      </c>
      <c r="CK24" s="19">
        <f t="shared" si="13"/>
        <v>0</v>
      </c>
      <c r="CL24" s="19">
        <f t="shared" si="13"/>
        <v>0</v>
      </c>
      <c r="CM24" s="19">
        <f t="shared" si="13"/>
        <v>0</v>
      </c>
      <c r="CN24" s="19">
        <f t="shared" si="13"/>
        <v>0</v>
      </c>
      <c r="CO24" s="19">
        <f t="shared" si="13"/>
        <v>0</v>
      </c>
      <c r="CP24" s="19">
        <f t="shared" si="13"/>
        <v>0</v>
      </c>
      <c r="CQ24" s="19">
        <f t="shared" si="13"/>
        <v>0</v>
      </c>
      <c r="CR24" s="19">
        <f t="shared" si="13"/>
        <v>0</v>
      </c>
      <c r="CS24" s="19">
        <f t="shared" si="13"/>
        <v>0</v>
      </c>
      <c r="CT24" s="19">
        <f t="shared" si="13"/>
        <v>0</v>
      </c>
      <c r="CU24" s="19">
        <f t="shared" si="13"/>
        <v>0</v>
      </c>
      <c r="CV24" s="19">
        <f t="shared" si="13"/>
        <v>0</v>
      </c>
      <c r="CW24" s="19">
        <f t="shared" si="13"/>
        <v>0</v>
      </c>
      <c r="CX24" s="19">
        <f t="shared" si="13"/>
        <v>0</v>
      </c>
      <c r="CY24" s="19">
        <f t="shared" si="13"/>
        <v>0</v>
      </c>
      <c r="CZ24" s="19">
        <f t="shared" si="13"/>
        <v>0</v>
      </c>
      <c r="DA24" s="19">
        <f t="shared" si="13"/>
        <v>0</v>
      </c>
      <c r="DB24" s="19">
        <f t="shared" si="13"/>
        <v>0</v>
      </c>
      <c r="DC24" s="19">
        <f t="shared" si="13"/>
        <v>0</v>
      </c>
      <c r="DD24" s="19">
        <f t="shared" si="13"/>
        <v>0</v>
      </c>
      <c r="DE24" s="19">
        <f t="shared" si="13"/>
        <v>0</v>
      </c>
      <c r="DF24" s="19">
        <f t="shared" si="13"/>
        <v>0</v>
      </c>
      <c r="DG24" s="19">
        <f t="shared" si="13"/>
        <v>0</v>
      </c>
      <c r="DH24" s="19">
        <f t="shared" si="13"/>
        <v>0</v>
      </c>
      <c r="DI24" s="19">
        <f t="shared" si="13"/>
        <v>0</v>
      </c>
      <c r="DJ24" s="19">
        <f t="shared" si="13"/>
        <v>0</v>
      </c>
      <c r="DK24" s="19">
        <f t="shared" si="13"/>
        <v>0</v>
      </c>
      <c r="DL24" s="19">
        <f t="shared" si="13"/>
        <v>0</v>
      </c>
      <c r="DM24" s="19">
        <f t="shared" si="13"/>
        <v>0</v>
      </c>
    </row>
    <row r="25" spans="3:117" outlineLevel="1" x14ac:dyDescent="0.15">
      <c r="C25" t="s">
        <v>76</v>
      </c>
      <c r="D25" s="5" t="s">
        <v>167</v>
      </c>
      <c r="I25" s="35">
        <f t="shared" si="10"/>
        <v>239771200.00000003</v>
      </c>
      <c r="J25" s="139">
        <f t="shared" ref="J25:M25" si="14">J$22*$G14</f>
        <v>25006812.269938651</v>
      </c>
      <c r="K25" s="19">
        <f t="shared" si="14"/>
        <v>55057015.249780901</v>
      </c>
      <c r="L25" s="19">
        <f t="shared" si="14"/>
        <v>102548944.4347064</v>
      </c>
      <c r="M25" s="19">
        <f t="shared" si="14"/>
        <v>57158428.045574062</v>
      </c>
      <c r="N25" s="19">
        <f t="shared" ref="N25:Y25" si="15">($E25/$E$5)*N$5</f>
        <v>0</v>
      </c>
      <c r="O25" s="19">
        <f t="shared" si="15"/>
        <v>0</v>
      </c>
      <c r="P25" s="19">
        <f t="shared" si="15"/>
        <v>0</v>
      </c>
      <c r="Q25" s="19">
        <f t="shared" si="15"/>
        <v>0</v>
      </c>
      <c r="R25" s="19">
        <f t="shared" si="15"/>
        <v>0</v>
      </c>
      <c r="S25" s="19">
        <f t="shared" si="15"/>
        <v>0</v>
      </c>
      <c r="T25" s="19">
        <f t="shared" si="15"/>
        <v>0</v>
      </c>
      <c r="U25" s="19">
        <f t="shared" si="15"/>
        <v>0</v>
      </c>
      <c r="V25" s="19">
        <f t="shared" si="15"/>
        <v>0</v>
      </c>
      <c r="W25" s="19">
        <f t="shared" si="15"/>
        <v>0</v>
      </c>
      <c r="X25" s="19">
        <f t="shared" si="15"/>
        <v>0</v>
      </c>
      <c r="Y25" s="19">
        <f t="shared" si="15"/>
        <v>0</v>
      </c>
      <c r="Z25" s="19">
        <f t="shared" si="12"/>
        <v>0</v>
      </c>
      <c r="AA25" s="19">
        <f t="shared" si="12"/>
        <v>0</v>
      </c>
      <c r="AB25" s="19">
        <f t="shared" si="12"/>
        <v>0</v>
      </c>
      <c r="AC25" s="19">
        <f t="shared" si="12"/>
        <v>0</v>
      </c>
      <c r="AD25" s="19">
        <f t="shared" si="12"/>
        <v>0</v>
      </c>
      <c r="AE25" s="19">
        <f t="shared" si="12"/>
        <v>0</v>
      </c>
      <c r="AF25" s="19">
        <f t="shared" si="12"/>
        <v>0</v>
      </c>
      <c r="AG25" s="19">
        <f t="shared" si="12"/>
        <v>0</v>
      </c>
      <c r="AH25" s="19">
        <f t="shared" si="12"/>
        <v>0</v>
      </c>
      <c r="AI25" s="19">
        <f t="shared" si="12"/>
        <v>0</v>
      </c>
      <c r="AJ25" s="19">
        <f t="shared" si="12"/>
        <v>0</v>
      </c>
      <c r="AK25" s="19">
        <f t="shared" si="12"/>
        <v>0</v>
      </c>
      <c r="AL25" s="19">
        <f t="shared" si="12"/>
        <v>0</v>
      </c>
      <c r="AM25" s="19">
        <f t="shared" si="12"/>
        <v>0</v>
      </c>
      <c r="AN25" s="19">
        <f t="shared" si="12"/>
        <v>0</v>
      </c>
      <c r="AO25" s="19">
        <f t="shared" si="12"/>
        <v>0</v>
      </c>
      <c r="AP25" s="19">
        <f t="shared" si="12"/>
        <v>0</v>
      </c>
      <c r="AQ25" s="19">
        <f t="shared" si="12"/>
        <v>0</v>
      </c>
      <c r="AR25" s="19">
        <f t="shared" si="12"/>
        <v>0</v>
      </c>
      <c r="AS25" s="19">
        <f t="shared" si="12"/>
        <v>0</v>
      </c>
      <c r="AT25" s="19">
        <f t="shared" si="12"/>
        <v>0</v>
      </c>
      <c r="AU25" s="19">
        <f t="shared" si="12"/>
        <v>0</v>
      </c>
      <c r="AV25" s="19">
        <f t="shared" si="12"/>
        <v>0</v>
      </c>
      <c r="AW25" s="19">
        <f t="shared" si="12"/>
        <v>0</v>
      </c>
      <c r="AX25" s="19">
        <f t="shared" si="12"/>
        <v>0</v>
      </c>
      <c r="AY25" s="19">
        <f t="shared" si="12"/>
        <v>0</v>
      </c>
      <c r="AZ25" s="19">
        <f t="shared" si="12"/>
        <v>0</v>
      </c>
      <c r="BA25" s="19">
        <f t="shared" si="12"/>
        <v>0</v>
      </c>
      <c r="BB25" s="19">
        <f t="shared" si="12"/>
        <v>0</v>
      </c>
      <c r="BC25" s="19">
        <f t="shared" si="12"/>
        <v>0</v>
      </c>
      <c r="BD25" s="19">
        <f t="shared" si="12"/>
        <v>0</v>
      </c>
      <c r="BE25" s="19">
        <f t="shared" si="12"/>
        <v>0</v>
      </c>
      <c r="BF25" s="19">
        <f t="shared" si="12"/>
        <v>0</v>
      </c>
      <c r="BG25" s="19">
        <f t="shared" si="12"/>
        <v>0</v>
      </c>
      <c r="BH25" s="19">
        <f t="shared" si="12"/>
        <v>0</v>
      </c>
      <c r="BI25" s="19">
        <f t="shared" si="12"/>
        <v>0</v>
      </c>
      <c r="BJ25" s="19">
        <f t="shared" si="12"/>
        <v>0</v>
      </c>
      <c r="BK25" s="19">
        <f t="shared" si="12"/>
        <v>0</v>
      </c>
      <c r="BL25" s="19">
        <f t="shared" si="12"/>
        <v>0</v>
      </c>
      <c r="BM25" s="19">
        <f t="shared" si="12"/>
        <v>0</v>
      </c>
      <c r="BN25" s="19">
        <f t="shared" si="12"/>
        <v>0</v>
      </c>
      <c r="BO25" s="19">
        <f t="shared" si="12"/>
        <v>0</v>
      </c>
      <c r="BP25" s="19">
        <f t="shared" si="12"/>
        <v>0</v>
      </c>
      <c r="BQ25" s="19">
        <f t="shared" si="12"/>
        <v>0</v>
      </c>
      <c r="BR25" s="19">
        <f t="shared" si="12"/>
        <v>0</v>
      </c>
      <c r="BS25" s="19">
        <f t="shared" si="12"/>
        <v>0</v>
      </c>
      <c r="BT25" s="19">
        <f t="shared" si="12"/>
        <v>0</v>
      </c>
      <c r="BU25" s="19">
        <f t="shared" si="12"/>
        <v>0</v>
      </c>
      <c r="BV25" s="19">
        <f t="shared" si="12"/>
        <v>0</v>
      </c>
      <c r="BW25" s="19">
        <f t="shared" si="13"/>
        <v>0</v>
      </c>
      <c r="BX25" s="19">
        <f t="shared" si="13"/>
        <v>0</v>
      </c>
      <c r="BY25" s="19">
        <f t="shared" si="13"/>
        <v>0</v>
      </c>
      <c r="BZ25" s="19">
        <f t="shared" si="13"/>
        <v>0</v>
      </c>
      <c r="CA25" s="19">
        <f t="shared" si="13"/>
        <v>0</v>
      </c>
      <c r="CB25" s="19">
        <f t="shared" si="13"/>
        <v>0</v>
      </c>
      <c r="CC25" s="19">
        <f t="shared" si="13"/>
        <v>0</v>
      </c>
      <c r="CD25" s="19">
        <f t="shared" si="13"/>
        <v>0</v>
      </c>
      <c r="CE25" s="19">
        <f t="shared" si="13"/>
        <v>0</v>
      </c>
      <c r="CF25" s="19">
        <f t="shared" si="13"/>
        <v>0</v>
      </c>
      <c r="CG25" s="19">
        <f t="shared" si="13"/>
        <v>0</v>
      </c>
      <c r="CH25" s="19">
        <f t="shared" si="13"/>
        <v>0</v>
      </c>
      <c r="CI25" s="19">
        <f t="shared" si="13"/>
        <v>0</v>
      </c>
      <c r="CJ25" s="19">
        <f t="shared" si="13"/>
        <v>0</v>
      </c>
      <c r="CK25" s="19">
        <f t="shared" si="13"/>
        <v>0</v>
      </c>
      <c r="CL25" s="19">
        <f t="shared" si="13"/>
        <v>0</v>
      </c>
      <c r="CM25" s="19">
        <f t="shared" si="13"/>
        <v>0</v>
      </c>
      <c r="CN25" s="19">
        <f t="shared" si="13"/>
        <v>0</v>
      </c>
      <c r="CO25" s="19">
        <f t="shared" si="13"/>
        <v>0</v>
      </c>
      <c r="CP25" s="19">
        <f t="shared" si="13"/>
        <v>0</v>
      </c>
      <c r="CQ25" s="19">
        <f t="shared" si="13"/>
        <v>0</v>
      </c>
      <c r="CR25" s="19">
        <f t="shared" si="13"/>
        <v>0</v>
      </c>
      <c r="CS25" s="19">
        <f t="shared" si="13"/>
        <v>0</v>
      </c>
      <c r="CT25" s="19">
        <f t="shared" si="13"/>
        <v>0</v>
      </c>
      <c r="CU25" s="19">
        <f t="shared" si="13"/>
        <v>0</v>
      </c>
      <c r="CV25" s="19">
        <f t="shared" si="13"/>
        <v>0</v>
      </c>
      <c r="CW25" s="19">
        <f t="shared" si="13"/>
        <v>0</v>
      </c>
      <c r="CX25" s="19">
        <f t="shared" si="13"/>
        <v>0</v>
      </c>
      <c r="CY25" s="19">
        <f t="shared" si="13"/>
        <v>0</v>
      </c>
      <c r="CZ25" s="19">
        <f t="shared" si="13"/>
        <v>0</v>
      </c>
      <c r="DA25" s="19">
        <f t="shared" si="13"/>
        <v>0</v>
      </c>
      <c r="DB25" s="19">
        <f t="shared" si="13"/>
        <v>0</v>
      </c>
      <c r="DC25" s="19">
        <f t="shared" si="13"/>
        <v>0</v>
      </c>
      <c r="DD25" s="19">
        <f t="shared" si="13"/>
        <v>0</v>
      </c>
      <c r="DE25" s="19">
        <f t="shared" si="13"/>
        <v>0</v>
      </c>
      <c r="DF25" s="19">
        <f t="shared" si="13"/>
        <v>0</v>
      </c>
      <c r="DG25" s="19">
        <f t="shared" si="13"/>
        <v>0</v>
      </c>
      <c r="DH25" s="19">
        <f t="shared" si="13"/>
        <v>0</v>
      </c>
      <c r="DI25" s="19">
        <f t="shared" si="13"/>
        <v>0</v>
      </c>
      <c r="DJ25" s="19">
        <f t="shared" si="13"/>
        <v>0</v>
      </c>
      <c r="DK25" s="19">
        <f t="shared" si="13"/>
        <v>0</v>
      </c>
      <c r="DL25" s="19">
        <f t="shared" si="13"/>
        <v>0</v>
      </c>
      <c r="DM25" s="19">
        <f t="shared" si="13"/>
        <v>0</v>
      </c>
    </row>
    <row r="26" spans="3:117" outlineLevel="1" x14ac:dyDescent="0.15">
      <c r="C26" t="s">
        <v>139</v>
      </c>
      <c r="D26" s="5" t="s">
        <v>167</v>
      </c>
      <c r="I26" s="35">
        <f t="shared" si="10"/>
        <v>30940900</v>
      </c>
      <c r="J26" s="139">
        <f t="shared" ref="J26:M26" si="16">J$22*$G15</f>
        <v>3226965.0306748464</v>
      </c>
      <c r="K26" s="19">
        <f t="shared" si="16"/>
        <v>7104746.5381244523</v>
      </c>
      <c r="L26" s="19">
        <f t="shared" si="16"/>
        <v>13233268.361086765</v>
      </c>
      <c r="M26" s="19">
        <f t="shared" si="16"/>
        <v>7375920.0701139346</v>
      </c>
      <c r="N26" s="19">
        <f t="shared" ref="N26:BV29" si="17">($E26/$E$5)*N$5</f>
        <v>0</v>
      </c>
      <c r="O26" s="19">
        <f t="shared" si="17"/>
        <v>0</v>
      </c>
      <c r="P26" s="19">
        <f t="shared" si="17"/>
        <v>0</v>
      </c>
      <c r="Q26" s="19">
        <f t="shared" si="17"/>
        <v>0</v>
      </c>
      <c r="R26" s="19">
        <f t="shared" si="17"/>
        <v>0</v>
      </c>
      <c r="S26" s="19">
        <f t="shared" si="17"/>
        <v>0</v>
      </c>
      <c r="T26" s="19">
        <f t="shared" si="17"/>
        <v>0</v>
      </c>
      <c r="U26" s="19">
        <f t="shared" si="17"/>
        <v>0</v>
      </c>
      <c r="V26" s="19">
        <f t="shared" si="17"/>
        <v>0</v>
      </c>
      <c r="W26" s="19">
        <f t="shared" si="17"/>
        <v>0</v>
      </c>
      <c r="X26" s="19">
        <f t="shared" si="17"/>
        <v>0</v>
      </c>
      <c r="Y26" s="19">
        <f t="shared" si="17"/>
        <v>0</v>
      </c>
      <c r="Z26" s="19">
        <f t="shared" si="17"/>
        <v>0</v>
      </c>
      <c r="AA26" s="19">
        <f t="shared" si="17"/>
        <v>0</v>
      </c>
      <c r="AB26" s="19">
        <f t="shared" si="17"/>
        <v>0</v>
      </c>
      <c r="AC26" s="19">
        <f t="shared" si="17"/>
        <v>0</v>
      </c>
      <c r="AD26" s="19">
        <f t="shared" si="17"/>
        <v>0</v>
      </c>
      <c r="AE26" s="19">
        <f t="shared" si="17"/>
        <v>0</v>
      </c>
      <c r="AF26" s="19">
        <f t="shared" si="17"/>
        <v>0</v>
      </c>
      <c r="AG26" s="19">
        <f t="shared" si="17"/>
        <v>0</v>
      </c>
      <c r="AH26" s="19">
        <f t="shared" si="17"/>
        <v>0</v>
      </c>
      <c r="AI26" s="19">
        <f t="shared" si="17"/>
        <v>0</v>
      </c>
      <c r="AJ26" s="19">
        <f t="shared" si="17"/>
        <v>0</v>
      </c>
      <c r="AK26" s="19">
        <f t="shared" si="17"/>
        <v>0</v>
      </c>
      <c r="AL26" s="19">
        <f t="shared" si="17"/>
        <v>0</v>
      </c>
      <c r="AM26" s="19">
        <f t="shared" si="17"/>
        <v>0</v>
      </c>
      <c r="AN26" s="19">
        <f t="shared" si="17"/>
        <v>0</v>
      </c>
      <c r="AO26" s="19">
        <f t="shared" si="17"/>
        <v>0</v>
      </c>
      <c r="AP26" s="19">
        <f t="shared" si="17"/>
        <v>0</v>
      </c>
      <c r="AQ26" s="19">
        <f t="shared" si="17"/>
        <v>0</v>
      </c>
      <c r="AR26" s="19">
        <f t="shared" si="17"/>
        <v>0</v>
      </c>
      <c r="AS26" s="19">
        <f t="shared" si="17"/>
        <v>0</v>
      </c>
      <c r="AT26" s="19">
        <f t="shared" si="17"/>
        <v>0</v>
      </c>
      <c r="AU26" s="19">
        <f t="shared" si="17"/>
        <v>0</v>
      </c>
      <c r="AV26" s="19">
        <f t="shared" si="17"/>
        <v>0</v>
      </c>
      <c r="AW26" s="19">
        <f t="shared" si="17"/>
        <v>0</v>
      </c>
      <c r="AX26" s="19">
        <f t="shared" si="17"/>
        <v>0</v>
      </c>
      <c r="AY26" s="19">
        <f t="shared" si="17"/>
        <v>0</v>
      </c>
      <c r="AZ26" s="19">
        <f t="shared" si="17"/>
        <v>0</v>
      </c>
      <c r="BA26" s="19">
        <f t="shared" si="17"/>
        <v>0</v>
      </c>
      <c r="BB26" s="19">
        <f t="shared" si="17"/>
        <v>0</v>
      </c>
      <c r="BC26" s="19">
        <f t="shared" si="17"/>
        <v>0</v>
      </c>
      <c r="BD26" s="19">
        <f t="shared" si="17"/>
        <v>0</v>
      </c>
      <c r="BE26" s="19">
        <f t="shared" si="17"/>
        <v>0</v>
      </c>
      <c r="BF26" s="19">
        <f t="shared" si="17"/>
        <v>0</v>
      </c>
      <c r="BG26" s="19">
        <f t="shared" si="17"/>
        <v>0</v>
      </c>
      <c r="BH26" s="19">
        <f t="shared" si="17"/>
        <v>0</v>
      </c>
      <c r="BI26" s="19">
        <f t="shared" si="17"/>
        <v>0</v>
      </c>
      <c r="BJ26" s="19">
        <f t="shared" si="17"/>
        <v>0</v>
      </c>
      <c r="BK26" s="19">
        <f t="shared" si="17"/>
        <v>0</v>
      </c>
      <c r="BL26" s="19">
        <f t="shared" si="17"/>
        <v>0</v>
      </c>
      <c r="BM26" s="19">
        <f t="shared" si="17"/>
        <v>0</v>
      </c>
      <c r="BN26" s="19">
        <f t="shared" si="17"/>
        <v>0</v>
      </c>
      <c r="BO26" s="19">
        <f t="shared" si="17"/>
        <v>0</v>
      </c>
      <c r="BP26" s="19">
        <f t="shared" si="17"/>
        <v>0</v>
      </c>
      <c r="BQ26" s="19">
        <f t="shared" si="17"/>
        <v>0</v>
      </c>
      <c r="BR26" s="19">
        <f t="shared" si="17"/>
        <v>0</v>
      </c>
      <c r="BS26" s="19">
        <f t="shared" si="17"/>
        <v>0</v>
      </c>
      <c r="BT26" s="19">
        <f t="shared" si="17"/>
        <v>0</v>
      </c>
      <c r="BU26" s="19">
        <f t="shared" si="17"/>
        <v>0</v>
      </c>
      <c r="BV26" s="19">
        <f t="shared" si="17"/>
        <v>0</v>
      </c>
      <c r="BW26" s="19">
        <f t="shared" si="13"/>
        <v>0</v>
      </c>
      <c r="BX26" s="19">
        <f t="shared" si="13"/>
        <v>0</v>
      </c>
      <c r="BY26" s="19">
        <f t="shared" si="13"/>
        <v>0</v>
      </c>
      <c r="BZ26" s="19">
        <f t="shared" si="13"/>
        <v>0</v>
      </c>
      <c r="CA26" s="19">
        <f t="shared" si="13"/>
        <v>0</v>
      </c>
      <c r="CB26" s="19">
        <f t="shared" si="13"/>
        <v>0</v>
      </c>
      <c r="CC26" s="19">
        <f t="shared" si="13"/>
        <v>0</v>
      </c>
      <c r="CD26" s="19">
        <f t="shared" si="13"/>
        <v>0</v>
      </c>
      <c r="CE26" s="19">
        <f t="shared" si="13"/>
        <v>0</v>
      </c>
      <c r="CF26" s="19">
        <f t="shared" si="13"/>
        <v>0</v>
      </c>
      <c r="CG26" s="19">
        <f t="shared" si="13"/>
        <v>0</v>
      </c>
      <c r="CH26" s="19">
        <f t="shared" si="13"/>
        <v>0</v>
      </c>
      <c r="CI26" s="19">
        <f t="shared" si="13"/>
        <v>0</v>
      </c>
      <c r="CJ26" s="19">
        <f t="shared" si="13"/>
        <v>0</v>
      </c>
      <c r="CK26" s="19">
        <f t="shared" si="13"/>
        <v>0</v>
      </c>
      <c r="CL26" s="19">
        <f t="shared" si="13"/>
        <v>0</v>
      </c>
      <c r="CM26" s="19">
        <f t="shared" si="13"/>
        <v>0</v>
      </c>
      <c r="CN26" s="19">
        <f t="shared" si="13"/>
        <v>0</v>
      </c>
      <c r="CO26" s="19">
        <f t="shared" si="13"/>
        <v>0</v>
      </c>
      <c r="CP26" s="19">
        <f t="shared" si="13"/>
        <v>0</v>
      </c>
      <c r="CQ26" s="19">
        <f t="shared" si="13"/>
        <v>0</v>
      </c>
      <c r="CR26" s="19">
        <f t="shared" si="13"/>
        <v>0</v>
      </c>
      <c r="CS26" s="19">
        <f t="shared" si="13"/>
        <v>0</v>
      </c>
      <c r="CT26" s="19">
        <f t="shared" si="13"/>
        <v>0</v>
      </c>
      <c r="CU26" s="19">
        <f t="shared" si="13"/>
        <v>0</v>
      </c>
      <c r="CV26" s="19">
        <f t="shared" si="13"/>
        <v>0</v>
      </c>
      <c r="CW26" s="19">
        <f t="shared" si="13"/>
        <v>0</v>
      </c>
      <c r="CX26" s="19">
        <f t="shared" si="13"/>
        <v>0</v>
      </c>
      <c r="CY26" s="19">
        <f t="shared" si="13"/>
        <v>0</v>
      </c>
      <c r="CZ26" s="19">
        <f t="shared" si="13"/>
        <v>0</v>
      </c>
      <c r="DA26" s="19">
        <f t="shared" si="13"/>
        <v>0</v>
      </c>
      <c r="DB26" s="19">
        <f t="shared" si="13"/>
        <v>0</v>
      </c>
      <c r="DC26" s="19">
        <f t="shared" si="13"/>
        <v>0</v>
      </c>
      <c r="DD26" s="19">
        <f t="shared" si="13"/>
        <v>0</v>
      </c>
      <c r="DE26" s="19">
        <f t="shared" si="13"/>
        <v>0</v>
      </c>
      <c r="DF26" s="19">
        <f t="shared" si="13"/>
        <v>0</v>
      </c>
      <c r="DG26" s="19">
        <f t="shared" si="13"/>
        <v>0</v>
      </c>
      <c r="DH26" s="19">
        <f t="shared" si="13"/>
        <v>0</v>
      </c>
      <c r="DI26" s="19">
        <f t="shared" si="13"/>
        <v>0</v>
      </c>
      <c r="DJ26" s="19">
        <f t="shared" si="13"/>
        <v>0</v>
      </c>
      <c r="DK26" s="19">
        <f t="shared" si="13"/>
        <v>0</v>
      </c>
      <c r="DL26" s="19">
        <f t="shared" si="13"/>
        <v>0</v>
      </c>
      <c r="DM26" s="19">
        <f t="shared" si="13"/>
        <v>0</v>
      </c>
    </row>
    <row r="27" spans="3:117" outlineLevel="1" x14ac:dyDescent="0.15">
      <c r="C27" t="s">
        <v>140</v>
      </c>
      <c r="D27" s="5" t="s">
        <v>167</v>
      </c>
      <c r="I27" s="35">
        <f t="shared" si="10"/>
        <v>132811299.99999999</v>
      </c>
      <c r="J27" s="139">
        <f t="shared" ref="J27:M27" si="18">J$22*$G16</f>
        <v>13851485.27607362</v>
      </c>
      <c r="K27" s="19">
        <f t="shared" si="18"/>
        <v>30496547.414548643</v>
      </c>
      <c r="L27" s="19">
        <f t="shared" si="18"/>
        <v>56802729.535495177</v>
      </c>
      <c r="M27" s="19">
        <f t="shared" si="18"/>
        <v>31660537.773882557</v>
      </c>
      <c r="N27" s="19">
        <f t="shared" si="17"/>
        <v>0</v>
      </c>
      <c r="O27" s="19">
        <f t="shared" si="17"/>
        <v>0</v>
      </c>
      <c r="P27" s="19">
        <f t="shared" si="17"/>
        <v>0</v>
      </c>
      <c r="Q27" s="19">
        <f t="shared" si="17"/>
        <v>0</v>
      </c>
      <c r="R27" s="19">
        <f t="shared" si="17"/>
        <v>0</v>
      </c>
      <c r="S27" s="19">
        <f t="shared" si="17"/>
        <v>0</v>
      </c>
      <c r="T27" s="19">
        <f t="shared" si="17"/>
        <v>0</v>
      </c>
      <c r="U27" s="19">
        <f t="shared" si="17"/>
        <v>0</v>
      </c>
      <c r="V27" s="19">
        <f t="shared" si="17"/>
        <v>0</v>
      </c>
      <c r="W27" s="19">
        <f t="shared" si="17"/>
        <v>0</v>
      </c>
      <c r="X27" s="19">
        <f t="shared" si="17"/>
        <v>0</v>
      </c>
      <c r="Y27" s="19">
        <f t="shared" si="17"/>
        <v>0</v>
      </c>
      <c r="Z27" s="19">
        <f t="shared" si="17"/>
        <v>0</v>
      </c>
      <c r="AA27" s="19">
        <f t="shared" si="17"/>
        <v>0</v>
      </c>
      <c r="AB27" s="19">
        <f t="shared" si="17"/>
        <v>0</v>
      </c>
      <c r="AC27" s="19">
        <f t="shared" si="17"/>
        <v>0</v>
      </c>
      <c r="AD27" s="19">
        <f t="shared" si="17"/>
        <v>0</v>
      </c>
      <c r="AE27" s="19">
        <f t="shared" si="17"/>
        <v>0</v>
      </c>
      <c r="AF27" s="19">
        <f t="shared" si="17"/>
        <v>0</v>
      </c>
      <c r="AG27" s="19">
        <f t="shared" si="17"/>
        <v>0</v>
      </c>
      <c r="AH27" s="19">
        <f t="shared" si="17"/>
        <v>0</v>
      </c>
      <c r="AI27" s="19">
        <f t="shared" si="17"/>
        <v>0</v>
      </c>
      <c r="AJ27" s="19">
        <f t="shared" si="17"/>
        <v>0</v>
      </c>
      <c r="AK27" s="19">
        <f t="shared" si="17"/>
        <v>0</v>
      </c>
      <c r="AL27" s="19">
        <f t="shared" si="17"/>
        <v>0</v>
      </c>
      <c r="AM27" s="19">
        <f t="shared" si="17"/>
        <v>0</v>
      </c>
      <c r="AN27" s="19">
        <f t="shared" si="17"/>
        <v>0</v>
      </c>
      <c r="AO27" s="19">
        <f t="shared" si="17"/>
        <v>0</v>
      </c>
      <c r="AP27" s="19">
        <f t="shared" si="17"/>
        <v>0</v>
      </c>
      <c r="AQ27" s="19">
        <f t="shared" si="17"/>
        <v>0</v>
      </c>
      <c r="AR27" s="19">
        <f t="shared" si="17"/>
        <v>0</v>
      </c>
      <c r="AS27" s="19">
        <f t="shared" si="17"/>
        <v>0</v>
      </c>
      <c r="AT27" s="19">
        <f t="shared" si="17"/>
        <v>0</v>
      </c>
      <c r="AU27" s="19">
        <f t="shared" si="17"/>
        <v>0</v>
      </c>
      <c r="AV27" s="19">
        <f t="shared" si="17"/>
        <v>0</v>
      </c>
      <c r="AW27" s="19">
        <f t="shared" si="17"/>
        <v>0</v>
      </c>
      <c r="AX27" s="19">
        <f t="shared" si="17"/>
        <v>0</v>
      </c>
      <c r="AY27" s="19">
        <f t="shared" si="17"/>
        <v>0</v>
      </c>
      <c r="AZ27" s="19">
        <f t="shared" si="17"/>
        <v>0</v>
      </c>
      <c r="BA27" s="19">
        <f t="shared" si="17"/>
        <v>0</v>
      </c>
      <c r="BB27" s="19">
        <f t="shared" si="17"/>
        <v>0</v>
      </c>
      <c r="BC27" s="19">
        <f t="shared" si="17"/>
        <v>0</v>
      </c>
      <c r="BD27" s="19">
        <f t="shared" si="17"/>
        <v>0</v>
      </c>
      <c r="BE27" s="19">
        <f t="shared" si="17"/>
        <v>0</v>
      </c>
      <c r="BF27" s="19">
        <f t="shared" si="17"/>
        <v>0</v>
      </c>
      <c r="BG27" s="19">
        <f t="shared" si="17"/>
        <v>0</v>
      </c>
      <c r="BH27" s="19">
        <f t="shared" si="17"/>
        <v>0</v>
      </c>
      <c r="BI27" s="19">
        <f t="shared" si="17"/>
        <v>0</v>
      </c>
      <c r="BJ27" s="19">
        <f t="shared" si="17"/>
        <v>0</v>
      </c>
      <c r="BK27" s="19">
        <f t="shared" si="17"/>
        <v>0</v>
      </c>
      <c r="BL27" s="19">
        <f t="shared" si="17"/>
        <v>0</v>
      </c>
      <c r="BM27" s="19">
        <f t="shared" si="17"/>
        <v>0</v>
      </c>
      <c r="BN27" s="19">
        <f t="shared" si="17"/>
        <v>0</v>
      </c>
      <c r="BO27" s="19">
        <f t="shared" si="17"/>
        <v>0</v>
      </c>
      <c r="BP27" s="19">
        <f t="shared" si="17"/>
        <v>0</v>
      </c>
      <c r="BQ27" s="19">
        <f t="shared" si="17"/>
        <v>0</v>
      </c>
      <c r="BR27" s="19">
        <f t="shared" si="17"/>
        <v>0</v>
      </c>
      <c r="BS27" s="19">
        <f t="shared" si="17"/>
        <v>0</v>
      </c>
      <c r="BT27" s="19">
        <f t="shared" si="17"/>
        <v>0</v>
      </c>
      <c r="BU27" s="19">
        <f t="shared" si="17"/>
        <v>0</v>
      </c>
      <c r="BV27" s="19">
        <f t="shared" si="17"/>
        <v>0</v>
      </c>
      <c r="BW27" s="19">
        <f t="shared" si="13"/>
        <v>0</v>
      </c>
      <c r="BX27" s="19">
        <f t="shared" si="13"/>
        <v>0</v>
      </c>
      <c r="BY27" s="19">
        <f t="shared" si="13"/>
        <v>0</v>
      </c>
      <c r="BZ27" s="19">
        <f t="shared" si="13"/>
        <v>0</v>
      </c>
      <c r="CA27" s="19">
        <f t="shared" si="13"/>
        <v>0</v>
      </c>
      <c r="CB27" s="19">
        <f t="shared" si="13"/>
        <v>0</v>
      </c>
      <c r="CC27" s="19">
        <f t="shared" si="13"/>
        <v>0</v>
      </c>
      <c r="CD27" s="19">
        <f t="shared" si="13"/>
        <v>0</v>
      </c>
      <c r="CE27" s="19">
        <f t="shared" si="13"/>
        <v>0</v>
      </c>
      <c r="CF27" s="19">
        <f t="shared" si="13"/>
        <v>0</v>
      </c>
      <c r="CG27" s="19">
        <f t="shared" si="13"/>
        <v>0</v>
      </c>
      <c r="CH27" s="19">
        <f t="shared" si="13"/>
        <v>0</v>
      </c>
      <c r="CI27" s="19">
        <f t="shared" si="13"/>
        <v>0</v>
      </c>
      <c r="CJ27" s="19">
        <f t="shared" si="13"/>
        <v>0</v>
      </c>
      <c r="CK27" s="19">
        <f t="shared" si="13"/>
        <v>0</v>
      </c>
      <c r="CL27" s="19">
        <f t="shared" si="13"/>
        <v>0</v>
      </c>
      <c r="CM27" s="19">
        <f t="shared" si="13"/>
        <v>0</v>
      </c>
      <c r="CN27" s="19">
        <f t="shared" si="13"/>
        <v>0</v>
      </c>
      <c r="CO27" s="19">
        <f t="shared" si="13"/>
        <v>0</v>
      </c>
      <c r="CP27" s="19">
        <f t="shared" si="13"/>
        <v>0</v>
      </c>
      <c r="CQ27" s="19">
        <f t="shared" si="13"/>
        <v>0</v>
      </c>
      <c r="CR27" s="19">
        <f t="shared" si="13"/>
        <v>0</v>
      </c>
      <c r="CS27" s="19">
        <f t="shared" si="13"/>
        <v>0</v>
      </c>
      <c r="CT27" s="19">
        <f t="shared" si="13"/>
        <v>0</v>
      </c>
      <c r="CU27" s="19">
        <f t="shared" si="13"/>
        <v>0</v>
      </c>
      <c r="CV27" s="19">
        <f t="shared" si="13"/>
        <v>0</v>
      </c>
      <c r="CW27" s="19">
        <f t="shared" si="13"/>
        <v>0</v>
      </c>
      <c r="CX27" s="19">
        <f t="shared" si="13"/>
        <v>0</v>
      </c>
      <c r="CY27" s="19">
        <f t="shared" si="13"/>
        <v>0</v>
      </c>
      <c r="CZ27" s="19">
        <f t="shared" si="13"/>
        <v>0</v>
      </c>
      <c r="DA27" s="19">
        <f t="shared" si="13"/>
        <v>0</v>
      </c>
      <c r="DB27" s="19">
        <f t="shared" si="13"/>
        <v>0</v>
      </c>
      <c r="DC27" s="19">
        <f t="shared" si="13"/>
        <v>0</v>
      </c>
      <c r="DD27" s="19">
        <f t="shared" si="13"/>
        <v>0</v>
      </c>
      <c r="DE27" s="19">
        <f t="shared" si="13"/>
        <v>0</v>
      </c>
      <c r="DF27" s="19">
        <f t="shared" si="13"/>
        <v>0</v>
      </c>
      <c r="DG27" s="19">
        <f t="shared" si="13"/>
        <v>0</v>
      </c>
      <c r="DH27" s="19">
        <f t="shared" si="13"/>
        <v>0</v>
      </c>
      <c r="DI27" s="19">
        <f t="shared" si="13"/>
        <v>0</v>
      </c>
      <c r="DJ27" s="19">
        <f t="shared" si="13"/>
        <v>0</v>
      </c>
      <c r="DK27" s="19">
        <f t="shared" si="13"/>
        <v>0</v>
      </c>
      <c r="DL27" s="19">
        <f t="shared" si="13"/>
        <v>0</v>
      </c>
      <c r="DM27" s="19">
        <f t="shared" si="13"/>
        <v>0</v>
      </c>
    </row>
    <row r="28" spans="3:117" outlineLevel="1" x14ac:dyDescent="0.15">
      <c r="C28" t="s">
        <v>138</v>
      </c>
      <c r="D28" s="5" t="s">
        <v>167</v>
      </c>
      <c r="I28" s="35">
        <f t="shared" si="10"/>
        <v>362415000</v>
      </c>
      <c r="J28" s="139">
        <f t="shared" ref="J28:M28" si="19">J$22*$G17</f>
        <v>37797883.435582824</v>
      </c>
      <c r="K28" s="141">
        <f t="shared" si="19"/>
        <v>83218869.412795812</v>
      </c>
      <c r="L28" s="19">
        <f t="shared" si="19"/>
        <v>155003085.01314637</v>
      </c>
      <c r="M28" s="19">
        <f t="shared" si="19"/>
        <v>86395162.138475031</v>
      </c>
      <c r="N28" s="19">
        <f t="shared" si="17"/>
        <v>0</v>
      </c>
      <c r="O28" s="19">
        <f t="shared" si="17"/>
        <v>0</v>
      </c>
      <c r="P28" s="19">
        <f t="shared" si="17"/>
        <v>0</v>
      </c>
      <c r="Q28" s="19">
        <f t="shared" si="17"/>
        <v>0</v>
      </c>
      <c r="R28" s="19">
        <f t="shared" si="17"/>
        <v>0</v>
      </c>
      <c r="S28" s="19">
        <f t="shared" si="17"/>
        <v>0</v>
      </c>
      <c r="T28" s="19">
        <f t="shared" si="17"/>
        <v>0</v>
      </c>
      <c r="U28" s="19">
        <f t="shared" si="17"/>
        <v>0</v>
      </c>
      <c r="V28" s="19">
        <f t="shared" si="17"/>
        <v>0</v>
      </c>
      <c r="W28" s="19">
        <f t="shared" si="17"/>
        <v>0</v>
      </c>
      <c r="X28" s="19">
        <f t="shared" si="17"/>
        <v>0</v>
      </c>
      <c r="Y28" s="19">
        <f t="shared" si="17"/>
        <v>0</v>
      </c>
      <c r="Z28" s="19">
        <f t="shared" si="17"/>
        <v>0</v>
      </c>
      <c r="AA28" s="19">
        <f t="shared" si="17"/>
        <v>0</v>
      </c>
      <c r="AB28" s="19">
        <f t="shared" si="17"/>
        <v>0</v>
      </c>
      <c r="AC28" s="19">
        <f t="shared" si="17"/>
        <v>0</v>
      </c>
      <c r="AD28" s="19">
        <f t="shared" si="17"/>
        <v>0</v>
      </c>
      <c r="AE28" s="19">
        <f t="shared" si="17"/>
        <v>0</v>
      </c>
      <c r="AF28" s="19">
        <f t="shared" si="17"/>
        <v>0</v>
      </c>
      <c r="AG28" s="19">
        <f t="shared" si="17"/>
        <v>0</v>
      </c>
      <c r="AH28" s="19">
        <f t="shared" si="17"/>
        <v>0</v>
      </c>
      <c r="AI28" s="19">
        <f t="shared" si="17"/>
        <v>0</v>
      </c>
      <c r="AJ28" s="19">
        <f t="shared" si="17"/>
        <v>0</v>
      </c>
      <c r="AK28" s="19">
        <f t="shared" si="17"/>
        <v>0</v>
      </c>
      <c r="AL28" s="19">
        <f t="shared" si="17"/>
        <v>0</v>
      </c>
      <c r="AM28" s="19">
        <f t="shared" si="17"/>
        <v>0</v>
      </c>
      <c r="AN28" s="19">
        <f t="shared" si="17"/>
        <v>0</v>
      </c>
      <c r="AO28" s="19">
        <f t="shared" si="17"/>
        <v>0</v>
      </c>
      <c r="AP28" s="19">
        <f t="shared" si="17"/>
        <v>0</v>
      </c>
      <c r="AQ28" s="19">
        <f t="shared" si="17"/>
        <v>0</v>
      </c>
      <c r="AR28" s="19">
        <f t="shared" si="17"/>
        <v>0</v>
      </c>
      <c r="AS28" s="19">
        <f t="shared" si="17"/>
        <v>0</v>
      </c>
      <c r="AT28" s="19">
        <f t="shared" si="17"/>
        <v>0</v>
      </c>
      <c r="AU28" s="19">
        <f t="shared" si="17"/>
        <v>0</v>
      </c>
      <c r="AV28" s="19">
        <f t="shared" si="17"/>
        <v>0</v>
      </c>
      <c r="AW28" s="19">
        <f t="shared" si="17"/>
        <v>0</v>
      </c>
      <c r="AX28" s="19">
        <f t="shared" si="17"/>
        <v>0</v>
      </c>
      <c r="AY28" s="19">
        <f t="shared" si="17"/>
        <v>0</v>
      </c>
      <c r="AZ28" s="19">
        <f t="shared" si="17"/>
        <v>0</v>
      </c>
      <c r="BA28" s="19">
        <f t="shared" si="17"/>
        <v>0</v>
      </c>
      <c r="BB28" s="19">
        <f t="shared" si="17"/>
        <v>0</v>
      </c>
      <c r="BC28" s="19">
        <f t="shared" si="17"/>
        <v>0</v>
      </c>
      <c r="BD28" s="19">
        <f t="shared" si="17"/>
        <v>0</v>
      </c>
      <c r="BE28" s="19">
        <f t="shared" si="17"/>
        <v>0</v>
      </c>
      <c r="BF28" s="19">
        <f t="shared" si="17"/>
        <v>0</v>
      </c>
      <c r="BG28" s="19">
        <f t="shared" si="17"/>
        <v>0</v>
      </c>
      <c r="BH28" s="19">
        <f t="shared" si="17"/>
        <v>0</v>
      </c>
      <c r="BI28" s="19">
        <f t="shared" si="17"/>
        <v>0</v>
      </c>
      <c r="BJ28" s="19">
        <f t="shared" si="17"/>
        <v>0</v>
      </c>
      <c r="BK28" s="19">
        <f t="shared" si="17"/>
        <v>0</v>
      </c>
      <c r="BL28" s="19">
        <f t="shared" si="17"/>
        <v>0</v>
      </c>
      <c r="BM28" s="19">
        <f t="shared" si="17"/>
        <v>0</v>
      </c>
      <c r="BN28" s="19">
        <f t="shared" si="17"/>
        <v>0</v>
      </c>
      <c r="BO28" s="19">
        <f t="shared" si="17"/>
        <v>0</v>
      </c>
      <c r="BP28" s="19">
        <f t="shared" si="17"/>
        <v>0</v>
      </c>
      <c r="BQ28" s="19">
        <f t="shared" si="17"/>
        <v>0</v>
      </c>
      <c r="BR28" s="19">
        <f t="shared" si="17"/>
        <v>0</v>
      </c>
      <c r="BS28" s="19">
        <f t="shared" si="17"/>
        <v>0</v>
      </c>
      <c r="BT28" s="19">
        <f t="shared" si="17"/>
        <v>0</v>
      </c>
      <c r="BU28" s="19">
        <f t="shared" si="17"/>
        <v>0</v>
      </c>
      <c r="BV28" s="19">
        <f t="shared" si="17"/>
        <v>0</v>
      </c>
      <c r="BW28" s="19">
        <f t="shared" si="13"/>
        <v>0</v>
      </c>
      <c r="BX28" s="19">
        <f t="shared" si="13"/>
        <v>0</v>
      </c>
      <c r="BY28" s="19">
        <f t="shared" si="13"/>
        <v>0</v>
      </c>
      <c r="BZ28" s="19">
        <f t="shared" si="13"/>
        <v>0</v>
      </c>
      <c r="CA28" s="19">
        <f t="shared" si="13"/>
        <v>0</v>
      </c>
      <c r="CB28" s="19">
        <f t="shared" si="13"/>
        <v>0</v>
      </c>
      <c r="CC28" s="19">
        <f t="shared" si="13"/>
        <v>0</v>
      </c>
      <c r="CD28" s="19">
        <f t="shared" si="13"/>
        <v>0</v>
      </c>
      <c r="CE28" s="19">
        <f t="shared" si="13"/>
        <v>0</v>
      </c>
      <c r="CF28" s="19">
        <f t="shared" si="13"/>
        <v>0</v>
      </c>
      <c r="CG28" s="19">
        <f t="shared" si="13"/>
        <v>0</v>
      </c>
      <c r="CH28" s="19">
        <f t="shared" si="13"/>
        <v>0</v>
      </c>
      <c r="CI28" s="19">
        <f t="shared" si="13"/>
        <v>0</v>
      </c>
      <c r="CJ28" s="19">
        <f t="shared" si="13"/>
        <v>0</v>
      </c>
      <c r="CK28" s="19">
        <f t="shared" si="13"/>
        <v>0</v>
      </c>
      <c r="CL28" s="19">
        <f t="shared" si="13"/>
        <v>0</v>
      </c>
      <c r="CM28" s="19">
        <f t="shared" si="13"/>
        <v>0</v>
      </c>
      <c r="CN28" s="19">
        <f t="shared" si="13"/>
        <v>0</v>
      </c>
      <c r="CO28" s="19">
        <f t="shared" si="13"/>
        <v>0</v>
      </c>
      <c r="CP28" s="19">
        <f t="shared" si="13"/>
        <v>0</v>
      </c>
      <c r="CQ28" s="19">
        <f t="shared" si="13"/>
        <v>0</v>
      </c>
      <c r="CR28" s="19">
        <f t="shared" si="13"/>
        <v>0</v>
      </c>
      <c r="CS28" s="19">
        <f t="shared" si="13"/>
        <v>0</v>
      </c>
      <c r="CT28" s="19">
        <f t="shared" si="13"/>
        <v>0</v>
      </c>
      <c r="CU28" s="19">
        <f t="shared" si="13"/>
        <v>0</v>
      </c>
      <c r="CV28" s="19">
        <f t="shared" si="13"/>
        <v>0</v>
      </c>
      <c r="CW28" s="19">
        <f t="shared" si="13"/>
        <v>0</v>
      </c>
      <c r="CX28" s="19">
        <f t="shared" si="13"/>
        <v>0</v>
      </c>
      <c r="CY28" s="19">
        <f t="shared" si="13"/>
        <v>0</v>
      </c>
      <c r="CZ28" s="19">
        <f t="shared" si="13"/>
        <v>0</v>
      </c>
      <c r="DA28" s="19">
        <f t="shared" si="13"/>
        <v>0</v>
      </c>
      <c r="DB28" s="19">
        <f t="shared" si="13"/>
        <v>0</v>
      </c>
      <c r="DC28" s="19">
        <f t="shared" si="13"/>
        <v>0</v>
      </c>
      <c r="DD28" s="19">
        <f t="shared" si="13"/>
        <v>0</v>
      </c>
      <c r="DE28" s="19">
        <f t="shared" si="13"/>
        <v>0</v>
      </c>
      <c r="DF28" s="19">
        <f t="shared" si="13"/>
        <v>0</v>
      </c>
      <c r="DG28" s="19">
        <f t="shared" si="13"/>
        <v>0</v>
      </c>
      <c r="DH28" s="19">
        <f t="shared" si="13"/>
        <v>0</v>
      </c>
      <c r="DI28" s="19">
        <f t="shared" si="13"/>
        <v>0</v>
      </c>
      <c r="DJ28" s="19">
        <f t="shared" si="13"/>
        <v>0</v>
      </c>
      <c r="DK28" s="19">
        <f t="shared" si="13"/>
        <v>0</v>
      </c>
      <c r="DL28" s="19">
        <f t="shared" si="13"/>
        <v>0</v>
      </c>
      <c r="DM28" s="19">
        <f t="shared" si="13"/>
        <v>0</v>
      </c>
    </row>
    <row r="29" spans="3:117" outlineLevel="1" x14ac:dyDescent="0.15">
      <c r="C29" t="s">
        <v>98</v>
      </c>
      <c r="D29" s="5" t="s">
        <v>167</v>
      </c>
      <c r="I29" s="35">
        <f t="shared" si="10"/>
        <v>108669000.00000001</v>
      </c>
      <c r="J29" s="139">
        <f t="shared" ref="J29:M29" si="20">J$22*$G18</f>
        <v>11333576.687116565</v>
      </c>
      <c r="K29" s="19">
        <f t="shared" si="20"/>
        <v>24952916.73970202</v>
      </c>
      <c r="L29" s="19">
        <f t="shared" si="20"/>
        <v>46477188.431200705</v>
      </c>
      <c r="M29" s="19">
        <f t="shared" si="20"/>
        <v>25905318.141980723</v>
      </c>
      <c r="N29" s="19">
        <f t="shared" si="17"/>
        <v>0</v>
      </c>
      <c r="O29" s="19">
        <f t="shared" si="17"/>
        <v>0</v>
      </c>
      <c r="P29" s="19">
        <f t="shared" si="17"/>
        <v>0</v>
      </c>
      <c r="Q29" s="19">
        <f t="shared" si="17"/>
        <v>0</v>
      </c>
      <c r="R29" s="19">
        <f t="shared" si="17"/>
        <v>0</v>
      </c>
      <c r="S29" s="19">
        <f t="shared" si="17"/>
        <v>0</v>
      </c>
      <c r="T29" s="19">
        <f t="shared" si="17"/>
        <v>0</v>
      </c>
      <c r="U29" s="19">
        <f t="shared" si="17"/>
        <v>0</v>
      </c>
      <c r="V29" s="19">
        <f t="shared" si="17"/>
        <v>0</v>
      </c>
      <c r="W29" s="19">
        <f t="shared" si="17"/>
        <v>0</v>
      </c>
      <c r="X29" s="19">
        <f t="shared" si="17"/>
        <v>0</v>
      </c>
      <c r="Y29" s="19">
        <f t="shared" si="17"/>
        <v>0</v>
      </c>
      <c r="Z29" s="19">
        <f t="shared" si="17"/>
        <v>0</v>
      </c>
      <c r="AA29" s="19">
        <f t="shared" si="17"/>
        <v>0</v>
      </c>
      <c r="AB29" s="19">
        <f t="shared" si="17"/>
        <v>0</v>
      </c>
      <c r="AC29" s="19">
        <f t="shared" si="17"/>
        <v>0</v>
      </c>
      <c r="AD29" s="19">
        <f t="shared" si="17"/>
        <v>0</v>
      </c>
      <c r="AE29" s="19">
        <f t="shared" si="17"/>
        <v>0</v>
      </c>
      <c r="AF29" s="19">
        <f t="shared" si="17"/>
        <v>0</v>
      </c>
      <c r="AG29" s="19">
        <f t="shared" si="17"/>
        <v>0</v>
      </c>
      <c r="AH29" s="19">
        <f t="shared" si="17"/>
        <v>0</v>
      </c>
      <c r="AI29" s="19">
        <f t="shared" si="17"/>
        <v>0</v>
      </c>
      <c r="AJ29" s="19">
        <f t="shared" si="17"/>
        <v>0</v>
      </c>
      <c r="AK29" s="19">
        <f t="shared" si="17"/>
        <v>0</v>
      </c>
      <c r="AL29" s="19">
        <f t="shared" si="17"/>
        <v>0</v>
      </c>
      <c r="AM29" s="19">
        <f t="shared" si="17"/>
        <v>0</v>
      </c>
      <c r="AN29" s="19">
        <f t="shared" si="17"/>
        <v>0</v>
      </c>
      <c r="AO29" s="19">
        <f t="shared" si="17"/>
        <v>0</v>
      </c>
      <c r="AP29" s="19">
        <f t="shared" si="17"/>
        <v>0</v>
      </c>
      <c r="AQ29" s="19">
        <f t="shared" si="17"/>
        <v>0</v>
      </c>
      <c r="AR29" s="19">
        <f t="shared" si="17"/>
        <v>0</v>
      </c>
      <c r="AS29" s="19">
        <f t="shared" si="17"/>
        <v>0</v>
      </c>
      <c r="AT29" s="19">
        <f t="shared" si="17"/>
        <v>0</v>
      </c>
      <c r="AU29" s="19">
        <f t="shared" si="17"/>
        <v>0</v>
      </c>
      <c r="AV29" s="19">
        <f t="shared" si="17"/>
        <v>0</v>
      </c>
      <c r="AW29" s="19">
        <f t="shared" si="17"/>
        <v>0</v>
      </c>
      <c r="AX29" s="19">
        <f t="shared" si="17"/>
        <v>0</v>
      </c>
      <c r="AY29" s="19">
        <f t="shared" si="17"/>
        <v>0</v>
      </c>
      <c r="AZ29" s="19">
        <f t="shared" si="17"/>
        <v>0</v>
      </c>
      <c r="BA29" s="19">
        <f t="shared" si="17"/>
        <v>0</v>
      </c>
      <c r="BB29" s="19">
        <f t="shared" si="17"/>
        <v>0</v>
      </c>
      <c r="BC29" s="19">
        <f t="shared" si="17"/>
        <v>0</v>
      </c>
      <c r="BD29" s="19">
        <f t="shared" si="17"/>
        <v>0</v>
      </c>
      <c r="BE29" s="19">
        <f t="shared" si="17"/>
        <v>0</v>
      </c>
      <c r="BF29" s="19">
        <f t="shared" si="17"/>
        <v>0</v>
      </c>
      <c r="BG29" s="19">
        <f t="shared" si="17"/>
        <v>0</v>
      </c>
      <c r="BH29" s="19">
        <f t="shared" si="17"/>
        <v>0</v>
      </c>
      <c r="BI29" s="19">
        <f t="shared" si="17"/>
        <v>0</v>
      </c>
      <c r="BJ29" s="19">
        <f t="shared" si="17"/>
        <v>0</v>
      </c>
      <c r="BK29" s="19">
        <f t="shared" si="17"/>
        <v>0</v>
      </c>
      <c r="BL29" s="19">
        <f t="shared" si="17"/>
        <v>0</v>
      </c>
      <c r="BM29" s="19">
        <f t="shared" si="17"/>
        <v>0</v>
      </c>
      <c r="BN29" s="19">
        <f t="shared" si="17"/>
        <v>0</v>
      </c>
      <c r="BO29" s="19">
        <f t="shared" si="17"/>
        <v>0</v>
      </c>
      <c r="BP29" s="19">
        <f t="shared" si="17"/>
        <v>0</v>
      </c>
      <c r="BQ29" s="19">
        <f t="shared" si="17"/>
        <v>0</v>
      </c>
      <c r="BR29" s="19">
        <f t="shared" si="17"/>
        <v>0</v>
      </c>
      <c r="BS29" s="19">
        <f t="shared" si="17"/>
        <v>0</v>
      </c>
      <c r="BT29" s="19">
        <f t="shared" si="17"/>
        <v>0</v>
      </c>
      <c r="BU29" s="19">
        <f t="shared" si="17"/>
        <v>0</v>
      </c>
      <c r="BV29" s="19">
        <f t="shared" ref="BV29:DM29" si="21">($E29/$E$5)*BV$5</f>
        <v>0</v>
      </c>
      <c r="BW29" s="19">
        <f t="shared" si="21"/>
        <v>0</v>
      </c>
      <c r="BX29" s="19">
        <f t="shared" si="21"/>
        <v>0</v>
      </c>
      <c r="BY29" s="19">
        <f t="shared" si="21"/>
        <v>0</v>
      </c>
      <c r="BZ29" s="19">
        <f t="shared" si="21"/>
        <v>0</v>
      </c>
      <c r="CA29" s="19">
        <f t="shared" si="21"/>
        <v>0</v>
      </c>
      <c r="CB29" s="19">
        <f t="shared" si="21"/>
        <v>0</v>
      </c>
      <c r="CC29" s="19">
        <f t="shared" si="21"/>
        <v>0</v>
      </c>
      <c r="CD29" s="19">
        <f t="shared" si="21"/>
        <v>0</v>
      </c>
      <c r="CE29" s="19">
        <f t="shared" si="21"/>
        <v>0</v>
      </c>
      <c r="CF29" s="19">
        <f t="shared" si="21"/>
        <v>0</v>
      </c>
      <c r="CG29" s="19">
        <f t="shared" si="21"/>
        <v>0</v>
      </c>
      <c r="CH29" s="19">
        <f t="shared" si="21"/>
        <v>0</v>
      </c>
      <c r="CI29" s="19">
        <f t="shared" si="21"/>
        <v>0</v>
      </c>
      <c r="CJ29" s="19">
        <f t="shared" si="21"/>
        <v>0</v>
      </c>
      <c r="CK29" s="19">
        <f t="shared" si="21"/>
        <v>0</v>
      </c>
      <c r="CL29" s="19">
        <f t="shared" si="21"/>
        <v>0</v>
      </c>
      <c r="CM29" s="19">
        <f t="shared" si="21"/>
        <v>0</v>
      </c>
      <c r="CN29" s="19">
        <f t="shared" si="21"/>
        <v>0</v>
      </c>
      <c r="CO29" s="19">
        <f t="shared" si="21"/>
        <v>0</v>
      </c>
      <c r="CP29" s="19">
        <f t="shared" si="21"/>
        <v>0</v>
      </c>
      <c r="CQ29" s="19">
        <f t="shared" si="21"/>
        <v>0</v>
      </c>
      <c r="CR29" s="19">
        <f t="shared" si="21"/>
        <v>0</v>
      </c>
      <c r="CS29" s="19">
        <f t="shared" si="21"/>
        <v>0</v>
      </c>
      <c r="CT29" s="19">
        <f t="shared" si="21"/>
        <v>0</v>
      </c>
      <c r="CU29" s="19">
        <f t="shared" si="21"/>
        <v>0</v>
      </c>
      <c r="CV29" s="19">
        <f t="shared" si="21"/>
        <v>0</v>
      </c>
      <c r="CW29" s="19">
        <f t="shared" si="21"/>
        <v>0</v>
      </c>
      <c r="CX29" s="19">
        <f t="shared" si="21"/>
        <v>0</v>
      </c>
      <c r="CY29" s="19">
        <f t="shared" si="21"/>
        <v>0</v>
      </c>
      <c r="CZ29" s="19">
        <f t="shared" si="21"/>
        <v>0</v>
      </c>
      <c r="DA29" s="19">
        <f t="shared" si="21"/>
        <v>0</v>
      </c>
      <c r="DB29" s="19">
        <f t="shared" si="21"/>
        <v>0</v>
      </c>
      <c r="DC29" s="19">
        <f t="shared" si="21"/>
        <v>0</v>
      </c>
      <c r="DD29" s="19">
        <f t="shared" si="21"/>
        <v>0</v>
      </c>
      <c r="DE29" s="19">
        <f t="shared" si="21"/>
        <v>0</v>
      </c>
      <c r="DF29" s="19">
        <f t="shared" si="21"/>
        <v>0</v>
      </c>
      <c r="DG29" s="19">
        <f t="shared" si="21"/>
        <v>0</v>
      </c>
      <c r="DH29" s="19">
        <f t="shared" si="21"/>
        <v>0</v>
      </c>
      <c r="DI29" s="19">
        <f t="shared" si="21"/>
        <v>0</v>
      </c>
      <c r="DJ29" s="19">
        <f t="shared" si="21"/>
        <v>0</v>
      </c>
      <c r="DK29" s="19">
        <f t="shared" si="21"/>
        <v>0</v>
      </c>
      <c r="DL29" s="19">
        <f t="shared" si="21"/>
        <v>0</v>
      </c>
      <c r="DM29" s="19">
        <f t="shared" si="21"/>
        <v>0</v>
      </c>
    </row>
    <row r="30" spans="3:117" outlineLevel="1" x14ac:dyDescent="0.15">
      <c r="C30" t="s">
        <v>311</v>
      </c>
      <c r="D30" s="5"/>
      <c r="I30" s="35">
        <f>SUM(J30:DM30)</f>
        <v>1142207400</v>
      </c>
      <c r="J30" s="159">
        <f t="shared" ref="J30:AO30" si="22">SUM(J24:J29)</f>
        <v>119125925.15337422</v>
      </c>
      <c r="K30" s="38">
        <f t="shared" si="22"/>
        <v>262277246.9763366</v>
      </c>
      <c r="L30" s="38">
        <f t="shared" si="22"/>
        <v>488516398.948291</v>
      </c>
      <c r="M30" s="38">
        <f t="shared" si="22"/>
        <v>272287828.92199826</v>
      </c>
      <c r="N30" s="38">
        <f t="shared" si="22"/>
        <v>0</v>
      </c>
      <c r="O30" s="38">
        <f t="shared" si="22"/>
        <v>0</v>
      </c>
      <c r="P30" s="38">
        <f t="shared" si="22"/>
        <v>0</v>
      </c>
      <c r="Q30" s="38">
        <f t="shared" si="22"/>
        <v>0</v>
      </c>
      <c r="R30" s="38">
        <f t="shared" si="22"/>
        <v>0</v>
      </c>
      <c r="S30" s="38">
        <f t="shared" si="22"/>
        <v>0</v>
      </c>
      <c r="T30" s="38">
        <f t="shared" si="22"/>
        <v>0</v>
      </c>
      <c r="U30" s="38">
        <f t="shared" si="22"/>
        <v>0</v>
      </c>
      <c r="V30" s="38">
        <f t="shared" si="22"/>
        <v>0</v>
      </c>
      <c r="W30" s="38">
        <f t="shared" si="22"/>
        <v>0</v>
      </c>
      <c r="X30" s="38">
        <f t="shared" si="22"/>
        <v>0</v>
      </c>
      <c r="Y30" s="38">
        <f t="shared" si="22"/>
        <v>0</v>
      </c>
      <c r="Z30" s="38">
        <f t="shared" si="22"/>
        <v>0</v>
      </c>
      <c r="AA30" s="38">
        <f t="shared" si="22"/>
        <v>0</v>
      </c>
      <c r="AB30" s="38">
        <f t="shared" si="22"/>
        <v>0</v>
      </c>
      <c r="AC30" s="38">
        <f t="shared" si="22"/>
        <v>0</v>
      </c>
      <c r="AD30" s="38">
        <f t="shared" si="22"/>
        <v>0</v>
      </c>
      <c r="AE30" s="38">
        <f t="shared" si="22"/>
        <v>0</v>
      </c>
      <c r="AF30" s="38">
        <f t="shared" si="22"/>
        <v>0</v>
      </c>
      <c r="AG30" s="38">
        <f t="shared" si="22"/>
        <v>0</v>
      </c>
      <c r="AH30" s="38">
        <f t="shared" si="22"/>
        <v>0</v>
      </c>
      <c r="AI30" s="38">
        <f t="shared" si="22"/>
        <v>0</v>
      </c>
      <c r="AJ30" s="38">
        <f t="shared" si="22"/>
        <v>0</v>
      </c>
      <c r="AK30" s="38">
        <f t="shared" si="22"/>
        <v>0</v>
      </c>
      <c r="AL30" s="38">
        <f t="shared" si="22"/>
        <v>0</v>
      </c>
      <c r="AM30" s="38">
        <f t="shared" si="22"/>
        <v>0</v>
      </c>
      <c r="AN30" s="38">
        <f t="shared" si="22"/>
        <v>0</v>
      </c>
      <c r="AO30" s="38">
        <f t="shared" si="22"/>
        <v>0</v>
      </c>
      <c r="AP30" s="38">
        <f t="shared" ref="AP30:BU30" si="23">SUM(AP24:AP29)</f>
        <v>0</v>
      </c>
      <c r="AQ30" s="38">
        <f t="shared" si="23"/>
        <v>0</v>
      </c>
      <c r="AR30" s="38">
        <f t="shared" si="23"/>
        <v>0</v>
      </c>
      <c r="AS30" s="38">
        <f t="shared" si="23"/>
        <v>0</v>
      </c>
      <c r="AT30" s="38">
        <f t="shared" si="23"/>
        <v>0</v>
      </c>
      <c r="AU30" s="38">
        <f t="shared" si="23"/>
        <v>0</v>
      </c>
      <c r="AV30" s="38">
        <f t="shared" si="23"/>
        <v>0</v>
      </c>
      <c r="AW30" s="38">
        <f t="shared" si="23"/>
        <v>0</v>
      </c>
      <c r="AX30" s="38">
        <f t="shared" si="23"/>
        <v>0</v>
      </c>
      <c r="AY30" s="38">
        <f t="shared" si="23"/>
        <v>0</v>
      </c>
      <c r="AZ30" s="38">
        <f t="shared" si="23"/>
        <v>0</v>
      </c>
      <c r="BA30" s="38">
        <f t="shared" si="23"/>
        <v>0</v>
      </c>
      <c r="BB30" s="38">
        <f t="shared" si="23"/>
        <v>0</v>
      </c>
      <c r="BC30" s="38">
        <f t="shared" si="23"/>
        <v>0</v>
      </c>
      <c r="BD30" s="38">
        <f t="shared" si="23"/>
        <v>0</v>
      </c>
      <c r="BE30" s="38">
        <f t="shared" si="23"/>
        <v>0</v>
      </c>
      <c r="BF30" s="38">
        <f t="shared" si="23"/>
        <v>0</v>
      </c>
      <c r="BG30" s="38">
        <f t="shared" si="23"/>
        <v>0</v>
      </c>
      <c r="BH30" s="38">
        <f t="shared" si="23"/>
        <v>0</v>
      </c>
      <c r="BI30" s="38">
        <f t="shared" si="23"/>
        <v>0</v>
      </c>
      <c r="BJ30" s="38">
        <f t="shared" si="23"/>
        <v>0</v>
      </c>
      <c r="BK30" s="38">
        <f t="shared" si="23"/>
        <v>0</v>
      </c>
      <c r="BL30" s="38">
        <f t="shared" si="23"/>
        <v>0</v>
      </c>
      <c r="BM30" s="38">
        <f t="shared" si="23"/>
        <v>0</v>
      </c>
      <c r="BN30" s="38">
        <f t="shared" si="23"/>
        <v>0</v>
      </c>
      <c r="BO30" s="38">
        <f t="shared" si="23"/>
        <v>0</v>
      </c>
      <c r="BP30" s="38">
        <f t="shared" si="23"/>
        <v>0</v>
      </c>
      <c r="BQ30" s="38">
        <f t="shared" si="23"/>
        <v>0</v>
      </c>
      <c r="BR30" s="38">
        <f t="shared" si="23"/>
        <v>0</v>
      </c>
      <c r="BS30" s="38">
        <f t="shared" si="23"/>
        <v>0</v>
      </c>
      <c r="BT30" s="38">
        <f t="shared" si="23"/>
        <v>0</v>
      </c>
      <c r="BU30" s="38">
        <f t="shared" si="23"/>
        <v>0</v>
      </c>
      <c r="BV30" s="38">
        <f t="shared" ref="BV30:DA30" si="24">SUM(BV24:BV29)</f>
        <v>0</v>
      </c>
      <c r="BW30" s="38">
        <f t="shared" si="24"/>
        <v>0</v>
      </c>
      <c r="BX30" s="38">
        <f t="shared" si="24"/>
        <v>0</v>
      </c>
      <c r="BY30" s="38">
        <f t="shared" si="24"/>
        <v>0</v>
      </c>
      <c r="BZ30" s="38">
        <f t="shared" si="24"/>
        <v>0</v>
      </c>
      <c r="CA30" s="38">
        <f t="shared" si="24"/>
        <v>0</v>
      </c>
      <c r="CB30" s="38">
        <f t="shared" si="24"/>
        <v>0</v>
      </c>
      <c r="CC30" s="38">
        <f t="shared" si="24"/>
        <v>0</v>
      </c>
      <c r="CD30" s="38">
        <f t="shared" si="24"/>
        <v>0</v>
      </c>
      <c r="CE30" s="38">
        <f t="shared" si="24"/>
        <v>0</v>
      </c>
      <c r="CF30" s="38">
        <f t="shared" si="24"/>
        <v>0</v>
      </c>
      <c r="CG30" s="38">
        <f t="shared" si="24"/>
        <v>0</v>
      </c>
      <c r="CH30" s="38">
        <f t="shared" si="24"/>
        <v>0</v>
      </c>
      <c r="CI30" s="38">
        <f t="shared" si="24"/>
        <v>0</v>
      </c>
      <c r="CJ30" s="38">
        <f t="shared" si="24"/>
        <v>0</v>
      </c>
      <c r="CK30" s="38">
        <f t="shared" si="24"/>
        <v>0</v>
      </c>
      <c r="CL30" s="38">
        <f t="shared" si="24"/>
        <v>0</v>
      </c>
      <c r="CM30" s="38">
        <f t="shared" si="24"/>
        <v>0</v>
      </c>
      <c r="CN30" s="38">
        <f t="shared" si="24"/>
        <v>0</v>
      </c>
      <c r="CO30" s="38">
        <f t="shared" si="24"/>
        <v>0</v>
      </c>
      <c r="CP30" s="38">
        <f t="shared" si="24"/>
        <v>0</v>
      </c>
      <c r="CQ30" s="38">
        <f t="shared" si="24"/>
        <v>0</v>
      </c>
      <c r="CR30" s="38">
        <f t="shared" si="24"/>
        <v>0</v>
      </c>
      <c r="CS30" s="38">
        <f t="shared" si="24"/>
        <v>0</v>
      </c>
      <c r="CT30" s="38">
        <f t="shared" si="24"/>
        <v>0</v>
      </c>
      <c r="CU30" s="38">
        <f t="shared" si="24"/>
        <v>0</v>
      </c>
      <c r="CV30" s="38">
        <f t="shared" si="24"/>
        <v>0</v>
      </c>
      <c r="CW30" s="38">
        <f t="shared" si="24"/>
        <v>0</v>
      </c>
      <c r="CX30" s="38">
        <f t="shared" si="24"/>
        <v>0</v>
      </c>
      <c r="CY30" s="38">
        <f t="shared" si="24"/>
        <v>0</v>
      </c>
      <c r="CZ30" s="38">
        <f t="shared" si="24"/>
        <v>0</v>
      </c>
      <c r="DA30" s="38">
        <f t="shared" si="24"/>
        <v>0</v>
      </c>
      <c r="DB30" s="38">
        <f t="shared" ref="DB30:DM30" si="25">SUM(DB24:DB29)</f>
        <v>0</v>
      </c>
      <c r="DC30" s="38">
        <f t="shared" si="25"/>
        <v>0</v>
      </c>
      <c r="DD30" s="38">
        <f t="shared" si="25"/>
        <v>0</v>
      </c>
      <c r="DE30" s="38">
        <f t="shared" si="25"/>
        <v>0</v>
      </c>
      <c r="DF30" s="38">
        <f t="shared" si="25"/>
        <v>0</v>
      </c>
      <c r="DG30" s="38">
        <f t="shared" si="25"/>
        <v>0</v>
      </c>
      <c r="DH30" s="38">
        <f t="shared" si="25"/>
        <v>0</v>
      </c>
      <c r="DI30" s="38">
        <f t="shared" si="25"/>
        <v>0</v>
      </c>
      <c r="DJ30" s="38">
        <f t="shared" si="25"/>
        <v>0</v>
      </c>
      <c r="DK30" s="38">
        <f t="shared" si="25"/>
        <v>0</v>
      </c>
      <c r="DL30" s="38">
        <f t="shared" si="25"/>
        <v>0</v>
      </c>
      <c r="DM30" s="38">
        <f t="shared" si="25"/>
        <v>0</v>
      </c>
    </row>
    <row r="31" spans="3:117" outlineLevel="1" x14ac:dyDescent="0.15">
      <c r="D31" s="5"/>
    </row>
    <row r="32" spans="3:117" outlineLevel="1" x14ac:dyDescent="0.15">
      <c r="C32" t="s">
        <v>312</v>
      </c>
      <c r="D32" s="5" t="s">
        <v>167</v>
      </c>
      <c r="F32" s="85">
        <v>0.95</v>
      </c>
      <c r="I32" s="35">
        <f t="shared" ref="I32" si="26">SUM(J32:DM32)</f>
        <v>2227304430.0000005</v>
      </c>
      <c r="J32" s="159">
        <f>J30*(1+$F$32)*(1+J10)</f>
        <v>232295554.04907975</v>
      </c>
      <c r="K32" s="38">
        <f t="shared" ref="K32:L32" si="27">K30*(1+$F$32)*(1+K10)</f>
        <v>511440631.60385638</v>
      </c>
      <c r="L32" s="38">
        <f t="shared" si="27"/>
        <v>952606977.94916749</v>
      </c>
      <c r="M32" s="38">
        <f>M30*(1+$F$32)*(1+M10)</f>
        <v>530961266.39789659</v>
      </c>
      <c r="N32" s="38">
        <f t="shared" ref="N32:BV32" si="28">N30</f>
        <v>0</v>
      </c>
      <c r="O32" s="38">
        <f t="shared" si="28"/>
        <v>0</v>
      </c>
      <c r="P32" s="38">
        <f t="shared" si="28"/>
        <v>0</v>
      </c>
      <c r="Q32" s="38">
        <f t="shared" si="28"/>
        <v>0</v>
      </c>
      <c r="R32" s="38">
        <f t="shared" si="28"/>
        <v>0</v>
      </c>
      <c r="S32" s="38">
        <f t="shared" si="28"/>
        <v>0</v>
      </c>
      <c r="T32" s="38">
        <f t="shared" si="28"/>
        <v>0</v>
      </c>
      <c r="U32" s="38">
        <f t="shared" si="28"/>
        <v>0</v>
      </c>
      <c r="V32" s="38">
        <f t="shared" si="28"/>
        <v>0</v>
      </c>
      <c r="W32" s="38">
        <f t="shared" si="28"/>
        <v>0</v>
      </c>
      <c r="X32" s="38">
        <f t="shared" si="28"/>
        <v>0</v>
      </c>
      <c r="Y32" s="38">
        <f t="shared" si="28"/>
        <v>0</v>
      </c>
      <c r="Z32" s="38">
        <f t="shared" si="28"/>
        <v>0</v>
      </c>
      <c r="AA32" s="38">
        <f t="shared" si="28"/>
        <v>0</v>
      </c>
      <c r="AB32" s="38">
        <f t="shared" si="28"/>
        <v>0</v>
      </c>
      <c r="AC32" s="38">
        <f t="shared" si="28"/>
        <v>0</v>
      </c>
      <c r="AD32" s="38">
        <f t="shared" si="28"/>
        <v>0</v>
      </c>
      <c r="AE32" s="38">
        <f t="shared" si="28"/>
        <v>0</v>
      </c>
      <c r="AF32" s="38">
        <f t="shared" si="28"/>
        <v>0</v>
      </c>
      <c r="AG32" s="38">
        <f t="shared" si="28"/>
        <v>0</v>
      </c>
      <c r="AH32" s="38">
        <f t="shared" si="28"/>
        <v>0</v>
      </c>
      <c r="AI32" s="38">
        <f t="shared" si="28"/>
        <v>0</v>
      </c>
      <c r="AJ32" s="38">
        <f t="shared" si="28"/>
        <v>0</v>
      </c>
      <c r="AK32" s="38">
        <f t="shared" si="28"/>
        <v>0</v>
      </c>
      <c r="AL32" s="38">
        <f t="shared" si="28"/>
        <v>0</v>
      </c>
      <c r="AM32" s="38">
        <f t="shared" si="28"/>
        <v>0</v>
      </c>
      <c r="AN32" s="38">
        <f t="shared" si="28"/>
        <v>0</v>
      </c>
      <c r="AO32" s="38">
        <f t="shared" si="28"/>
        <v>0</v>
      </c>
      <c r="AP32" s="38">
        <f t="shared" si="28"/>
        <v>0</v>
      </c>
      <c r="AQ32" s="38">
        <f t="shared" si="28"/>
        <v>0</v>
      </c>
      <c r="AR32" s="38">
        <f t="shared" si="28"/>
        <v>0</v>
      </c>
      <c r="AS32" s="38">
        <f t="shared" si="28"/>
        <v>0</v>
      </c>
      <c r="AT32" s="38">
        <f t="shared" si="28"/>
        <v>0</v>
      </c>
      <c r="AU32" s="38">
        <f t="shared" si="28"/>
        <v>0</v>
      </c>
      <c r="AV32" s="38">
        <f t="shared" si="28"/>
        <v>0</v>
      </c>
      <c r="AW32" s="38">
        <f t="shared" si="28"/>
        <v>0</v>
      </c>
      <c r="AX32" s="38">
        <f t="shared" si="28"/>
        <v>0</v>
      </c>
      <c r="AY32" s="38">
        <f t="shared" si="28"/>
        <v>0</v>
      </c>
      <c r="AZ32" s="38">
        <f t="shared" si="28"/>
        <v>0</v>
      </c>
      <c r="BA32" s="38">
        <f t="shared" si="28"/>
        <v>0</v>
      </c>
      <c r="BB32" s="38">
        <f t="shared" si="28"/>
        <v>0</v>
      </c>
      <c r="BC32" s="38">
        <f t="shared" si="28"/>
        <v>0</v>
      </c>
      <c r="BD32" s="38">
        <f t="shared" si="28"/>
        <v>0</v>
      </c>
      <c r="BE32" s="38">
        <f t="shared" si="28"/>
        <v>0</v>
      </c>
      <c r="BF32" s="38">
        <f t="shared" si="28"/>
        <v>0</v>
      </c>
      <c r="BG32" s="38">
        <f t="shared" si="28"/>
        <v>0</v>
      </c>
      <c r="BH32" s="38">
        <f t="shared" si="28"/>
        <v>0</v>
      </c>
      <c r="BI32" s="38">
        <f t="shared" si="28"/>
        <v>0</v>
      </c>
      <c r="BJ32" s="38">
        <f t="shared" si="28"/>
        <v>0</v>
      </c>
      <c r="BK32" s="38">
        <f t="shared" si="28"/>
        <v>0</v>
      </c>
      <c r="BL32" s="38">
        <f t="shared" si="28"/>
        <v>0</v>
      </c>
      <c r="BM32" s="38">
        <f t="shared" si="28"/>
        <v>0</v>
      </c>
      <c r="BN32" s="38">
        <f t="shared" si="28"/>
        <v>0</v>
      </c>
      <c r="BO32" s="38">
        <f t="shared" si="28"/>
        <v>0</v>
      </c>
      <c r="BP32" s="38">
        <f t="shared" si="28"/>
        <v>0</v>
      </c>
      <c r="BQ32" s="38">
        <f t="shared" si="28"/>
        <v>0</v>
      </c>
      <c r="BR32" s="38">
        <f t="shared" si="28"/>
        <v>0</v>
      </c>
      <c r="BS32" s="38">
        <f t="shared" si="28"/>
        <v>0</v>
      </c>
      <c r="BT32" s="38">
        <f t="shared" si="28"/>
        <v>0</v>
      </c>
      <c r="BU32" s="38">
        <f t="shared" si="28"/>
        <v>0</v>
      </c>
      <c r="BV32" s="38">
        <f t="shared" si="28"/>
        <v>0</v>
      </c>
      <c r="BW32" s="38">
        <f t="shared" ref="BW32:DM32" si="29">BW30</f>
        <v>0</v>
      </c>
      <c r="BX32" s="38">
        <f t="shared" si="29"/>
        <v>0</v>
      </c>
      <c r="BY32" s="38">
        <f t="shared" si="29"/>
        <v>0</v>
      </c>
      <c r="BZ32" s="38">
        <f t="shared" si="29"/>
        <v>0</v>
      </c>
      <c r="CA32" s="38">
        <f t="shared" si="29"/>
        <v>0</v>
      </c>
      <c r="CB32" s="38">
        <f t="shared" si="29"/>
        <v>0</v>
      </c>
      <c r="CC32" s="38">
        <f t="shared" si="29"/>
        <v>0</v>
      </c>
      <c r="CD32" s="38">
        <f t="shared" si="29"/>
        <v>0</v>
      </c>
      <c r="CE32" s="38">
        <f t="shared" si="29"/>
        <v>0</v>
      </c>
      <c r="CF32" s="38">
        <f t="shared" si="29"/>
        <v>0</v>
      </c>
      <c r="CG32" s="38">
        <f t="shared" si="29"/>
        <v>0</v>
      </c>
      <c r="CH32" s="38">
        <f t="shared" si="29"/>
        <v>0</v>
      </c>
      <c r="CI32" s="38">
        <f t="shared" si="29"/>
        <v>0</v>
      </c>
      <c r="CJ32" s="38">
        <f t="shared" si="29"/>
        <v>0</v>
      </c>
      <c r="CK32" s="38">
        <f t="shared" si="29"/>
        <v>0</v>
      </c>
      <c r="CL32" s="38">
        <f t="shared" si="29"/>
        <v>0</v>
      </c>
      <c r="CM32" s="38">
        <f t="shared" si="29"/>
        <v>0</v>
      </c>
      <c r="CN32" s="38">
        <f t="shared" si="29"/>
        <v>0</v>
      </c>
      <c r="CO32" s="38">
        <f t="shared" si="29"/>
        <v>0</v>
      </c>
      <c r="CP32" s="38">
        <f t="shared" si="29"/>
        <v>0</v>
      </c>
      <c r="CQ32" s="38">
        <f t="shared" si="29"/>
        <v>0</v>
      </c>
      <c r="CR32" s="38">
        <f t="shared" si="29"/>
        <v>0</v>
      </c>
      <c r="CS32" s="38">
        <f t="shared" si="29"/>
        <v>0</v>
      </c>
      <c r="CT32" s="38">
        <f t="shared" si="29"/>
        <v>0</v>
      </c>
      <c r="CU32" s="38">
        <f t="shared" si="29"/>
        <v>0</v>
      </c>
      <c r="CV32" s="38">
        <f t="shared" si="29"/>
        <v>0</v>
      </c>
      <c r="CW32" s="38">
        <f t="shared" si="29"/>
        <v>0</v>
      </c>
      <c r="CX32" s="38">
        <f t="shared" si="29"/>
        <v>0</v>
      </c>
      <c r="CY32" s="38">
        <f t="shared" si="29"/>
        <v>0</v>
      </c>
      <c r="CZ32" s="38">
        <f t="shared" si="29"/>
        <v>0</v>
      </c>
      <c r="DA32" s="38">
        <f t="shared" si="29"/>
        <v>0</v>
      </c>
      <c r="DB32" s="38">
        <f t="shared" si="29"/>
        <v>0</v>
      </c>
      <c r="DC32" s="38">
        <f t="shared" si="29"/>
        <v>0</v>
      </c>
      <c r="DD32" s="38">
        <f t="shared" si="29"/>
        <v>0</v>
      </c>
      <c r="DE32" s="38">
        <f t="shared" si="29"/>
        <v>0</v>
      </c>
      <c r="DF32" s="38">
        <f t="shared" si="29"/>
        <v>0</v>
      </c>
      <c r="DG32" s="38">
        <f t="shared" si="29"/>
        <v>0</v>
      </c>
      <c r="DH32" s="38">
        <f t="shared" si="29"/>
        <v>0</v>
      </c>
      <c r="DI32" s="38">
        <f t="shared" si="29"/>
        <v>0</v>
      </c>
      <c r="DJ32" s="38">
        <f t="shared" si="29"/>
        <v>0</v>
      </c>
      <c r="DK32" s="38">
        <f t="shared" si="29"/>
        <v>0</v>
      </c>
      <c r="DL32" s="38">
        <f t="shared" si="29"/>
        <v>0</v>
      </c>
      <c r="DM32" s="38">
        <f t="shared" si="29"/>
        <v>0</v>
      </c>
    </row>
    <row r="33" spans="3:117" x14ac:dyDescent="0.15">
      <c r="C33" s="23"/>
      <c r="I33" s="37"/>
      <c r="J33" s="150"/>
      <c r="K33" s="37"/>
      <c r="L33" s="37"/>
      <c r="M33" s="37"/>
    </row>
    <row r="34" spans="3:117" ht="20" x14ac:dyDescent="0.2">
      <c r="C34" s="4" t="s">
        <v>13</v>
      </c>
    </row>
    <row r="35" spans="3:117" ht="15.75" customHeight="1" outlineLevel="1" x14ac:dyDescent="0.15">
      <c r="C35" s="2" t="s">
        <v>19</v>
      </c>
    </row>
    <row r="36" spans="3:117" outlineLevel="1" x14ac:dyDescent="0.15">
      <c r="C36" t="s">
        <v>73</v>
      </c>
      <c r="D36" s="5" t="s">
        <v>129</v>
      </c>
      <c r="E36" s="102">
        <f>(1+F36)*G36</f>
        <v>11</v>
      </c>
      <c r="F36" s="65">
        <f>'Scenario Manager'!E19</f>
        <v>0</v>
      </c>
      <c r="G36" s="89">
        <v>11</v>
      </c>
      <c r="H36" s="59">
        <v>10587000</v>
      </c>
      <c r="I36" s="35">
        <f>SUM(J36:DM36)</f>
        <v>10587000</v>
      </c>
      <c r="J36" s="160"/>
      <c r="K36" s="21"/>
      <c r="L36" s="21">
        <v>138000</v>
      </c>
      <c r="M36" s="21">
        <v>522000</v>
      </c>
      <c r="N36" s="21">
        <v>1146000</v>
      </c>
      <c r="O36" s="21">
        <v>1368000</v>
      </c>
      <c r="P36" s="21">
        <v>1097000</v>
      </c>
      <c r="Q36" s="21">
        <v>900000</v>
      </c>
      <c r="R36" s="21">
        <v>1090000</v>
      </c>
      <c r="S36" s="21">
        <v>901000</v>
      </c>
      <c r="T36" s="21">
        <v>756000</v>
      </c>
      <c r="U36" s="21">
        <v>741000</v>
      </c>
      <c r="V36" s="21">
        <v>673000</v>
      </c>
      <c r="W36" s="21">
        <v>753000</v>
      </c>
      <c r="X36" s="21">
        <v>502000</v>
      </c>
      <c r="Y36" s="104">
        <f>IF(Y$6&gt;0,$H36/$G$36,0)</f>
        <v>0</v>
      </c>
      <c r="Z36" s="104">
        <f t="shared" ref="Z36:AD36" si="30">IF(Z$6&gt;0,$H36/$G$36,0)</f>
        <v>0</v>
      </c>
      <c r="AA36" s="104">
        <f t="shared" si="30"/>
        <v>0</v>
      </c>
      <c r="AB36" s="104">
        <f t="shared" si="30"/>
        <v>0</v>
      </c>
      <c r="AC36" s="104">
        <f t="shared" si="30"/>
        <v>0</v>
      </c>
      <c r="AD36" s="104">
        <f t="shared" si="30"/>
        <v>0</v>
      </c>
      <c r="AE36" s="104">
        <f t="shared" ref="AE36:AN37" si="31">IF(AE$6&gt;0,$H36/$G$36,0)</f>
        <v>0</v>
      </c>
      <c r="AF36" s="104">
        <f t="shared" si="31"/>
        <v>0</v>
      </c>
      <c r="AG36" s="104">
        <f t="shared" si="31"/>
        <v>0</v>
      </c>
      <c r="AH36" s="104">
        <f t="shared" si="31"/>
        <v>0</v>
      </c>
      <c r="AI36" s="104">
        <f t="shared" si="31"/>
        <v>0</v>
      </c>
      <c r="AJ36" s="104">
        <f t="shared" si="31"/>
        <v>0</v>
      </c>
      <c r="AK36" s="104">
        <f t="shared" si="31"/>
        <v>0</v>
      </c>
      <c r="AL36" s="104">
        <f t="shared" si="31"/>
        <v>0</v>
      </c>
      <c r="AM36" s="104">
        <f t="shared" si="31"/>
        <v>0</v>
      </c>
      <c r="AN36" s="104">
        <f t="shared" si="31"/>
        <v>0</v>
      </c>
      <c r="AO36" s="104">
        <f t="shared" ref="AO36:AX37" si="32">IF(AO$6&gt;0,$H36/$G$36,0)</f>
        <v>0</v>
      </c>
      <c r="AP36" s="104">
        <f t="shared" si="32"/>
        <v>0</v>
      </c>
      <c r="AQ36" s="104">
        <f t="shared" si="32"/>
        <v>0</v>
      </c>
      <c r="AR36" s="104">
        <f t="shared" si="32"/>
        <v>0</v>
      </c>
      <c r="AS36" s="104">
        <f t="shared" si="32"/>
        <v>0</v>
      </c>
      <c r="AT36" s="104">
        <f t="shared" si="32"/>
        <v>0</v>
      </c>
      <c r="AU36" s="104">
        <f t="shared" si="32"/>
        <v>0</v>
      </c>
      <c r="AV36" s="104">
        <f t="shared" si="32"/>
        <v>0</v>
      </c>
      <c r="AW36" s="104">
        <f t="shared" si="32"/>
        <v>0</v>
      </c>
      <c r="AX36" s="104">
        <f t="shared" si="32"/>
        <v>0</v>
      </c>
      <c r="AY36" s="104">
        <f t="shared" ref="AY36:BH37" si="33">IF(AY$6&gt;0,$H36/$G$36,0)</f>
        <v>0</v>
      </c>
      <c r="AZ36" s="104">
        <f t="shared" si="33"/>
        <v>0</v>
      </c>
      <c r="BA36" s="104">
        <f t="shared" si="33"/>
        <v>0</v>
      </c>
      <c r="BB36" s="104">
        <f t="shared" si="33"/>
        <v>0</v>
      </c>
      <c r="BC36" s="104">
        <f t="shared" si="33"/>
        <v>0</v>
      </c>
      <c r="BD36" s="104">
        <f t="shared" si="33"/>
        <v>0</v>
      </c>
      <c r="BE36" s="104">
        <f t="shared" si="33"/>
        <v>0</v>
      </c>
      <c r="BF36" s="104">
        <f t="shared" si="33"/>
        <v>0</v>
      </c>
      <c r="BG36" s="104">
        <f t="shared" si="33"/>
        <v>0</v>
      </c>
      <c r="BH36" s="104">
        <f t="shared" si="33"/>
        <v>0</v>
      </c>
      <c r="BI36" s="104">
        <f t="shared" ref="BI36:BR37" si="34">IF(BI$6&gt;0,$H36/$G$36,0)</f>
        <v>0</v>
      </c>
      <c r="BJ36" s="104">
        <f t="shared" si="34"/>
        <v>0</v>
      </c>
      <c r="BK36" s="104">
        <f t="shared" si="34"/>
        <v>0</v>
      </c>
      <c r="BL36" s="104">
        <f t="shared" si="34"/>
        <v>0</v>
      </c>
      <c r="BM36" s="104">
        <f t="shared" si="34"/>
        <v>0</v>
      </c>
      <c r="BN36" s="104">
        <f t="shared" si="34"/>
        <v>0</v>
      </c>
      <c r="BO36" s="104">
        <f t="shared" si="34"/>
        <v>0</v>
      </c>
      <c r="BP36" s="104">
        <f t="shared" si="34"/>
        <v>0</v>
      </c>
      <c r="BQ36" s="104">
        <f t="shared" si="34"/>
        <v>0</v>
      </c>
      <c r="BR36" s="104">
        <f t="shared" si="34"/>
        <v>0</v>
      </c>
      <c r="BS36" s="104">
        <f t="shared" ref="BS36:CB37" si="35">IF(BS$6&gt;0,$H36/$G$36,0)</f>
        <v>0</v>
      </c>
      <c r="BT36" s="104">
        <f t="shared" si="35"/>
        <v>0</v>
      </c>
      <c r="BU36" s="104">
        <f t="shared" si="35"/>
        <v>0</v>
      </c>
      <c r="BV36" s="104">
        <f t="shared" si="35"/>
        <v>0</v>
      </c>
      <c r="BW36" s="104">
        <f t="shared" si="35"/>
        <v>0</v>
      </c>
      <c r="BX36" s="104">
        <f t="shared" si="35"/>
        <v>0</v>
      </c>
      <c r="BY36" s="104">
        <f t="shared" si="35"/>
        <v>0</v>
      </c>
      <c r="BZ36" s="104">
        <f t="shared" si="35"/>
        <v>0</v>
      </c>
      <c r="CA36" s="104">
        <f t="shared" si="35"/>
        <v>0</v>
      </c>
      <c r="CB36" s="104">
        <f t="shared" si="35"/>
        <v>0</v>
      </c>
      <c r="CC36" s="104">
        <f t="shared" ref="CC36:CL37" si="36">IF(CC$6&gt;0,$H36/$G$36,0)</f>
        <v>0</v>
      </c>
      <c r="CD36" s="104">
        <f t="shared" si="36"/>
        <v>0</v>
      </c>
      <c r="CE36" s="104">
        <f t="shared" si="36"/>
        <v>0</v>
      </c>
      <c r="CF36" s="104">
        <f t="shared" si="36"/>
        <v>0</v>
      </c>
      <c r="CG36" s="104">
        <f t="shared" si="36"/>
        <v>0</v>
      </c>
      <c r="CH36" s="104">
        <f t="shared" si="36"/>
        <v>0</v>
      </c>
      <c r="CI36" s="104">
        <f t="shared" si="36"/>
        <v>0</v>
      </c>
      <c r="CJ36" s="104">
        <f t="shared" si="36"/>
        <v>0</v>
      </c>
      <c r="CK36" s="104">
        <f t="shared" si="36"/>
        <v>0</v>
      </c>
      <c r="CL36" s="104">
        <f t="shared" si="36"/>
        <v>0</v>
      </c>
      <c r="CM36" s="104">
        <f t="shared" ref="CM36:CV37" si="37">IF(CM$6&gt;0,$H36/$G$36,0)</f>
        <v>0</v>
      </c>
      <c r="CN36" s="104">
        <f t="shared" si="37"/>
        <v>0</v>
      </c>
      <c r="CO36" s="104">
        <f t="shared" si="37"/>
        <v>0</v>
      </c>
      <c r="CP36" s="104">
        <f t="shared" si="37"/>
        <v>0</v>
      </c>
      <c r="CQ36" s="104">
        <f t="shared" si="37"/>
        <v>0</v>
      </c>
      <c r="CR36" s="104">
        <f t="shared" si="37"/>
        <v>0</v>
      </c>
      <c r="CS36" s="104">
        <f t="shared" si="37"/>
        <v>0</v>
      </c>
      <c r="CT36" s="104">
        <f t="shared" si="37"/>
        <v>0</v>
      </c>
      <c r="CU36" s="104">
        <f t="shared" si="37"/>
        <v>0</v>
      </c>
      <c r="CV36" s="104">
        <f t="shared" si="37"/>
        <v>0</v>
      </c>
      <c r="CW36" s="104">
        <f t="shared" ref="CW36:DF37" si="38">IF(CW$6&gt;0,$H36/$G$36,0)</f>
        <v>0</v>
      </c>
      <c r="CX36" s="104">
        <f t="shared" si="38"/>
        <v>0</v>
      </c>
      <c r="CY36" s="104">
        <f t="shared" si="38"/>
        <v>0</v>
      </c>
      <c r="CZ36" s="104">
        <f t="shared" si="38"/>
        <v>0</v>
      </c>
      <c r="DA36" s="104">
        <f t="shared" si="38"/>
        <v>0</v>
      </c>
      <c r="DB36" s="104">
        <f t="shared" si="38"/>
        <v>0</v>
      </c>
      <c r="DC36" s="104">
        <f t="shared" si="38"/>
        <v>0</v>
      </c>
      <c r="DD36" s="104">
        <f t="shared" si="38"/>
        <v>0</v>
      </c>
      <c r="DE36" s="104">
        <f t="shared" si="38"/>
        <v>0</v>
      </c>
      <c r="DF36" s="104">
        <f t="shared" si="38"/>
        <v>0</v>
      </c>
      <c r="DG36" s="104">
        <f t="shared" ref="DG36:DM37" si="39">IF(DG$6&gt;0,$H36/$G$36,0)</f>
        <v>0</v>
      </c>
      <c r="DH36" s="104">
        <f t="shared" si="39"/>
        <v>0</v>
      </c>
      <c r="DI36" s="104">
        <f t="shared" si="39"/>
        <v>0</v>
      </c>
      <c r="DJ36" s="104">
        <f t="shared" si="39"/>
        <v>0</v>
      </c>
      <c r="DK36" s="104">
        <f t="shared" si="39"/>
        <v>0</v>
      </c>
      <c r="DL36" s="104">
        <f t="shared" si="39"/>
        <v>0</v>
      </c>
      <c r="DM36" s="104">
        <f t="shared" si="39"/>
        <v>0</v>
      </c>
    </row>
    <row r="37" spans="3:117" outlineLevel="1" x14ac:dyDescent="0.15">
      <c r="C37" t="s">
        <v>20</v>
      </c>
      <c r="D37" s="5" t="s">
        <v>129</v>
      </c>
      <c r="H37" s="59">
        <v>4348000</v>
      </c>
      <c r="I37" s="35">
        <f t="shared" ref="I37" si="40">SUM(J37:DM37)</f>
        <v>4348000</v>
      </c>
      <c r="J37" s="160"/>
      <c r="K37" s="21"/>
      <c r="L37" s="21"/>
      <c r="M37" s="21">
        <v>14000</v>
      </c>
      <c r="N37" s="21">
        <v>247000</v>
      </c>
      <c r="O37" s="21">
        <v>424000</v>
      </c>
      <c r="P37" s="21">
        <v>410000</v>
      </c>
      <c r="Q37" s="21">
        <v>471000</v>
      </c>
      <c r="R37" s="21">
        <v>456000</v>
      </c>
      <c r="S37" s="21">
        <v>454000</v>
      </c>
      <c r="T37" s="21">
        <v>455000</v>
      </c>
      <c r="U37" s="21">
        <v>455000</v>
      </c>
      <c r="V37" s="21">
        <v>369000</v>
      </c>
      <c r="W37" s="21">
        <v>335000</v>
      </c>
      <c r="X37" s="21">
        <v>258000</v>
      </c>
      <c r="Y37" s="104">
        <f>IF(Y$6&gt;0,$H37/$G$36,0)</f>
        <v>0</v>
      </c>
      <c r="Z37" s="104">
        <f t="shared" ref="Z37:AD37" si="41">IF(Z$6&gt;0,$H37/$G$36,0)</f>
        <v>0</v>
      </c>
      <c r="AA37" s="104">
        <f t="shared" si="41"/>
        <v>0</v>
      </c>
      <c r="AB37" s="104">
        <f t="shared" si="41"/>
        <v>0</v>
      </c>
      <c r="AC37" s="104">
        <f t="shared" si="41"/>
        <v>0</v>
      </c>
      <c r="AD37" s="104">
        <f t="shared" si="41"/>
        <v>0</v>
      </c>
      <c r="AE37" s="104">
        <f t="shared" si="31"/>
        <v>0</v>
      </c>
      <c r="AF37" s="104">
        <f t="shared" si="31"/>
        <v>0</v>
      </c>
      <c r="AG37" s="104">
        <f t="shared" si="31"/>
        <v>0</v>
      </c>
      <c r="AH37" s="104">
        <f t="shared" si="31"/>
        <v>0</v>
      </c>
      <c r="AI37" s="104">
        <f t="shared" si="31"/>
        <v>0</v>
      </c>
      <c r="AJ37" s="104">
        <f t="shared" si="31"/>
        <v>0</v>
      </c>
      <c r="AK37" s="104">
        <f t="shared" si="31"/>
        <v>0</v>
      </c>
      <c r="AL37" s="104">
        <f t="shared" si="31"/>
        <v>0</v>
      </c>
      <c r="AM37" s="104">
        <f t="shared" si="31"/>
        <v>0</v>
      </c>
      <c r="AN37" s="104">
        <f t="shared" si="31"/>
        <v>0</v>
      </c>
      <c r="AO37" s="104">
        <f t="shared" si="32"/>
        <v>0</v>
      </c>
      <c r="AP37" s="104">
        <f t="shared" si="32"/>
        <v>0</v>
      </c>
      <c r="AQ37" s="104">
        <f t="shared" si="32"/>
        <v>0</v>
      </c>
      <c r="AR37" s="104">
        <f t="shared" si="32"/>
        <v>0</v>
      </c>
      <c r="AS37" s="104">
        <f t="shared" si="32"/>
        <v>0</v>
      </c>
      <c r="AT37" s="104">
        <f t="shared" si="32"/>
        <v>0</v>
      </c>
      <c r="AU37" s="104">
        <f t="shared" si="32"/>
        <v>0</v>
      </c>
      <c r="AV37" s="104">
        <f t="shared" si="32"/>
        <v>0</v>
      </c>
      <c r="AW37" s="104">
        <f t="shared" si="32"/>
        <v>0</v>
      </c>
      <c r="AX37" s="104">
        <f t="shared" si="32"/>
        <v>0</v>
      </c>
      <c r="AY37" s="104">
        <f t="shared" si="33"/>
        <v>0</v>
      </c>
      <c r="AZ37" s="104">
        <f t="shared" si="33"/>
        <v>0</v>
      </c>
      <c r="BA37" s="104">
        <f t="shared" si="33"/>
        <v>0</v>
      </c>
      <c r="BB37" s="104">
        <f t="shared" si="33"/>
        <v>0</v>
      </c>
      <c r="BC37" s="104">
        <f t="shared" si="33"/>
        <v>0</v>
      </c>
      <c r="BD37" s="104">
        <f t="shared" si="33"/>
        <v>0</v>
      </c>
      <c r="BE37" s="104">
        <f t="shared" si="33"/>
        <v>0</v>
      </c>
      <c r="BF37" s="104">
        <f t="shared" si="33"/>
        <v>0</v>
      </c>
      <c r="BG37" s="104">
        <f t="shared" si="33"/>
        <v>0</v>
      </c>
      <c r="BH37" s="104">
        <f t="shared" si="33"/>
        <v>0</v>
      </c>
      <c r="BI37" s="104">
        <f t="shared" si="34"/>
        <v>0</v>
      </c>
      <c r="BJ37" s="104">
        <f t="shared" si="34"/>
        <v>0</v>
      </c>
      <c r="BK37" s="104">
        <f t="shared" si="34"/>
        <v>0</v>
      </c>
      <c r="BL37" s="104">
        <f t="shared" si="34"/>
        <v>0</v>
      </c>
      <c r="BM37" s="104">
        <f t="shared" si="34"/>
        <v>0</v>
      </c>
      <c r="BN37" s="104">
        <f t="shared" si="34"/>
        <v>0</v>
      </c>
      <c r="BO37" s="104">
        <f t="shared" si="34"/>
        <v>0</v>
      </c>
      <c r="BP37" s="104">
        <f t="shared" si="34"/>
        <v>0</v>
      </c>
      <c r="BQ37" s="104">
        <f t="shared" si="34"/>
        <v>0</v>
      </c>
      <c r="BR37" s="104">
        <f t="shared" si="34"/>
        <v>0</v>
      </c>
      <c r="BS37" s="104">
        <f t="shared" si="35"/>
        <v>0</v>
      </c>
      <c r="BT37" s="104">
        <f t="shared" si="35"/>
        <v>0</v>
      </c>
      <c r="BU37" s="104">
        <f t="shared" si="35"/>
        <v>0</v>
      </c>
      <c r="BV37" s="104">
        <f t="shared" si="35"/>
        <v>0</v>
      </c>
      <c r="BW37" s="104">
        <f t="shared" si="35"/>
        <v>0</v>
      </c>
      <c r="BX37" s="104">
        <f t="shared" si="35"/>
        <v>0</v>
      </c>
      <c r="BY37" s="104">
        <f t="shared" si="35"/>
        <v>0</v>
      </c>
      <c r="BZ37" s="104">
        <f t="shared" si="35"/>
        <v>0</v>
      </c>
      <c r="CA37" s="104">
        <f t="shared" si="35"/>
        <v>0</v>
      </c>
      <c r="CB37" s="104">
        <f t="shared" si="35"/>
        <v>0</v>
      </c>
      <c r="CC37" s="104">
        <f t="shared" si="36"/>
        <v>0</v>
      </c>
      <c r="CD37" s="104">
        <f t="shared" si="36"/>
        <v>0</v>
      </c>
      <c r="CE37" s="104">
        <f t="shared" si="36"/>
        <v>0</v>
      </c>
      <c r="CF37" s="104">
        <f t="shared" si="36"/>
        <v>0</v>
      </c>
      <c r="CG37" s="104">
        <f t="shared" si="36"/>
        <v>0</v>
      </c>
      <c r="CH37" s="104">
        <f t="shared" si="36"/>
        <v>0</v>
      </c>
      <c r="CI37" s="104">
        <f t="shared" si="36"/>
        <v>0</v>
      </c>
      <c r="CJ37" s="104">
        <f t="shared" si="36"/>
        <v>0</v>
      </c>
      <c r="CK37" s="104">
        <f t="shared" si="36"/>
        <v>0</v>
      </c>
      <c r="CL37" s="104">
        <f t="shared" si="36"/>
        <v>0</v>
      </c>
      <c r="CM37" s="104">
        <f t="shared" si="37"/>
        <v>0</v>
      </c>
      <c r="CN37" s="104">
        <f t="shared" si="37"/>
        <v>0</v>
      </c>
      <c r="CO37" s="104">
        <f t="shared" si="37"/>
        <v>0</v>
      </c>
      <c r="CP37" s="104">
        <f t="shared" si="37"/>
        <v>0</v>
      </c>
      <c r="CQ37" s="104">
        <f t="shared" si="37"/>
        <v>0</v>
      </c>
      <c r="CR37" s="104">
        <f t="shared" si="37"/>
        <v>0</v>
      </c>
      <c r="CS37" s="104">
        <f t="shared" si="37"/>
        <v>0</v>
      </c>
      <c r="CT37" s="104">
        <f t="shared" si="37"/>
        <v>0</v>
      </c>
      <c r="CU37" s="104">
        <f t="shared" si="37"/>
        <v>0</v>
      </c>
      <c r="CV37" s="104">
        <f t="shared" si="37"/>
        <v>0</v>
      </c>
      <c r="CW37" s="104">
        <f t="shared" si="38"/>
        <v>0</v>
      </c>
      <c r="CX37" s="104">
        <f t="shared" si="38"/>
        <v>0</v>
      </c>
      <c r="CY37" s="104">
        <f t="shared" si="38"/>
        <v>0</v>
      </c>
      <c r="CZ37" s="104">
        <f t="shared" si="38"/>
        <v>0</v>
      </c>
      <c r="DA37" s="104">
        <f t="shared" si="38"/>
        <v>0</v>
      </c>
      <c r="DB37" s="104">
        <f t="shared" si="38"/>
        <v>0</v>
      </c>
      <c r="DC37" s="104">
        <f t="shared" si="38"/>
        <v>0</v>
      </c>
      <c r="DD37" s="104">
        <f t="shared" si="38"/>
        <v>0</v>
      </c>
      <c r="DE37" s="104">
        <f t="shared" si="38"/>
        <v>0</v>
      </c>
      <c r="DF37" s="104">
        <f t="shared" si="38"/>
        <v>0</v>
      </c>
      <c r="DG37" s="104">
        <f t="shared" si="39"/>
        <v>0</v>
      </c>
      <c r="DH37" s="104">
        <f t="shared" si="39"/>
        <v>0</v>
      </c>
      <c r="DI37" s="104">
        <f t="shared" si="39"/>
        <v>0</v>
      </c>
      <c r="DJ37" s="104">
        <f t="shared" si="39"/>
        <v>0</v>
      </c>
      <c r="DK37" s="104">
        <f t="shared" si="39"/>
        <v>0</v>
      </c>
      <c r="DL37" s="104">
        <f t="shared" si="39"/>
        <v>0</v>
      </c>
      <c r="DM37" s="104">
        <f t="shared" si="39"/>
        <v>0</v>
      </c>
    </row>
    <row r="38" spans="3:117" ht="14.25" customHeight="1" outlineLevel="1" x14ac:dyDescent="0.15"/>
    <row r="39" spans="3:117" outlineLevel="1" x14ac:dyDescent="0.15">
      <c r="C39" t="s">
        <v>141</v>
      </c>
      <c r="D39" s="5" t="s">
        <v>18</v>
      </c>
      <c r="H39" s="103">
        <v>2.4925942962281501E-2</v>
      </c>
      <c r="I39" s="152">
        <f>(I41/Lbs_Tonne)/I37</f>
        <v>2.4925942962281501E-2</v>
      </c>
      <c r="J39" s="158"/>
      <c r="K39" s="47"/>
      <c r="L39" s="47"/>
      <c r="M39" s="47">
        <v>0.05</v>
      </c>
      <c r="N39" s="47">
        <v>5.3999999999999999E-2</v>
      </c>
      <c r="O39" s="47">
        <v>3.1E-2</v>
      </c>
      <c r="P39" s="47">
        <v>3.1E-2</v>
      </c>
      <c r="Q39" s="47">
        <v>0.03</v>
      </c>
      <c r="R39" s="47">
        <v>0.03</v>
      </c>
      <c r="S39" s="47">
        <v>1.4999999999999999E-2</v>
      </c>
      <c r="T39" s="47">
        <v>1.7999999999999999E-2</v>
      </c>
      <c r="U39" s="47">
        <v>1.9E-2</v>
      </c>
      <c r="V39" s="47">
        <v>1.7999999999999999E-2</v>
      </c>
      <c r="W39" s="47">
        <v>2.1000000000000001E-2</v>
      </c>
      <c r="X39" s="47">
        <v>1.2999999999999999E-2</v>
      </c>
      <c r="Y39" s="105">
        <f>IF(Y$6&gt;0,$H$39,0)</f>
        <v>0</v>
      </c>
      <c r="Z39" s="105">
        <f t="shared" ref="Z39:CK39" si="42">IF(Z$6&gt;0,$H$39,0)</f>
        <v>0</v>
      </c>
      <c r="AA39" s="105">
        <f t="shared" si="42"/>
        <v>0</v>
      </c>
      <c r="AB39" s="105">
        <f t="shared" si="42"/>
        <v>0</v>
      </c>
      <c r="AC39" s="105">
        <f t="shared" si="42"/>
        <v>0</v>
      </c>
      <c r="AD39" s="105">
        <f t="shared" si="42"/>
        <v>0</v>
      </c>
      <c r="AE39" s="105">
        <f t="shared" si="42"/>
        <v>0</v>
      </c>
      <c r="AF39" s="105">
        <f t="shared" si="42"/>
        <v>0</v>
      </c>
      <c r="AG39" s="105">
        <f t="shared" si="42"/>
        <v>0</v>
      </c>
      <c r="AH39" s="105">
        <f t="shared" si="42"/>
        <v>0</v>
      </c>
      <c r="AI39" s="105">
        <f t="shared" si="42"/>
        <v>0</v>
      </c>
      <c r="AJ39" s="105">
        <f t="shared" si="42"/>
        <v>0</v>
      </c>
      <c r="AK39" s="105">
        <f t="shared" si="42"/>
        <v>0</v>
      </c>
      <c r="AL39" s="105">
        <f t="shared" si="42"/>
        <v>0</v>
      </c>
      <c r="AM39" s="105">
        <f t="shared" si="42"/>
        <v>0</v>
      </c>
      <c r="AN39" s="105">
        <f t="shared" si="42"/>
        <v>0</v>
      </c>
      <c r="AO39" s="105">
        <f t="shared" si="42"/>
        <v>0</v>
      </c>
      <c r="AP39" s="105">
        <f t="shared" si="42"/>
        <v>0</v>
      </c>
      <c r="AQ39" s="105">
        <f t="shared" si="42"/>
        <v>0</v>
      </c>
      <c r="AR39" s="105">
        <f t="shared" si="42"/>
        <v>0</v>
      </c>
      <c r="AS39" s="105">
        <f t="shared" si="42"/>
        <v>0</v>
      </c>
      <c r="AT39" s="105">
        <f t="shared" si="42"/>
        <v>0</v>
      </c>
      <c r="AU39" s="105">
        <f t="shared" si="42"/>
        <v>0</v>
      </c>
      <c r="AV39" s="105">
        <f t="shared" si="42"/>
        <v>0</v>
      </c>
      <c r="AW39" s="105">
        <f t="shared" si="42"/>
        <v>0</v>
      </c>
      <c r="AX39" s="105">
        <f t="shared" si="42"/>
        <v>0</v>
      </c>
      <c r="AY39" s="105">
        <f t="shared" si="42"/>
        <v>0</v>
      </c>
      <c r="AZ39" s="105">
        <f t="shared" si="42"/>
        <v>0</v>
      </c>
      <c r="BA39" s="105">
        <f t="shared" si="42"/>
        <v>0</v>
      </c>
      <c r="BB39" s="105">
        <f t="shared" si="42"/>
        <v>0</v>
      </c>
      <c r="BC39" s="105">
        <f t="shared" si="42"/>
        <v>0</v>
      </c>
      <c r="BD39" s="105">
        <f t="shared" si="42"/>
        <v>0</v>
      </c>
      <c r="BE39" s="105">
        <f t="shared" si="42"/>
        <v>0</v>
      </c>
      <c r="BF39" s="105">
        <f t="shared" si="42"/>
        <v>0</v>
      </c>
      <c r="BG39" s="105">
        <f t="shared" si="42"/>
        <v>0</v>
      </c>
      <c r="BH39" s="105">
        <f t="shared" si="42"/>
        <v>0</v>
      </c>
      <c r="BI39" s="105">
        <f t="shared" si="42"/>
        <v>0</v>
      </c>
      <c r="BJ39" s="105">
        <f t="shared" si="42"/>
        <v>0</v>
      </c>
      <c r="BK39" s="105">
        <f t="shared" si="42"/>
        <v>0</v>
      </c>
      <c r="BL39" s="105">
        <f t="shared" si="42"/>
        <v>0</v>
      </c>
      <c r="BM39" s="105">
        <f t="shared" si="42"/>
        <v>0</v>
      </c>
      <c r="BN39" s="105">
        <f t="shared" si="42"/>
        <v>0</v>
      </c>
      <c r="BO39" s="105">
        <f t="shared" si="42"/>
        <v>0</v>
      </c>
      <c r="BP39" s="105">
        <f t="shared" si="42"/>
        <v>0</v>
      </c>
      <c r="BQ39" s="105">
        <f t="shared" si="42"/>
        <v>0</v>
      </c>
      <c r="BR39" s="105">
        <f t="shared" si="42"/>
        <v>0</v>
      </c>
      <c r="BS39" s="105">
        <f t="shared" si="42"/>
        <v>0</v>
      </c>
      <c r="BT39" s="105">
        <f t="shared" si="42"/>
        <v>0</v>
      </c>
      <c r="BU39" s="105">
        <f t="shared" si="42"/>
        <v>0</v>
      </c>
      <c r="BV39" s="105">
        <f t="shared" si="42"/>
        <v>0</v>
      </c>
      <c r="BW39" s="105">
        <f t="shared" si="42"/>
        <v>0</v>
      </c>
      <c r="BX39" s="105">
        <f t="shared" si="42"/>
        <v>0</v>
      </c>
      <c r="BY39" s="105">
        <f t="shared" si="42"/>
        <v>0</v>
      </c>
      <c r="BZ39" s="105">
        <f t="shared" si="42"/>
        <v>0</v>
      </c>
      <c r="CA39" s="105">
        <f t="shared" si="42"/>
        <v>0</v>
      </c>
      <c r="CB39" s="105">
        <f t="shared" si="42"/>
        <v>0</v>
      </c>
      <c r="CC39" s="105">
        <f t="shared" si="42"/>
        <v>0</v>
      </c>
      <c r="CD39" s="105">
        <f t="shared" si="42"/>
        <v>0</v>
      </c>
      <c r="CE39" s="105">
        <f t="shared" si="42"/>
        <v>0</v>
      </c>
      <c r="CF39" s="105">
        <f t="shared" si="42"/>
        <v>0</v>
      </c>
      <c r="CG39" s="105">
        <f t="shared" si="42"/>
        <v>0</v>
      </c>
      <c r="CH39" s="105">
        <f t="shared" si="42"/>
        <v>0</v>
      </c>
      <c r="CI39" s="105">
        <f t="shared" si="42"/>
        <v>0</v>
      </c>
      <c r="CJ39" s="105">
        <f t="shared" si="42"/>
        <v>0</v>
      </c>
      <c r="CK39" s="105">
        <f t="shared" si="42"/>
        <v>0</v>
      </c>
      <c r="CL39" s="105">
        <f t="shared" ref="CL39:DM39" si="43">IF(CL$6&gt;0,$H$39,0)</f>
        <v>0</v>
      </c>
      <c r="CM39" s="105">
        <f t="shared" si="43"/>
        <v>0</v>
      </c>
      <c r="CN39" s="105">
        <f t="shared" si="43"/>
        <v>0</v>
      </c>
      <c r="CO39" s="105">
        <f t="shared" si="43"/>
        <v>0</v>
      </c>
      <c r="CP39" s="105">
        <f t="shared" si="43"/>
        <v>0</v>
      </c>
      <c r="CQ39" s="105">
        <f t="shared" si="43"/>
        <v>0</v>
      </c>
      <c r="CR39" s="105">
        <f t="shared" si="43"/>
        <v>0</v>
      </c>
      <c r="CS39" s="105">
        <f t="shared" si="43"/>
        <v>0</v>
      </c>
      <c r="CT39" s="105">
        <f t="shared" si="43"/>
        <v>0</v>
      </c>
      <c r="CU39" s="105">
        <f t="shared" si="43"/>
        <v>0</v>
      </c>
      <c r="CV39" s="105">
        <f t="shared" si="43"/>
        <v>0</v>
      </c>
      <c r="CW39" s="105">
        <f t="shared" si="43"/>
        <v>0</v>
      </c>
      <c r="CX39" s="105">
        <f t="shared" si="43"/>
        <v>0</v>
      </c>
      <c r="CY39" s="105">
        <f t="shared" si="43"/>
        <v>0</v>
      </c>
      <c r="CZ39" s="105">
        <f t="shared" si="43"/>
        <v>0</v>
      </c>
      <c r="DA39" s="105">
        <f t="shared" si="43"/>
        <v>0</v>
      </c>
      <c r="DB39" s="105">
        <f t="shared" si="43"/>
        <v>0</v>
      </c>
      <c r="DC39" s="105">
        <f t="shared" si="43"/>
        <v>0</v>
      </c>
      <c r="DD39" s="105">
        <f t="shared" si="43"/>
        <v>0</v>
      </c>
      <c r="DE39" s="105">
        <f t="shared" si="43"/>
        <v>0</v>
      </c>
      <c r="DF39" s="105">
        <f t="shared" si="43"/>
        <v>0</v>
      </c>
      <c r="DG39" s="105">
        <f t="shared" si="43"/>
        <v>0</v>
      </c>
      <c r="DH39" s="105">
        <f t="shared" si="43"/>
        <v>0</v>
      </c>
      <c r="DI39" s="105">
        <f t="shared" si="43"/>
        <v>0</v>
      </c>
      <c r="DJ39" s="105">
        <f t="shared" si="43"/>
        <v>0</v>
      </c>
      <c r="DK39" s="105">
        <f t="shared" si="43"/>
        <v>0</v>
      </c>
      <c r="DL39" s="105">
        <f t="shared" si="43"/>
        <v>0</v>
      </c>
      <c r="DM39" s="105">
        <f t="shared" si="43"/>
        <v>0</v>
      </c>
    </row>
    <row r="40" spans="3:117" outlineLevel="1" x14ac:dyDescent="0.15"/>
    <row r="41" spans="3:117" outlineLevel="1" x14ac:dyDescent="0.15">
      <c r="C41" t="s">
        <v>143</v>
      </c>
      <c r="D41" s="5" t="s">
        <v>131</v>
      </c>
      <c r="I41" s="35">
        <f t="shared" ref="I41" si="44">SUM(J41:DM41)</f>
        <v>238932306.35999992</v>
      </c>
      <c r="J41" s="139">
        <f t="shared" ref="J41:AO41" si="45">J37*J39*Lbs_Tonne</f>
        <v>0</v>
      </c>
      <c r="K41" s="19">
        <f t="shared" si="45"/>
        <v>0</v>
      </c>
      <c r="L41" s="19">
        <f t="shared" si="45"/>
        <v>0</v>
      </c>
      <c r="M41" s="19">
        <f>M37*M39*Lbs_Tonne</f>
        <v>1543234</v>
      </c>
      <c r="N41" s="19">
        <f t="shared" si="45"/>
        <v>29405221.559999999</v>
      </c>
      <c r="O41" s="19">
        <f t="shared" si="45"/>
        <v>28977525.279999997</v>
      </c>
      <c r="P41" s="19">
        <f t="shared" si="45"/>
        <v>28020720.199999999</v>
      </c>
      <c r="Q41" s="19">
        <f t="shared" si="45"/>
        <v>31151280.599999998</v>
      </c>
      <c r="R41" s="19">
        <f t="shared" si="45"/>
        <v>30159201.599999998</v>
      </c>
      <c r="S41" s="19">
        <f t="shared" si="45"/>
        <v>15013462.199999999</v>
      </c>
      <c r="T41" s="19">
        <f t="shared" si="45"/>
        <v>18055837.799999997</v>
      </c>
      <c r="U41" s="19">
        <f t="shared" si="45"/>
        <v>19058939.899999999</v>
      </c>
      <c r="V41" s="19">
        <f t="shared" si="45"/>
        <v>14643086.039999997</v>
      </c>
      <c r="W41" s="19">
        <f t="shared" si="45"/>
        <v>15509501.699999999</v>
      </c>
      <c r="X41" s="19">
        <f t="shared" si="45"/>
        <v>7394295.4799999995</v>
      </c>
      <c r="Y41" s="19">
        <f t="shared" si="45"/>
        <v>0</v>
      </c>
      <c r="Z41" s="19">
        <f t="shared" si="45"/>
        <v>0</v>
      </c>
      <c r="AA41" s="19">
        <f t="shared" si="45"/>
        <v>0</v>
      </c>
      <c r="AB41" s="19">
        <f t="shared" si="45"/>
        <v>0</v>
      </c>
      <c r="AC41" s="19">
        <f t="shared" si="45"/>
        <v>0</v>
      </c>
      <c r="AD41" s="19">
        <f t="shared" si="45"/>
        <v>0</v>
      </c>
      <c r="AE41" s="19">
        <f t="shared" si="45"/>
        <v>0</v>
      </c>
      <c r="AF41" s="19">
        <f t="shared" si="45"/>
        <v>0</v>
      </c>
      <c r="AG41" s="19">
        <f t="shared" si="45"/>
        <v>0</v>
      </c>
      <c r="AH41" s="19">
        <f t="shared" si="45"/>
        <v>0</v>
      </c>
      <c r="AI41" s="19">
        <f t="shared" si="45"/>
        <v>0</v>
      </c>
      <c r="AJ41" s="19">
        <f t="shared" si="45"/>
        <v>0</v>
      </c>
      <c r="AK41" s="19">
        <f t="shared" si="45"/>
        <v>0</v>
      </c>
      <c r="AL41" s="19">
        <f t="shared" si="45"/>
        <v>0</v>
      </c>
      <c r="AM41" s="19">
        <f t="shared" si="45"/>
        <v>0</v>
      </c>
      <c r="AN41" s="19">
        <f t="shared" si="45"/>
        <v>0</v>
      </c>
      <c r="AO41" s="19">
        <f t="shared" si="45"/>
        <v>0</v>
      </c>
      <c r="AP41" s="19">
        <f t="shared" ref="AP41:BU41" si="46">AP37*AP39*Lbs_Tonne</f>
        <v>0</v>
      </c>
      <c r="AQ41" s="19">
        <f t="shared" si="46"/>
        <v>0</v>
      </c>
      <c r="AR41" s="19">
        <f t="shared" si="46"/>
        <v>0</v>
      </c>
      <c r="AS41" s="19">
        <f t="shared" si="46"/>
        <v>0</v>
      </c>
      <c r="AT41" s="19">
        <f t="shared" si="46"/>
        <v>0</v>
      </c>
      <c r="AU41" s="19">
        <f t="shared" si="46"/>
        <v>0</v>
      </c>
      <c r="AV41" s="19">
        <f t="shared" si="46"/>
        <v>0</v>
      </c>
      <c r="AW41" s="19">
        <f t="shared" si="46"/>
        <v>0</v>
      </c>
      <c r="AX41" s="19">
        <f t="shared" si="46"/>
        <v>0</v>
      </c>
      <c r="AY41" s="19">
        <f t="shared" si="46"/>
        <v>0</v>
      </c>
      <c r="AZ41" s="19">
        <f t="shared" si="46"/>
        <v>0</v>
      </c>
      <c r="BA41" s="19">
        <f t="shared" si="46"/>
        <v>0</v>
      </c>
      <c r="BB41" s="19">
        <f t="shared" si="46"/>
        <v>0</v>
      </c>
      <c r="BC41" s="19">
        <f t="shared" si="46"/>
        <v>0</v>
      </c>
      <c r="BD41" s="19">
        <f t="shared" si="46"/>
        <v>0</v>
      </c>
      <c r="BE41" s="19">
        <f t="shared" si="46"/>
        <v>0</v>
      </c>
      <c r="BF41" s="19">
        <f t="shared" si="46"/>
        <v>0</v>
      </c>
      <c r="BG41" s="19">
        <f t="shared" si="46"/>
        <v>0</v>
      </c>
      <c r="BH41" s="19">
        <f t="shared" si="46"/>
        <v>0</v>
      </c>
      <c r="BI41" s="19">
        <f t="shared" si="46"/>
        <v>0</v>
      </c>
      <c r="BJ41" s="19">
        <f t="shared" si="46"/>
        <v>0</v>
      </c>
      <c r="BK41" s="19">
        <f t="shared" si="46"/>
        <v>0</v>
      </c>
      <c r="BL41" s="19">
        <f t="shared" si="46"/>
        <v>0</v>
      </c>
      <c r="BM41" s="19">
        <f t="shared" si="46"/>
        <v>0</v>
      </c>
      <c r="BN41" s="19">
        <f t="shared" si="46"/>
        <v>0</v>
      </c>
      <c r="BO41" s="19">
        <f t="shared" si="46"/>
        <v>0</v>
      </c>
      <c r="BP41" s="19">
        <f t="shared" si="46"/>
        <v>0</v>
      </c>
      <c r="BQ41" s="19">
        <f t="shared" si="46"/>
        <v>0</v>
      </c>
      <c r="BR41" s="19">
        <f t="shared" si="46"/>
        <v>0</v>
      </c>
      <c r="BS41" s="19">
        <f t="shared" si="46"/>
        <v>0</v>
      </c>
      <c r="BT41" s="19">
        <f t="shared" si="46"/>
        <v>0</v>
      </c>
      <c r="BU41" s="19">
        <f t="shared" si="46"/>
        <v>0</v>
      </c>
      <c r="BV41" s="19">
        <f t="shared" ref="BV41:DA41" si="47">BV37*BV39*Lbs_Tonne</f>
        <v>0</v>
      </c>
      <c r="BW41" s="19">
        <f t="shared" si="47"/>
        <v>0</v>
      </c>
      <c r="BX41" s="19">
        <f t="shared" si="47"/>
        <v>0</v>
      </c>
      <c r="BY41" s="19">
        <f t="shared" si="47"/>
        <v>0</v>
      </c>
      <c r="BZ41" s="19">
        <f t="shared" si="47"/>
        <v>0</v>
      </c>
      <c r="CA41" s="19">
        <f t="shared" si="47"/>
        <v>0</v>
      </c>
      <c r="CB41" s="19">
        <f t="shared" si="47"/>
        <v>0</v>
      </c>
      <c r="CC41" s="19">
        <f t="shared" si="47"/>
        <v>0</v>
      </c>
      <c r="CD41" s="19">
        <f t="shared" si="47"/>
        <v>0</v>
      </c>
      <c r="CE41" s="19">
        <f t="shared" si="47"/>
        <v>0</v>
      </c>
      <c r="CF41" s="19">
        <f t="shared" si="47"/>
        <v>0</v>
      </c>
      <c r="CG41" s="19">
        <f t="shared" si="47"/>
        <v>0</v>
      </c>
      <c r="CH41" s="19">
        <f t="shared" si="47"/>
        <v>0</v>
      </c>
      <c r="CI41" s="19">
        <f t="shared" si="47"/>
        <v>0</v>
      </c>
      <c r="CJ41" s="19">
        <f t="shared" si="47"/>
        <v>0</v>
      </c>
      <c r="CK41" s="19">
        <f t="shared" si="47"/>
        <v>0</v>
      </c>
      <c r="CL41" s="19">
        <f t="shared" si="47"/>
        <v>0</v>
      </c>
      <c r="CM41" s="19">
        <f t="shared" si="47"/>
        <v>0</v>
      </c>
      <c r="CN41" s="19">
        <f t="shared" si="47"/>
        <v>0</v>
      </c>
      <c r="CO41" s="19">
        <f t="shared" si="47"/>
        <v>0</v>
      </c>
      <c r="CP41" s="19">
        <f t="shared" si="47"/>
        <v>0</v>
      </c>
      <c r="CQ41" s="19">
        <f t="shared" si="47"/>
        <v>0</v>
      </c>
      <c r="CR41" s="19">
        <f t="shared" si="47"/>
        <v>0</v>
      </c>
      <c r="CS41" s="19">
        <f t="shared" si="47"/>
        <v>0</v>
      </c>
      <c r="CT41" s="19">
        <f t="shared" si="47"/>
        <v>0</v>
      </c>
      <c r="CU41" s="19">
        <f t="shared" si="47"/>
        <v>0</v>
      </c>
      <c r="CV41" s="19">
        <f t="shared" si="47"/>
        <v>0</v>
      </c>
      <c r="CW41" s="19">
        <f t="shared" si="47"/>
        <v>0</v>
      </c>
      <c r="CX41" s="19">
        <f t="shared" si="47"/>
        <v>0</v>
      </c>
      <c r="CY41" s="19">
        <f t="shared" si="47"/>
        <v>0</v>
      </c>
      <c r="CZ41" s="19">
        <f t="shared" si="47"/>
        <v>0</v>
      </c>
      <c r="DA41" s="19">
        <f t="shared" si="47"/>
        <v>0</v>
      </c>
      <c r="DB41" s="19">
        <f t="shared" ref="DB41:DM41" si="48">DB37*DB39*Lbs_Tonne</f>
        <v>0</v>
      </c>
      <c r="DC41" s="19">
        <f t="shared" si="48"/>
        <v>0</v>
      </c>
      <c r="DD41" s="19">
        <f t="shared" si="48"/>
        <v>0</v>
      </c>
      <c r="DE41" s="19">
        <f t="shared" si="48"/>
        <v>0</v>
      </c>
      <c r="DF41" s="19">
        <f t="shared" si="48"/>
        <v>0</v>
      </c>
      <c r="DG41" s="19">
        <f t="shared" si="48"/>
        <v>0</v>
      </c>
      <c r="DH41" s="19">
        <f t="shared" si="48"/>
        <v>0</v>
      </c>
      <c r="DI41" s="19">
        <f t="shared" si="48"/>
        <v>0</v>
      </c>
      <c r="DJ41" s="19">
        <f t="shared" si="48"/>
        <v>0</v>
      </c>
      <c r="DK41" s="19">
        <f t="shared" si="48"/>
        <v>0</v>
      </c>
      <c r="DL41" s="19">
        <f t="shared" si="48"/>
        <v>0</v>
      </c>
      <c r="DM41" s="19">
        <f t="shared" si="48"/>
        <v>0</v>
      </c>
    </row>
    <row r="42" spans="3:117" outlineLevel="1" x14ac:dyDescent="0.15"/>
    <row r="43" spans="3:117" ht="14" outlineLevel="1" x14ac:dyDescent="0.15">
      <c r="C43" s="2" t="s">
        <v>76</v>
      </c>
    </row>
    <row r="44" spans="3:117" outlineLevel="1" x14ac:dyDescent="0.15">
      <c r="C44" t="s">
        <v>87</v>
      </c>
      <c r="D44" s="5" t="s">
        <v>49</v>
      </c>
      <c r="I44" s="35">
        <f t="shared" ref="I44" si="49">SUM(J44:DM44)</f>
        <v>4575000</v>
      </c>
      <c r="J44" s="160"/>
      <c r="K44" s="21"/>
      <c r="L44" s="21"/>
      <c r="M44" s="21"/>
      <c r="N44" s="21">
        <v>278000</v>
      </c>
      <c r="O44" s="21">
        <v>432000</v>
      </c>
      <c r="P44" s="21">
        <v>455000</v>
      </c>
      <c r="Q44" s="21">
        <v>455000</v>
      </c>
      <c r="R44" s="21">
        <v>455000</v>
      </c>
      <c r="S44" s="21">
        <v>455000</v>
      </c>
      <c r="T44" s="21">
        <v>455000</v>
      </c>
      <c r="U44" s="21">
        <v>455000</v>
      </c>
      <c r="V44" s="21">
        <v>455000</v>
      </c>
      <c r="W44" s="21">
        <v>417000</v>
      </c>
      <c r="X44" s="21">
        <v>263000</v>
      </c>
      <c r="Y44" s="104">
        <f>Y37</f>
        <v>0</v>
      </c>
      <c r="Z44" s="104">
        <f t="shared" ref="Z44:CK44" si="50">Z37</f>
        <v>0</v>
      </c>
      <c r="AA44" s="104">
        <f t="shared" si="50"/>
        <v>0</v>
      </c>
      <c r="AB44" s="104">
        <f t="shared" si="50"/>
        <v>0</v>
      </c>
      <c r="AC44" s="104">
        <f t="shared" si="50"/>
        <v>0</v>
      </c>
      <c r="AD44" s="104">
        <f t="shared" si="50"/>
        <v>0</v>
      </c>
      <c r="AE44" s="104">
        <f t="shared" si="50"/>
        <v>0</v>
      </c>
      <c r="AF44" s="104">
        <f t="shared" si="50"/>
        <v>0</v>
      </c>
      <c r="AG44" s="104">
        <f t="shared" si="50"/>
        <v>0</v>
      </c>
      <c r="AH44" s="104">
        <f t="shared" si="50"/>
        <v>0</v>
      </c>
      <c r="AI44" s="104">
        <f t="shared" si="50"/>
        <v>0</v>
      </c>
      <c r="AJ44" s="104">
        <f t="shared" si="50"/>
        <v>0</v>
      </c>
      <c r="AK44" s="104">
        <f t="shared" si="50"/>
        <v>0</v>
      </c>
      <c r="AL44" s="104">
        <f t="shared" si="50"/>
        <v>0</v>
      </c>
      <c r="AM44" s="104">
        <f t="shared" si="50"/>
        <v>0</v>
      </c>
      <c r="AN44" s="104">
        <f t="shared" si="50"/>
        <v>0</v>
      </c>
      <c r="AO44" s="104">
        <f t="shared" si="50"/>
        <v>0</v>
      </c>
      <c r="AP44" s="104">
        <f t="shared" si="50"/>
        <v>0</v>
      </c>
      <c r="AQ44" s="104">
        <f t="shared" si="50"/>
        <v>0</v>
      </c>
      <c r="AR44" s="104">
        <f t="shared" si="50"/>
        <v>0</v>
      </c>
      <c r="AS44" s="104">
        <f t="shared" si="50"/>
        <v>0</v>
      </c>
      <c r="AT44" s="104">
        <f t="shared" si="50"/>
        <v>0</v>
      </c>
      <c r="AU44" s="104">
        <f t="shared" si="50"/>
        <v>0</v>
      </c>
      <c r="AV44" s="104">
        <f t="shared" si="50"/>
        <v>0</v>
      </c>
      <c r="AW44" s="104">
        <f t="shared" si="50"/>
        <v>0</v>
      </c>
      <c r="AX44" s="104">
        <f t="shared" si="50"/>
        <v>0</v>
      </c>
      <c r="AY44" s="104">
        <f t="shared" si="50"/>
        <v>0</v>
      </c>
      <c r="AZ44" s="104">
        <f t="shared" si="50"/>
        <v>0</v>
      </c>
      <c r="BA44" s="104">
        <f t="shared" si="50"/>
        <v>0</v>
      </c>
      <c r="BB44" s="104">
        <f t="shared" si="50"/>
        <v>0</v>
      </c>
      <c r="BC44" s="104">
        <f t="shared" si="50"/>
        <v>0</v>
      </c>
      <c r="BD44" s="104">
        <f t="shared" si="50"/>
        <v>0</v>
      </c>
      <c r="BE44" s="104">
        <f t="shared" si="50"/>
        <v>0</v>
      </c>
      <c r="BF44" s="104">
        <f t="shared" si="50"/>
        <v>0</v>
      </c>
      <c r="BG44" s="104">
        <f t="shared" si="50"/>
        <v>0</v>
      </c>
      <c r="BH44" s="104">
        <f t="shared" si="50"/>
        <v>0</v>
      </c>
      <c r="BI44" s="104">
        <f t="shared" si="50"/>
        <v>0</v>
      </c>
      <c r="BJ44" s="104">
        <f t="shared" si="50"/>
        <v>0</v>
      </c>
      <c r="BK44" s="104">
        <f t="shared" si="50"/>
        <v>0</v>
      </c>
      <c r="BL44" s="104">
        <f t="shared" si="50"/>
        <v>0</v>
      </c>
      <c r="BM44" s="104">
        <f t="shared" si="50"/>
        <v>0</v>
      </c>
      <c r="BN44" s="104">
        <f t="shared" si="50"/>
        <v>0</v>
      </c>
      <c r="BO44" s="104">
        <f t="shared" si="50"/>
        <v>0</v>
      </c>
      <c r="BP44" s="104">
        <f t="shared" si="50"/>
        <v>0</v>
      </c>
      <c r="BQ44" s="104">
        <f t="shared" si="50"/>
        <v>0</v>
      </c>
      <c r="BR44" s="104">
        <f t="shared" si="50"/>
        <v>0</v>
      </c>
      <c r="BS44" s="104">
        <f t="shared" si="50"/>
        <v>0</v>
      </c>
      <c r="BT44" s="104">
        <f t="shared" si="50"/>
        <v>0</v>
      </c>
      <c r="BU44" s="104">
        <f t="shared" si="50"/>
        <v>0</v>
      </c>
      <c r="BV44" s="104">
        <f t="shared" si="50"/>
        <v>0</v>
      </c>
      <c r="BW44" s="104">
        <f t="shared" si="50"/>
        <v>0</v>
      </c>
      <c r="BX44" s="104">
        <f t="shared" si="50"/>
        <v>0</v>
      </c>
      <c r="BY44" s="104">
        <f t="shared" si="50"/>
        <v>0</v>
      </c>
      <c r="BZ44" s="104">
        <f t="shared" si="50"/>
        <v>0</v>
      </c>
      <c r="CA44" s="104">
        <f t="shared" si="50"/>
        <v>0</v>
      </c>
      <c r="CB44" s="104">
        <f t="shared" si="50"/>
        <v>0</v>
      </c>
      <c r="CC44" s="104">
        <f t="shared" si="50"/>
        <v>0</v>
      </c>
      <c r="CD44" s="104">
        <f t="shared" si="50"/>
        <v>0</v>
      </c>
      <c r="CE44" s="104">
        <f t="shared" si="50"/>
        <v>0</v>
      </c>
      <c r="CF44" s="104">
        <f t="shared" si="50"/>
        <v>0</v>
      </c>
      <c r="CG44" s="104">
        <f t="shared" si="50"/>
        <v>0</v>
      </c>
      <c r="CH44" s="104">
        <f t="shared" si="50"/>
        <v>0</v>
      </c>
      <c r="CI44" s="104">
        <f t="shared" si="50"/>
        <v>0</v>
      </c>
      <c r="CJ44" s="104">
        <f t="shared" si="50"/>
        <v>0</v>
      </c>
      <c r="CK44" s="104">
        <f t="shared" si="50"/>
        <v>0</v>
      </c>
      <c r="CL44" s="104">
        <f t="shared" ref="CL44:DM44" si="51">CL37</f>
        <v>0</v>
      </c>
      <c r="CM44" s="104">
        <f t="shared" si="51"/>
        <v>0</v>
      </c>
      <c r="CN44" s="104">
        <f t="shared" si="51"/>
        <v>0</v>
      </c>
      <c r="CO44" s="104">
        <f t="shared" si="51"/>
        <v>0</v>
      </c>
      <c r="CP44" s="104">
        <f t="shared" si="51"/>
        <v>0</v>
      </c>
      <c r="CQ44" s="104">
        <f t="shared" si="51"/>
        <v>0</v>
      </c>
      <c r="CR44" s="104">
        <f t="shared" si="51"/>
        <v>0</v>
      </c>
      <c r="CS44" s="104">
        <f t="shared" si="51"/>
        <v>0</v>
      </c>
      <c r="CT44" s="104">
        <f t="shared" si="51"/>
        <v>0</v>
      </c>
      <c r="CU44" s="104">
        <f t="shared" si="51"/>
        <v>0</v>
      </c>
      <c r="CV44" s="104">
        <f t="shared" si="51"/>
        <v>0</v>
      </c>
      <c r="CW44" s="104">
        <f t="shared" si="51"/>
        <v>0</v>
      </c>
      <c r="CX44" s="104">
        <f t="shared" si="51"/>
        <v>0</v>
      </c>
      <c r="CY44" s="104">
        <f t="shared" si="51"/>
        <v>0</v>
      </c>
      <c r="CZ44" s="104">
        <f t="shared" si="51"/>
        <v>0</v>
      </c>
      <c r="DA44" s="104">
        <f t="shared" si="51"/>
        <v>0</v>
      </c>
      <c r="DB44" s="104">
        <f t="shared" si="51"/>
        <v>0</v>
      </c>
      <c r="DC44" s="104">
        <f t="shared" si="51"/>
        <v>0</v>
      </c>
      <c r="DD44" s="104">
        <f t="shared" si="51"/>
        <v>0</v>
      </c>
      <c r="DE44" s="104">
        <f t="shared" si="51"/>
        <v>0</v>
      </c>
      <c r="DF44" s="104">
        <f t="shared" si="51"/>
        <v>0</v>
      </c>
      <c r="DG44" s="104">
        <f t="shared" si="51"/>
        <v>0</v>
      </c>
      <c r="DH44" s="104">
        <f t="shared" si="51"/>
        <v>0</v>
      </c>
      <c r="DI44" s="104">
        <f t="shared" si="51"/>
        <v>0</v>
      </c>
      <c r="DJ44" s="104">
        <f t="shared" si="51"/>
        <v>0</v>
      </c>
      <c r="DK44" s="104">
        <f t="shared" si="51"/>
        <v>0</v>
      </c>
      <c r="DL44" s="104">
        <f t="shared" si="51"/>
        <v>0</v>
      </c>
      <c r="DM44" s="104">
        <f t="shared" si="51"/>
        <v>0</v>
      </c>
    </row>
    <row r="45" spans="3:117" outlineLevel="1" x14ac:dyDescent="0.15">
      <c r="C45" t="s">
        <v>151</v>
      </c>
      <c r="D45" s="5" t="s">
        <v>18</v>
      </c>
      <c r="F45" s="85">
        <f>'Scenario Manager'!E11</f>
        <v>0</v>
      </c>
      <c r="I45" s="153">
        <f>SUMPRODUCT(J45:DM45,J44:DM44)/I44</f>
        <v>2.3729719355333946E-2</v>
      </c>
      <c r="J45" s="161">
        <f t="shared" ref="J45:X45" si="52">(IF(J44=0,0,(J50/Lbs_Tonne/J47)/J44))*(1+$F$45)</f>
        <v>0</v>
      </c>
      <c r="K45" s="33">
        <f t="shared" si="52"/>
        <v>0</v>
      </c>
      <c r="L45" s="33">
        <f t="shared" si="52"/>
        <v>0</v>
      </c>
      <c r="M45" s="33">
        <f t="shared" si="52"/>
        <v>0</v>
      </c>
      <c r="N45" s="33">
        <f t="shared" si="52"/>
        <v>4.3637721558403494E-2</v>
      </c>
      <c r="O45" s="33">
        <f t="shared" si="52"/>
        <v>3.1261755168702221E-2</v>
      </c>
      <c r="P45" s="33">
        <f t="shared" si="52"/>
        <v>3.0349500355929478E-2</v>
      </c>
      <c r="Q45" s="33">
        <f t="shared" si="52"/>
        <v>3.0299450696943835E-2</v>
      </c>
      <c r="R45" s="33">
        <f t="shared" si="52"/>
        <v>3.0304557805003591E-2</v>
      </c>
      <c r="S45" s="33">
        <f t="shared" si="52"/>
        <v>1.5866763320062212E-2</v>
      </c>
      <c r="T45" s="33">
        <f t="shared" si="52"/>
        <v>1.7144561756614152E-2</v>
      </c>
      <c r="U45" s="33">
        <f t="shared" si="52"/>
        <v>1.8496923970838589E-2</v>
      </c>
      <c r="V45" s="33">
        <f t="shared" si="52"/>
        <v>1.572784998083674E-2</v>
      </c>
      <c r="W45" s="33">
        <f t="shared" si="52"/>
        <v>1.7553387593887169E-2</v>
      </c>
      <c r="X45" s="33">
        <f t="shared" si="52"/>
        <v>1.3806338439742619E-2</v>
      </c>
      <c r="Y45" s="33">
        <f>Y39</f>
        <v>0</v>
      </c>
      <c r="Z45" s="33">
        <f t="shared" ref="Z45:CK45" si="53">Z39</f>
        <v>0</v>
      </c>
      <c r="AA45" s="33">
        <f t="shared" si="53"/>
        <v>0</v>
      </c>
      <c r="AB45" s="33">
        <f t="shared" si="53"/>
        <v>0</v>
      </c>
      <c r="AC45" s="33">
        <f t="shared" si="53"/>
        <v>0</v>
      </c>
      <c r="AD45" s="33">
        <f t="shared" si="53"/>
        <v>0</v>
      </c>
      <c r="AE45" s="33">
        <f t="shared" si="53"/>
        <v>0</v>
      </c>
      <c r="AF45" s="33">
        <f t="shared" si="53"/>
        <v>0</v>
      </c>
      <c r="AG45" s="33">
        <f t="shared" si="53"/>
        <v>0</v>
      </c>
      <c r="AH45" s="33">
        <f t="shared" si="53"/>
        <v>0</v>
      </c>
      <c r="AI45" s="33">
        <f t="shared" si="53"/>
        <v>0</v>
      </c>
      <c r="AJ45" s="33">
        <f t="shared" si="53"/>
        <v>0</v>
      </c>
      <c r="AK45" s="33">
        <f t="shared" si="53"/>
        <v>0</v>
      </c>
      <c r="AL45" s="33">
        <f t="shared" si="53"/>
        <v>0</v>
      </c>
      <c r="AM45" s="33">
        <f t="shared" si="53"/>
        <v>0</v>
      </c>
      <c r="AN45" s="33">
        <f t="shared" si="53"/>
        <v>0</v>
      </c>
      <c r="AO45" s="33">
        <f t="shared" si="53"/>
        <v>0</v>
      </c>
      <c r="AP45" s="33">
        <f t="shared" si="53"/>
        <v>0</v>
      </c>
      <c r="AQ45" s="33">
        <f t="shared" si="53"/>
        <v>0</v>
      </c>
      <c r="AR45" s="33">
        <f t="shared" si="53"/>
        <v>0</v>
      </c>
      <c r="AS45" s="33">
        <f t="shared" si="53"/>
        <v>0</v>
      </c>
      <c r="AT45" s="33">
        <f t="shared" si="53"/>
        <v>0</v>
      </c>
      <c r="AU45" s="33">
        <f t="shared" si="53"/>
        <v>0</v>
      </c>
      <c r="AV45" s="33">
        <f t="shared" si="53"/>
        <v>0</v>
      </c>
      <c r="AW45" s="33">
        <f t="shared" si="53"/>
        <v>0</v>
      </c>
      <c r="AX45" s="33">
        <f t="shared" si="53"/>
        <v>0</v>
      </c>
      <c r="AY45" s="33">
        <f t="shared" si="53"/>
        <v>0</v>
      </c>
      <c r="AZ45" s="33">
        <f t="shared" si="53"/>
        <v>0</v>
      </c>
      <c r="BA45" s="33">
        <f t="shared" si="53"/>
        <v>0</v>
      </c>
      <c r="BB45" s="33">
        <f t="shared" si="53"/>
        <v>0</v>
      </c>
      <c r="BC45" s="33">
        <f t="shared" si="53"/>
        <v>0</v>
      </c>
      <c r="BD45" s="33">
        <f t="shared" si="53"/>
        <v>0</v>
      </c>
      <c r="BE45" s="33">
        <f t="shared" si="53"/>
        <v>0</v>
      </c>
      <c r="BF45" s="33">
        <f t="shared" si="53"/>
        <v>0</v>
      </c>
      <c r="BG45" s="33">
        <f t="shared" si="53"/>
        <v>0</v>
      </c>
      <c r="BH45" s="33">
        <f t="shared" si="53"/>
        <v>0</v>
      </c>
      <c r="BI45" s="33">
        <f t="shared" si="53"/>
        <v>0</v>
      </c>
      <c r="BJ45" s="33">
        <f t="shared" si="53"/>
        <v>0</v>
      </c>
      <c r="BK45" s="33">
        <f t="shared" si="53"/>
        <v>0</v>
      </c>
      <c r="BL45" s="33">
        <f t="shared" si="53"/>
        <v>0</v>
      </c>
      <c r="BM45" s="33">
        <f t="shared" si="53"/>
        <v>0</v>
      </c>
      <c r="BN45" s="33">
        <f t="shared" si="53"/>
        <v>0</v>
      </c>
      <c r="BO45" s="33">
        <f t="shared" si="53"/>
        <v>0</v>
      </c>
      <c r="BP45" s="33">
        <f t="shared" si="53"/>
        <v>0</v>
      </c>
      <c r="BQ45" s="33">
        <f t="shared" si="53"/>
        <v>0</v>
      </c>
      <c r="BR45" s="33">
        <f t="shared" si="53"/>
        <v>0</v>
      </c>
      <c r="BS45" s="33">
        <f t="shared" si="53"/>
        <v>0</v>
      </c>
      <c r="BT45" s="33">
        <f t="shared" si="53"/>
        <v>0</v>
      </c>
      <c r="BU45" s="33">
        <f t="shared" si="53"/>
        <v>0</v>
      </c>
      <c r="BV45" s="33">
        <f t="shared" si="53"/>
        <v>0</v>
      </c>
      <c r="BW45" s="33">
        <f t="shared" si="53"/>
        <v>0</v>
      </c>
      <c r="BX45" s="33">
        <f t="shared" si="53"/>
        <v>0</v>
      </c>
      <c r="BY45" s="33">
        <f t="shared" si="53"/>
        <v>0</v>
      </c>
      <c r="BZ45" s="33">
        <f t="shared" si="53"/>
        <v>0</v>
      </c>
      <c r="CA45" s="33">
        <f t="shared" si="53"/>
        <v>0</v>
      </c>
      <c r="CB45" s="33">
        <f t="shared" si="53"/>
        <v>0</v>
      </c>
      <c r="CC45" s="33">
        <f t="shared" si="53"/>
        <v>0</v>
      </c>
      <c r="CD45" s="33">
        <f t="shared" si="53"/>
        <v>0</v>
      </c>
      <c r="CE45" s="33">
        <f t="shared" si="53"/>
        <v>0</v>
      </c>
      <c r="CF45" s="33">
        <f t="shared" si="53"/>
        <v>0</v>
      </c>
      <c r="CG45" s="33">
        <f t="shared" si="53"/>
        <v>0</v>
      </c>
      <c r="CH45" s="33">
        <f t="shared" si="53"/>
        <v>0</v>
      </c>
      <c r="CI45" s="33">
        <f t="shared" si="53"/>
        <v>0</v>
      </c>
      <c r="CJ45" s="33">
        <f t="shared" si="53"/>
        <v>0</v>
      </c>
      <c r="CK45" s="33">
        <f t="shared" si="53"/>
        <v>0</v>
      </c>
      <c r="CL45" s="33">
        <f t="shared" ref="CL45:DM45" si="54">CL39</f>
        <v>0</v>
      </c>
      <c r="CM45" s="33">
        <f t="shared" si="54"/>
        <v>0</v>
      </c>
      <c r="CN45" s="33">
        <f t="shared" si="54"/>
        <v>0</v>
      </c>
      <c r="CO45" s="33">
        <f t="shared" si="54"/>
        <v>0</v>
      </c>
      <c r="CP45" s="33">
        <f t="shared" si="54"/>
        <v>0</v>
      </c>
      <c r="CQ45" s="33">
        <f t="shared" si="54"/>
        <v>0</v>
      </c>
      <c r="CR45" s="33">
        <f t="shared" si="54"/>
        <v>0</v>
      </c>
      <c r="CS45" s="33">
        <f t="shared" si="54"/>
        <v>0</v>
      </c>
      <c r="CT45" s="33">
        <f t="shared" si="54"/>
        <v>0</v>
      </c>
      <c r="CU45" s="33">
        <f t="shared" si="54"/>
        <v>0</v>
      </c>
      <c r="CV45" s="33">
        <f t="shared" si="54"/>
        <v>0</v>
      </c>
      <c r="CW45" s="33">
        <f t="shared" si="54"/>
        <v>0</v>
      </c>
      <c r="CX45" s="33">
        <f t="shared" si="54"/>
        <v>0</v>
      </c>
      <c r="CY45" s="33">
        <f t="shared" si="54"/>
        <v>0</v>
      </c>
      <c r="CZ45" s="33">
        <f t="shared" si="54"/>
        <v>0</v>
      </c>
      <c r="DA45" s="33">
        <f t="shared" si="54"/>
        <v>0</v>
      </c>
      <c r="DB45" s="33">
        <f t="shared" si="54"/>
        <v>0</v>
      </c>
      <c r="DC45" s="33">
        <f t="shared" si="54"/>
        <v>0</v>
      </c>
      <c r="DD45" s="33">
        <f t="shared" si="54"/>
        <v>0</v>
      </c>
      <c r="DE45" s="33">
        <f t="shared" si="54"/>
        <v>0</v>
      </c>
      <c r="DF45" s="33">
        <f t="shared" si="54"/>
        <v>0</v>
      </c>
      <c r="DG45" s="33">
        <f t="shared" si="54"/>
        <v>0</v>
      </c>
      <c r="DH45" s="33">
        <f t="shared" si="54"/>
        <v>0</v>
      </c>
      <c r="DI45" s="33">
        <f t="shared" si="54"/>
        <v>0</v>
      </c>
      <c r="DJ45" s="33">
        <f t="shared" si="54"/>
        <v>0</v>
      </c>
      <c r="DK45" s="33">
        <f t="shared" si="54"/>
        <v>0</v>
      </c>
      <c r="DL45" s="33">
        <f t="shared" si="54"/>
        <v>0</v>
      </c>
      <c r="DM45" s="33">
        <f t="shared" si="54"/>
        <v>0</v>
      </c>
    </row>
    <row r="46" spans="3:117" outlineLevel="1" x14ac:dyDescent="0.15">
      <c r="D46" s="5"/>
      <c r="J46" s="150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</row>
    <row r="47" spans="3:117" outlineLevel="1" x14ac:dyDescent="0.15">
      <c r="C47" t="s">
        <v>349</v>
      </c>
      <c r="D47" s="5"/>
      <c r="I47" s="153">
        <f>SUMPRODUCT(J47:DM47,J44:DM44)/I44</f>
        <v>0.97599999999999998</v>
      </c>
      <c r="J47" s="161">
        <f>$G$48*J6</f>
        <v>0</v>
      </c>
      <c r="K47" s="33">
        <f t="shared" ref="K47:BV47" si="55">$G$48*K6</f>
        <v>0</v>
      </c>
      <c r="L47" s="33">
        <f t="shared" si="55"/>
        <v>0</v>
      </c>
      <c r="M47" s="33">
        <f t="shared" si="55"/>
        <v>0</v>
      </c>
      <c r="N47" s="33">
        <f t="shared" si="55"/>
        <v>0.97599999999999998</v>
      </c>
      <c r="O47" s="33">
        <f t="shared" si="55"/>
        <v>0.97599999999999998</v>
      </c>
      <c r="P47" s="33">
        <f t="shared" si="55"/>
        <v>0.97599999999999998</v>
      </c>
      <c r="Q47" s="33">
        <f t="shared" si="55"/>
        <v>0.97599999999999998</v>
      </c>
      <c r="R47" s="33">
        <f t="shared" si="55"/>
        <v>0.97599999999999998</v>
      </c>
      <c r="S47" s="33">
        <f t="shared" si="55"/>
        <v>0.97599999999999998</v>
      </c>
      <c r="T47" s="33">
        <f t="shared" si="55"/>
        <v>0.97599999999999998</v>
      </c>
      <c r="U47" s="33">
        <f t="shared" si="55"/>
        <v>0.97599999999999998</v>
      </c>
      <c r="V47" s="33">
        <f t="shared" si="55"/>
        <v>0.97599999999999998</v>
      </c>
      <c r="W47" s="33">
        <f t="shared" si="55"/>
        <v>0.97599999999999998</v>
      </c>
      <c r="X47" s="33">
        <f t="shared" si="55"/>
        <v>0.97599999999999998</v>
      </c>
      <c r="Y47" s="33">
        <f t="shared" si="55"/>
        <v>0</v>
      </c>
      <c r="Z47" s="33">
        <f t="shared" si="55"/>
        <v>0</v>
      </c>
      <c r="AA47" s="33">
        <f t="shared" si="55"/>
        <v>0</v>
      </c>
      <c r="AB47" s="33">
        <f t="shared" si="55"/>
        <v>0</v>
      </c>
      <c r="AC47" s="33">
        <f t="shared" si="55"/>
        <v>0</v>
      </c>
      <c r="AD47" s="33">
        <f t="shared" si="55"/>
        <v>0</v>
      </c>
      <c r="AE47" s="33">
        <f t="shared" si="55"/>
        <v>0</v>
      </c>
      <c r="AF47" s="33">
        <f t="shared" si="55"/>
        <v>0</v>
      </c>
      <c r="AG47" s="33">
        <f t="shared" si="55"/>
        <v>0</v>
      </c>
      <c r="AH47" s="33">
        <f t="shared" si="55"/>
        <v>0</v>
      </c>
      <c r="AI47" s="33">
        <f t="shared" si="55"/>
        <v>0</v>
      </c>
      <c r="AJ47" s="33">
        <f t="shared" si="55"/>
        <v>0</v>
      </c>
      <c r="AK47" s="33">
        <f t="shared" si="55"/>
        <v>0</v>
      </c>
      <c r="AL47" s="33">
        <f t="shared" si="55"/>
        <v>0</v>
      </c>
      <c r="AM47" s="33">
        <f t="shared" si="55"/>
        <v>0</v>
      </c>
      <c r="AN47" s="33">
        <f t="shared" si="55"/>
        <v>0</v>
      </c>
      <c r="AO47" s="33">
        <f t="shared" si="55"/>
        <v>0</v>
      </c>
      <c r="AP47" s="33">
        <f t="shared" si="55"/>
        <v>0</v>
      </c>
      <c r="AQ47" s="33">
        <f t="shared" si="55"/>
        <v>0</v>
      </c>
      <c r="AR47" s="33">
        <f t="shared" si="55"/>
        <v>0</v>
      </c>
      <c r="AS47" s="33">
        <f t="shared" si="55"/>
        <v>0</v>
      </c>
      <c r="AT47" s="33">
        <f t="shared" si="55"/>
        <v>0</v>
      </c>
      <c r="AU47" s="33">
        <f t="shared" si="55"/>
        <v>0</v>
      </c>
      <c r="AV47" s="33">
        <f t="shared" si="55"/>
        <v>0</v>
      </c>
      <c r="AW47" s="33">
        <f t="shared" si="55"/>
        <v>0</v>
      </c>
      <c r="AX47" s="33">
        <f t="shared" si="55"/>
        <v>0</v>
      </c>
      <c r="AY47" s="33">
        <f t="shared" si="55"/>
        <v>0</v>
      </c>
      <c r="AZ47" s="33">
        <f t="shared" si="55"/>
        <v>0</v>
      </c>
      <c r="BA47" s="33">
        <f t="shared" si="55"/>
        <v>0</v>
      </c>
      <c r="BB47" s="33">
        <f t="shared" si="55"/>
        <v>0</v>
      </c>
      <c r="BC47" s="33">
        <f t="shared" si="55"/>
        <v>0</v>
      </c>
      <c r="BD47" s="33">
        <f t="shared" si="55"/>
        <v>0</v>
      </c>
      <c r="BE47" s="33">
        <f t="shared" si="55"/>
        <v>0</v>
      </c>
      <c r="BF47" s="33">
        <f t="shared" si="55"/>
        <v>0</v>
      </c>
      <c r="BG47" s="33">
        <f t="shared" si="55"/>
        <v>0</v>
      </c>
      <c r="BH47" s="33">
        <f t="shared" si="55"/>
        <v>0</v>
      </c>
      <c r="BI47" s="33">
        <f t="shared" si="55"/>
        <v>0</v>
      </c>
      <c r="BJ47" s="33">
        <f t="shared" si="55"/>
        <v>0</v>
      </c>
      <c r="BK47" s="33">
        <f t="shared" si="55"/>
        <v>0</v>
      </c>
      <c r="BL47" s="33">
        <f t="shared" si="55"/>
        <v>0</v>
      </c>
      <c r="BM47" s="33">
        <f t="shared" si="55"/>
        <v>0</v>
      </c>
      <c r="BN47" s="33">
        <f t="shared" si="55"/>
        <v>0</v>
      </c>
      <c r="BO47" s="33">
        <f t="shared" si="55"/>
        <v>0</v>
      </c>
      <c r="BP47" s="33">
        <f t="shared" si="55"/>
        <v>0</v>
      </c>
      <c r="BQ47" s="33">
        <f t="shared" si="55"/>
        <v>0</v>
      </c>
      <c r="BR47" s="33">
        <f t="shared" si="55"/>
        <v>0</v>
      </c>
      <c r="BS47" s="33">
        <f t="shared" si="55"/>
        <v>0</v>
      </c>
      <c r="BT47" s="33">
        <f t="shared" si="55"/>
        <v>0</v>
      </c>
      <c r="BU47" s="33">
        <f t="shared" si="55"/>
        <v>0</v>
      </c>
      <c r="BV47" s="33">
        <f t="shared" si="55"/>
        <v>0</v>
      </c>
      <c r="BW47" s="33">
        <f t="shared" ref="BW47:DM47" si="56">$G$48*BW6</f>
        <v>0</v>
      </c>
      <c r="BX47" s="33">
        <f t="shared" si="56"/>
        <v>0</v>
      </c>
      <c r="BY47" s="33">
        <f t="shared" si="56"/>
        <v>0</v>
      </c>
      <c r="BZ47" s="33">
        <f t="shared" si="56"/>
        <v>0</v>
      </c>
      <c r="CA47" s="33">
        <f t="shared" si="56"/>
        <v>0</v>
      </c>
      <c r="CB47" s="33">
        <f t="shared" si="56"/>
        <v>0</v>
      </c>
      <c r="CC47" s="33">
        <f t="shared" si="56"/>
        <v>0</v>
      </c>
      <c r="CD47" s="33">
        <f t="shared" si="56"/>
        <v>0</v>
      </c>
      <c r="CE47" s="33">
        <f t="shared" si="56"/>
        <v>0</v>
      </c>
      <c r="CF47" s="33">
        <f t="shared" si="56"/>
        <v>0</v>
      </c>
      <c r="CG47" s="33">
        <f t="shared" si="56"/>
        <v>0</v>
      </c>
      <c r="CH47" s="33">
        <f t="shared" si="56"/>
        <v>0</v>
      </c>
      <c r="CI47" s="33">
        <f t="shared" si="56"/>
        <v>0</v>
      </c>
      <c r="CJ47" s="33">
        <f t="shared" si="56"/>
        <v>0</v>
      </c>
      <c r="CK47" s="33">
        <f t="shared" si="56"/>
        <v>0</v>
      </c>
      <c r="CL47" s="33">
        <f t="shared" si="56"/>
        <v>0</v>
      </c>
      <c r="CM47" s="33">
        <f t="shared" si="56"/>
        <v>0</v>
      </c>
      <c r="CN47" s="33">
        <f t="shared" si="56"/>
        <v>0</v>
      </c>
      <c r="CO47" s="33">
        <f t="shared" si="56"/>
        <v>0</v>
      </c>
      <c r="CP47" s="33">
        <f t="shared" si="56"/>
        <v>0</v>
      </c>
      <c r="CQ47" s="33">
        <f t="shared" si="56"/>
        <v>0</v>
      </c>
      <c r="CR47" s="33">
        <f t="shared" si="56"/>
        <v>0</v>
      </c>
      <c r="CS47" s="33">
        <f t="shared" si="56"/>
        <v>0</v>
      </c>
      <c r="CT47" s="33">
        <f t="shared" si="56"/>
        <v>0</v>
      </c>
      <c r="CU47" s="33">
        <f t="shared" si="56"/>
        <v>0</v>
      </c>
      <c r="CV47" s="33">
        <f t="shared" si="56"/>
        <v>0</v>
      </c>
      <c r="CW47" s="33">
        <f t="shared" si="56"/>
        <v>0</v>
      </c>
      <c r="CX47" s="33">
        <f t="shared" si="56"/>
        <v>0</v>
      </c>
      <c r="CY47" s="33">
        <f t="shared" si="56"/>
        <v>0</v>
      </c>
      <c r="CZ47" s="33">
        <f t="shared" si="56"/>
        <v>0</v>
      </c>
      <c r="DA47" s="33">
        <f t="shared" si="56"/>
        <v>0</v>
      </c>
      <c r="DB47" s="33">
        <f t="shared" si="56"/>
        <v>0</v>
      </c>
      <c r="DC47" s="33">
        <f t="shared" si="56"/>
        <v>0</v>
      </c>
      <c r="DD47" s="33">
        <f t="shared" si="56"/>
        <v>0</v>
      </c>
      <c r="DE47" s="33">
        <f t="shared" si="56"/>
        <v>0</v>
      </c>
      <c r="DF47" s="33">
        <f t="shared" si="56"/>
        <v>0</v>
      </c>
      <c r="DG47" s="33">
        <f t="shared" si="56"/>
        <v>0</v>
      </c>
      <c r="DH47" s="33">
        <f t="shared" si="56"/>
        <v>0</v>
      </c>
      <c r="DI47" s="33">
        <f t="shared" si="56"/>
        <v>0</v>
      </c>
      <c r="DJ47" s="33">
        <f t="shared" si="56"/>
        <v>0</v>
      </c>
      <c r="DK47" s="33">
        <f t="shared" si="56"/>
        <v>0</v>
      </c>
      <c r="DL47" s="33">
        <f t="shared" si="56"/>
        <v>0</v>
      </c>
      <c r="DM47" s="33">
        <f t="shared" si="56"/>
        <v>0</v>
      </c>
    </row>
    <row r="48" spans="3:117" outlineLevel="1" x14ac:dyDescent="0.15">
      <c r="C48" t="s">
        <v>350</v>
      </c>
      <c r="D48" s="5" t="s">
        <v>18</v>
      </c>
      <c r="E48" s="84">
        <f>(1+F48)*G48</f>
        <v>0.97599999999999998</v>
      </c>
      <c r="F48" s="85">
        <f>'Scenario Manager'!E12</f>
        <v>0</v>
      </c>
      <c r="G48" s="47">
        <v>0.97599999999999998</v>
      </c>
      <c r="I48" s="153">
        <f>I51/(I44*I45*Lbs_Tonne)</f>
        <v>0.97599999999999998</v>
      </c>
      <c r="J48" s="161">
        <f t="shared" ref="J48:AO48" si="57">$E48*J$6</f>
        <v>0</v>
      </c>
      <c r="K48" s="33">
        <f t="shared" si="57"/>
        <v>0</v>
      </c>
      <c r="L48" s="33">
        <f t="shared" si="57"/>
        <v>0</v>
      </c>
      <c r="M48" s="33">
        <f t="shared" si="57"/>
        <v>0</v>
      </c>
      <c r="N48" s="33">
        <f t="shared" si="57"/>
        <v>0.97599999999999998</v>
      </c>
      <c r="O48" s="33">
        <f t="shared" si="57"/>
        <v>0.97599999999999998</v>
      </c>
      <c r="P48" s="33">
        <f t="shared" si="57"/>
        <v>0.97599999999999998</v>
      </c>
      <c r="Q48" s="33">
        <f t="shared" si="57"/>
        <v>0.97599999999999998</v>
      </c>
      <c r="R48" s="33">
        <f t="shared" si="57"/>
        <v>0.97599999999999998</v>
      </c>
      <c r="S48" s="33">
        <f t="shared" si="57"/>
        <v>0.97599999999999998</v>
      </c>
      <c r="T48" s="33">
        <f t="shared" si="57"/>
        <v>0.97599999999999998</v>
      </c>
      <c r="U48" s="33">
        <f t="shared" si="57"/>
        <v>0.97599999999999998</v>
      </c>
      <c r="V48" s="33">
        <f t="shared" si="57"/>
        <v>0.97599999999999998</v>
      </c>
      <c r="W48" s="33">
        <f t="shared" si="57"/>
        <v>0.97599999999999998</v>
      </c>
      <c r="X48" s="33">
        <f t="shared" si="57"/>
        <v>0.97599999999999998</v>
      </c>
      <c r="Y48" s="33">
        <f t="shared" si="57"/>
        <v>0</v>
      </c>
      <c r="Z48" s="33">
        <f t="shared" si="57"/>
        <v>0</v>
      </c>
      <c r="AA48" s="33">
        <f t="shared" si="57"/>
        <v>0</v>
      </c>
      <c r="AB48" s="33">
        <f t="shared" si="57"/>
        <v>0</v>
      </c>
      <c r="AC48" s="33">
        <f t="shared" si="57"/>
        <v>0</v>
      </c>
      <c r="AD48" s="33">
        <f t="shared" si="57"/>
        <v>0</v>
      </c>
      <c r="AE48" s="33">
        <f t="shared" si="57"/>
        <v>0</v>
      </c>
      <c r="AF48" s="33">
        <f t="shared" si="57"/>
        <v>0</v>
      </c>
      <c r="AG48" s="33">
        <f t="shared" si="57"/>
        <v>0</v>
      </c>
      <c r="AH48" s="33">
        <f t="shared" si="57"/>
        <v>0</v>
      </c>
      <c r="AI48" s="33">
        <f t="shared" si="57"/>
        <v>0</v>
      </c>
      <c r="AJ48" s="33">
        <f t="shared" si="57"/>
        <v>0</v>
      </c>
      <c r="AK48" s="33">
        <f t="shared" si="57"/>
        <v>0</v>
      </c>
      <c r="AL48" s="33">
        <f t="shared" si="57"/>
        <v>0</v>
      </c>
      <c r="AM48" s="33">
        <f t="shared" si="57"/>
        <v>0</v>
      </c>
      <c r="AN48" s="33">
        <f t="shared" si="57"/>
        <v>0</v>
      </c>
      <c r="AO48" s="33">
        <f t="shared" si="57"/>
        <v>0</v>
      </c>
      <c r="AP48" s="33">
        <f t="shared" ref="AP48:BU48" si="58">$E48*AP$6</f>
        <v>0</v>
      </c>
      <c r="AQ48" s="33">
        <f t="shared" si="58"/>
        <v>0</v>
      </c>
      <c r="AR48" s="33">
        <f t="shared" si="58"/>
        <v>0</v>
      </c>
      <c r="AS48" s="33">
        <f t="shared" si="58"/>
        <v>0</v>
      </c>
      <c r="AT48" s="33">
        <f t="shared" si="58"/>
        <v>0</v>
      </c>
      <c r="AU48" s="33">
        <f t="shared" si="58"/>
        <v>0</v>
      </c>
      <c r="AV48" s="33">
        <f t="shared" si="58"/>
        <v>0</v>
      </c>
      <c r="AW48" s="33">
        <f t="shared" si="58"/>
        <v>0</v>
      </c>
      <c r="AX48" s="33">
        <f t="shared" si="58"/>
        <v>0</v>
      </c>
      <c r="AY48" s="33">
        <f t="shared" si="58"/>
        <v>0</v>
      </c>
      <c r="AZ48" s="33">
        <f t="shared" si="58"/>
        <v>0</v>
      </c>
      <c r="BA48" s="33">
        <f t="shared" si="58"/>
        <v>0</v>
      </c>
      <c r="BB48" s="33">
        <f t="shared" si="58"/>
        <v>0</v>
      </c>
      <c r="BC48" s="33">
        <f t="shared" si="58"/>
        <v>0</v>
      </c>
      <c r="BD48" s="33">
        <f t="shared" si="58"/>
        <v>0</v>
      </c>
      <c r="BE48" s="33">
        <f t="shared" si="58"/>
        <v>0</v>
      </c>
      <c r="BF48" s="33">
        <f t="shared" si="58"/>
        <v>0</v>
      </c>
      <c r="BG48" s="33">
        <f t="shared" si="58"/>
        <v>0</v>
      </c>
      <c r="BH48" s="33">
        <f t="shared" si="58"/>
        <v>0</v>
      </c>
      <c r="BI48" s="33">
        <f t="shared" si="58"/>
        <v>0</v>
      </c>
      <c r="BJ48" s="33">
        <f t="shared" si="58"/>
        <v>0</v>
      </c>
      <c r="BK48" s="33">
        <f t="shared" si="58"/>
        <v>0</v>
      </c>
      <c r="BL48" s="33">
        <f t="shared" si="58"/>
        <v>0</v>
      </c>
      <c r="BM48" s="33">
        <f t="shared" si="58"/>
        <v>0</v>
      </c>
      <c r="BN48" s="33">
        <f t="shared" si="58"/>
        <v>0</v>
      </c>
      <c r="BO48" s="33">
        <f t="shared" si="58"/>
        <v>0</v>
      </c>
      <c r="BP48" s="33">
        <f t="shared" si="58"/>
        <v>0</v>
      </c>
      <c r="BQ48" s="33">
        <f t="shared" si="58"/>
        <v>0</v>
      </c>
      <c r="BR48" s="33">
        <f t="shared" si="58"/>
        <v>0</v>
      </c>
      <c r="BS48" s="33">
        <f t="shared" si="58"/>
        <v>0</v>
      </c>
      <c r="BT48" s="33">
        <f t="shared" si="58"/>
        <v>0</v>
      </c>
      <c r="BU48" s="33">
        <f t="shared" si="58"/>
        <v>0</v>
      </c>
      <c r="BV48" s="33">
        <f t="shared" ref="BV48:DA48" si="59">$E48*BV$6</f>
        <v>0</v>
      </c>
      <c r="BW48" s="33">
        <f t="shared" si="59"/>
        <v>0</v>
      </c>
      <c r="BX48" s="33">
        <f t="shared" si="59"/>
        <v>0</v>
      </c>
      <c r="BY48" s="33">
        <f t="shared" si="59"/>
        <v>0</v>
      </c>
      <c r="BZ48" s="33">
        <f t="shared" si="59"/>
        <v>0</v>
      </c>
      <c r="CA48" s="33">
        <f t="shared" si="59"/>
        <v>0</v>
      </c>
      <c r="CB48" s="33">
        <f t="shared" si="59"/>
        <v>0</v>
      </c>
      <c r="CC48" s="33">
        <f t="shared" si="59"/>
        <v>0</v>
      </c>
      <c r="CD48" s="33">
        <f t="shared" si="59"/>
        <v>0</v>
      </c>
      <c r="CE48" s="33">
        <f t="shared" si="59"/>
        <v>0</v>
      </c>
      <c r="CF48" s="33">
        <f t="shared" si="59"/>
        <v>0</v>
      </c>
      <c r="CG48" s="33">
        <f t="shared" si="59"/>
        <v>0</v>
      </c>
      <c r="CH48" s="33">
        <f t="shared" si="59"/>
        <v>0</v>
      </c>
      <c r="CI48" s="33">
        <f t="shared" si="59"/>
        <v>0</v>
      </c>
      <c r="CJ48" s="33">
        <f t="shared" si="59"/>
        <v>0</v>
      </c>
      <c r="CK48" s="33">
        <f t="shared" si="59"/>
        <v>0</v>
      </c>
      <c r="CL48" s="33">
        <f t="shared" si="59"/>
        <v>0</v>
      </c>
      <c r="CM48" s="33">
        <f t="shared" si="59"/>
        <v>0</v>
      </c>
      <c r="CN48" s="33">
        <f t="shared" si="59"/>
        <v>0</v>
      </c>
      <c r="CO48" s="33">
        <f t="shared" si="59"/>
        <v>0</v>
      </c>
      <c r="CP48" s="33">
        <f t="shared" si="59"/>
        <v>0</v>
      </c>
      <c r="CQ48" s="33">
        <f t="shared" si="59"/>
        <v>0</v>
      </c>
      <c r="CR48" s="33">
        <f t="shared" si="59"/>
        <v>0</v>
      </c>
      <c r="CS48" s="33">
        <f t="shared" si="59"/>
        <v>0</v>
      </c>
      <c r="CT48" s="33">
        <f t="shared" si="59"/>
        <v>0</v>
      </c>
      <c r="CU48" s="33">
        <f t="shared" si="59"/>
        <v>0</v>
      </c>
      <c r="CV48" s="33">
        <f t="shared" si="59"/>
        <v>0</v>
      </c>
      <c r="CW48" s="33">
        <f t="shared" si="59"/>
        <v>0</v>
      </c>
      <c r="CX48" s="33">
        <f t="shared" si="59"/>
        <v>0</v>
      </c>
      <c r="CY48" s="33">
        <f t="shared" si="59"/>
        <v>0</v>
      </c>
      <c r="CZ48" s="33">
        <f t="shared" si="59"/>
        <v>0</v>
      </c>
      <c r="DA48" s="33">
        <f t="shared" si="59"/>
        <v>0</v>
      </c>
      <c r="DB48" s="33">
        <f t="shared" ref="DB48:DM48" si="60">$E48*DB$6</f>
        <v>0</v>
      </c>
      <c r="DC48" s="33">
        <f t="shared" si="60"/>
        <v>0</v>
      </c>
      <c r="DD48" s="33">
        <f t="shared" si="60"/>
        <v>0</v>
      </c>
      <c r="DE48" s="33">
        <f t="shared" si="60"/>
        <v>0</v>
      </c>
      <c r="DF48" s="33">
        <f t="shared" si="60"/>
        <v>0</v>
      </c>
      <c r="DG48" s="33">
        <f t="shared" si="60"/>
        <v>0</v>
      </c>
      <c r="DH48" s="33">
        <f t="shared" si="60"/>
        <v>0</v>
      </c>
      <c r="DI48" s="33">
        <f t="shared" si="60"/>
        <v>0</v>
      </c>
      <c r="DJ48" s="33">
        <f t="shared" si="60"/>
        <v>0</v>
      </c>
      <c r="DK48" s="33">
        <f t="shared" si="60"/>
        <v>0</v>
      </c>
      <c r="DL48" s="33">
        <f t="shared" si="60"/>
        <v>0</v>
      </c>
      <c r="DM48" s="33">
        <f t="shared" si="60"/>
        <v>0</v>
      </c>
    </row>
    <row r="49" spans="3:117" outlineLevel="1" x14ac:dyDescent="0.15">
      <c r="D49" s="5"/>
      <c r="J49" s="161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</row>
    <row r="50" spans="3:117" outlineLevel="1" x14ac:dyDescent="0.15">
      <c r="C50" s="23" t="s">
        <v>347</v>
      </c>
      <c r="D50" s="5"/>
      <c r="I50" s="35">
        <f t="shared" ref="I50:I51" si="61">SUM(J50:DM50)</f>
        <v>233597000</v>
      </c>
      <c r="J50" s="160"/>
      <c r="K50" s="21"/>
      <c r="L50" s="21"/>
      <c r="M50" s="21"/>
      <c r="N50" s="21">
        <v>26103000</v>
      </c>
      <c r="O50" s="21">
        <v>29059000</v>
      </c>
      <c r="P50" s="21">
        <v>29713000</v>
      </c>
      <c r="Q50" s="21">
        <v>29664000</v>
      </c>
      <c r="R50" s="21">
        <v>29669000</v>
      </c>
      <c r="S50" s="21">
        <v>15534000</v>
      </c>
      <c r="T50" s="21">
        <v>16785000</v>
      </c>
      <c r="U50" s="21">
        <v>18109000</v>
      </c>
      <c r="V50" s="21">
        <v>15398000</v>
      </c>
      <c r="W50" s="21">
        <v>15750000</v>
      </c>
      <c r="X50" s="21">
        <v>7813000</v>
      </c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</row>
    <row r="51" spans="3:117" outlineLevel="1" x14ac:dyDescent="0.15">
      <c r="C51" s="23" t="s">
        <v>348</v>
      </c>
      <c r="D51" s="5" t="s">
        <v>131</v>
      </c>
      <c r="I51" s="35">
        <f t="shared" si="61"/>
        <v>233597000</v>
      </c>
      <c r="J51" s="162">
        <f t="shared" ref="J51:AO51" si="62">J44*J45*J48*Lbs_Tonne</f>
        <v>0</v>
      </c>
      <c r="K51" s="36">
        <f t="shared" si="62"/>
        <v>0</v>
      </c>
      <c r="L51" s="36">
        <f t="shared" si="62"/>
        <v>0</v>
      </c>
      <c r="M51" s="36">
        <f t="shared" si="62"/>
        <v>0</v>
      </c>
      <c r="N51" s="36">
        <f>N44*N45*N48*Lbs_Tonne</f>
        <v>26103000</v>
      </c>
      <c r="O51" s="36">
        <f t="shared" si="62"/>
        <v>29059000</v>
      </c>
      <c r="P51" s="36">
        <f t="shared" si="62"/>
        <v>29713000</v>
      </c>
      <c r="Q51" s="36">
        <f t="shared" si="62"/>
        <v>29664000</v>
      </c>
      <c r="R51" s="36">
        <f t="shared" si="62"/>
        <v>29669000</v>
      </c>
      <c r="S51" s="36">
        <f t="shared" si="62"/>
        <v>15533999.999999998</v>
      </c>
      <c r="T51" s="36">
        <f t="shared" si="62"/>
        <v>16785000</v>
      </c>
      <c r="U51" s="36">
        <f t="shared" si="62"/>
        <v>18109000</v>
      </c>
      <c r="V51" s="36">
        <f t="shared" si="62"/>
        <v>15397999.999999998</v>
      </c>
      <c r="W51" s="36">
        <f t="shared" si="62"/>
        <v>15750000.000000002</v>
      </c>
      <c r="X51" s="36">
        <f t="shared" si="62"/>
        <v>7813000</v>
      </c>
      <c r="Y51" s="36">
        <f t="shared" si="62"/>
        <v>0</v>
      </c>
      <c r="Z51" s="36">
        <f t="shared" si="62"/>
        <v>0</v>
      </c>
      <c r="AA51" s="36">
        <f t="shared" si="62"/>
        <v>0</v>
      </c>
      <c r="AB51" s="36">
        <f t="shared" si="62"/>
        <v>0</v>
      </c>
      <c r="AC51" s="36">
        <f t="shared" si="62"/>
        <v>0</v>
      </c>
      <c r="AD51" s="36">
        <f t="shared" si="62"/>
        <v>0</v>
      </c>
      <c r="AE51" s="36">
        <f t="shared" si="62"/>
        <v>0</v>
      </c>
      <c r="AF51" s="36">
        <f t="shared" si="62"/>
        <v>0</v>
      </c>
      <c r="AG51" s="36">
        <f t="shared" si="62"/>
        <v>0</v>
      </c>
      <c r="AH51" s="36">
        <f t="shared" si="62"/>
        <v>0</v>
      </c>
      <c r="AI51" s="36">
        <f t="shared" si="62"/>
        <v>0</v>
      </c>
      <c r="AJ51" s="36">
        <f t="shared" si="62"/>
        <v>0</v>
      </c>
      <c r="AK51" s="36">
        <f t="shared" si="62"/>
        <v>0</v>
      </c>
      <c r="AL51" s="36">
        <f t="shared" si="62"/>
        <v>0</v>
      </c>
      <c r="AM51" s="36">
        <f t="shared" si="62"/>
        <v>0</v>
      </c>
      <c r="AN51" s="36">
        <f t="shared" si="62"/>
        <v>0</v>
      </c>
      <c r="AO51" s="36">
        <f t="shared" si="62"/>
        <v>0</v>
      </c>
      <c r="AP51" s="36">
        <f t="shared" ref="AP51:BU51" si="63">AP44*AP45*AP48*Lbs_Tonne</f>
        <v>0</v>
      </c>
      <c r="AQ51" s="36">
        <f t="shared" si="63"/>
        <v>0</v>
      </c>
      <c r="AR51" s="36">
        <f t="shared" si="63"/>
        <v>0</v>
      </c>
      <c r="AS51" s="36">
        <f t="shared" si="63"/>
        <v>0</v>
      </c>
      <c r="AT51" s="36">
        <f t="shared" si="63"/>
        <v>0</v>
      </c>
      <c r="AU51" s="36">
        <f t="shared" si="63"/>
        <v>0</v>
      </c>
      <c r="AV51" s="36">
        <f t="shared" si="63"/>
        <v>0</v>
      </c>
      <c r="AW51" s="36">
        <f t="shared" si="63"/>
        <v>0</v>
      </c>
      <c r="AX51" s="36">
        <f t="shared" si="63"/>
        <v>0</v>
      </c>
      <c r="AY51" s="36">
        <f t="shared" si="63"/>
        <v>0</v>
      </c>
      <c r="AZ51" s="36">
        <f t="shared" si="63"/>
        <v>0</v>
      </c>
      <c r="BA51" s="36">
        <f t="shared" si="63"/>
        <v>0</v>
      </c>
      <c r="BB51" s="36">
        <f t="shared" si="63"/>
        <v>0</v>
      </c>
      <c r="BC51" s="36">
        <f t="shared" si="63"/>
        <v>0</v>
      </c>
      <c r="BD51" s="36">
        <f t="shared" si="63"/>
        <v>0</v>
      </c>
      <c r="BE51" s="36">
        <f t="shared" si="63"/>
        <v>0</v>
      </c>
      <c r="BF51" s="36">
        <f t="shared" si="63"/>
        <v>0</v>
      </c>
      <c r="BG51" s="36">
        <f t="shared" si="63"/>
        <v>0</v>
      </c>
      <c r="BH51" s="36">
        <f t="shared" si="63"/>
        <v>0</v>
      </c>
      <c r="BI51" s="36">
        <f t="shared" si="63"/>
        <v>0</v>
      </c>
      <c r="BJ51" s="36">
        <f t="shared" si="63"/>
        <v>0</v>
      </c>
      <c r="BK51" s="36">
        <f t="shared" si="63"/>
        <v>0</v>
      </c>
      <c r="BL51" s="36">
        <f t="shared" si="63"/>
        <v>0</v>
      </c>
      <c r="BM51" s="36">
        <f t="shared" si="63"/>
        <v>0</v>
      </c>
      <c r="BN51" s="36">
        <f t="shared" si="63"/>
        <v>0</v>
      </c>
      <c r="BO51" s="36">
        <f t="shared" si="63"/>
        <v>0</v>
      </c>
      <c r="BP51" s="36">
        <f t="shared" si="63"/>
        <v>0</v>
      </c>
      <c r="BQ51" s="36">
        <f t="shared" si="63"/>
        <v>0</v>
      </c>
      <c r="BR51" s="36">
        <f t="shared" si="63"/>
        <v>0</v>
      </c>
      <c r="BS51" s="36">
        <f t="shared" si="63"/>
        <v>0</v>
      </c>
      <c r="BT51" s="36">
        <f t="shared" si="63"/>
        <v>0</v>
      </c>
      <c r="BU51" s="36">
        <f t="shared" si="63"/>
        <v>0</v>
      </c>
      <c r="BV51" s="36">
        <f t="shared" ref="BV51:DA51" si="64">BV44*BV45*BV48*Lbs_Tonne</f>
        <v>0</v>
      </c>
      <c r="BW51" s="36">
        <f t="shared" si="64"/>
        <v>0</v>
      </c>
      <c r="BX51" s="36">
        <f t="shared" si="64"/>
        <v>0</v>
      </c>
      <c r="BY51" s="36">
        <f t="shared" si="64"/>
        <v>0</v>
      </c>
      <c r="BZ51" s="36">
        <f t="shared" si="64"/>
        <v>0</v>
      </c>
      <c r="CA51" s="36">
        <f t="shared" si="64"/>
        <v>0</v>
      </c>
      <c r="CB51" s="36">
        <f t="shared" si="64"/>
        <v>0</v>
      </c>
      <c r="CC51" s="36">
        <f t="shared" si="64"/>
        <v>0</v>
      </c>
      <c r="CD51" s="36">
        <f t="shared" si="64"/>
        <v>0</v>
      </c>
      <c r="CE51" s="36">
        <f t="shared" si="64"/>
        <v>0</v>
      </c>
      <c r="CF51" s="36">
        <f t="shared" si="64"/>
        <v>0</v>
      </c>
      <c r="CG51" s="36">
        <f t="shared" si="64"/>
        <v>0</v>
      </c>
      <c r="CH51" s="36">
        <f t="shared" si="64"/>
        <v>0</v>
      </c>
      <c r="CI51" s="36">
        <f t="shared" si="64"/>
        <v>0</v>
      </c>
      <c r="CJ51" s="36">
        <f t="shared" si="64"/>
        <v>0</v>
      </c>
      <c r="CK51" s="36">
        <f t="shared" si="64"/>
        <v>0</v>
      </c>
      <c r="CL51" s="36">
        <f t="shared" si="64"/>
        <v>0</v>
      </c>
      <c r="CM51" s="36">
        <f t="shared" si="64"/>
        <v>0</v>
      </c>
      <c r="CN51" s="36">
        <f t="shared" si="64"/>
        <v>0</v>
      </c>
      <c r="CO51" s="36">
        <f t="shared" si="64"/>
        <v>0</v>
      </c>
      <c r="CP51" s="36">
        <f t="shared" si="64"/>
        <v>0</v>
      </c>
      <c r="CQ51" s="36">
        <f t="shared" si="64"/>
        <v>0</v>
      </c>
      <c r="CR51" s="36">
        <f t="shared" si="64"/>
        <v>0</v>
      </c>
      <c r="CS51" s="36">
        <f t="shared" si="64"/>
        <v>0</v>
      </c>
      <c r="CT51" s="36">
        <f t="shared" si="64"/>
        <v>0</v>
      </c>
      <c r="CU51" s="36">
        <f t="shared" si="64"/>
        <v>0</v>
      </c>
      <c r="CV51" s="36">
        <f t="shared" si="64"/>
        <v>0</v>
      </c>
      <c r="CW51" s="36">
        <f t="shared" si="64"/>
        <v>0</v>
      </c>
      <c r="CX51" s="36">
        <f t="shared" si="64"/>
        <v>0</v>
      </c>
      <c r="CY51" s="36">
        <f t="shared" si="64"/>
        <v>0</v>
      </c>
      <c r="CZ51" s="36">
        <f t="shared" si="64"/>
        <v>0</v>
      </c>
      <c r="DA51" s="36">
        <f t="shared" si="64"/>
        <v>0</v>
      </c>
      <c r="DB51" s="36">
        <f t="shared" ref="DB51:DM51" si="65">DB44*DB45*DB48*Lbs_Tonne</f>
        <v>0</v>
      </c>
      <c r="DC51" s="36">
        <f t="shared" si="65"/>
        <v>0</v>
      </c>
      <c r="DD51" s="36">
        <f t="shared" si="65"/>
        <v>0</v>
      </c>
      <c r="DE51" s="36">
        <f t="shared" si="65"/>
        <v>0</v>
      </c>
      <c r="DF51" s="36">
        <f t="shared" si="65"/>
        <v>0</v>
      </c>
      <c r="DG51" s="36">
        <f t="shared" si="65"/>
        <v>0</v>
      </c>
      <c r="DH51" s="36">
        <f t="shared" si="65"/>
        <v>0</v>
      </c>
      <c r="DI51" s="36">
        <f t="shared" si="65"/>
        <v>0</v>
      </c>
      <c r="DJ51" s="36">
        <f t="shared" si="65"/>
        <v>0</v>
      </c>
      <c r="DK51" s="36">
        <f t="shared" si="65"/>
        <v>0</v>
      </c>
      <c r="DL51" s="36">
        <f t="shared" si="65"/>
        <v>0</v>
      </c>
      <c r="DM51" s="36">
        <f t="shared" si="65"/>
        <v>0</v>
      </c>
    </row>
    <row r="52" spans="3:117" outlineLevel="1" x14ac:dyDescent="0.15">
      <c r="D52" s="5"/>
      <c r="J52" s="13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</row>
    <row r="53" spans="3:117" ht="20" x14ac:dyDescent="0.2">
      <c r="C53" s="4" t="s">
        <v>146</v>
      </c>
      <c r="D53" s="5"/>
      <c r="J53" s="139"/>
      <c r="K53" s="19"/>
      <c r="L53" s="19"/>
      <c r="M53" s="5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</row>
    <row r="54" spans="3:117" ht="14" x14ac:dyDescent="0.15">
      <c r="C54" s="2" t="s">
        <v>147</v>
      </c>
      <c r="D54" s="5"/>
      <c r="J54" s="13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</row>
    <row r="55" spans="3:117" x14ac:dyDescent="0.15">
      <c r="C55" t="s">
        <v>148</v>
      </c>
      <c r="D55" s="5" t="s">
        <v>131</v>
      </c>
      <c r="I55" s="35">
        <f t="shared" ref="I55" si="66">SUM(J55:DM55)</f>
        <v>233597000</v>
      </c>
      <c r="J55" s="139">
        <f>J51</f>
        <v>0</v>
      </c>
      <c r="K55" s="19">
        <f t="shared" ref="K55:BV55" si="67">K51</f>
        <v>0</v>
      </c>
      <c r="L55" s="19">
        <f t="shared" si="67"/>
        <v>0</v>
      </c>
      <c r="M55" s="19">
        <f t="shared" si="67"/>
        <v>0</v>
      </c>
      <c r="N55" s="19">
        <f>N51</f>
        <v>26103000</v>
      </c>
      <c r="O55" s="19">
        <f t="shared" si="67"/>
        <v>29059000</v>
      </c>
      <c r="P55" s="19">
        <f t="shared" si="67"/>
        <v>29713000</v>
      </c>
      <c r="Q55" s="19">
        <f t="shared" si="67"/>
        <v>29664000</v>
      </c>
      <c r="R55" s="19">
        <f t="shared" si="67"/>
        <v>29669000</v>
      </c>
      <c r="S55" s="19">
        <f t="shared" si="67"/>
        <v>15533999.999999998</v>
      </c>
      <c r="T55" s="19">
        <f t="shared" si="67"/>
        <v>16785000</v>
      </c>
      <c r="U55" s="19">
        <f t="shared" si="67"/>
        <v>18109000</v>
      </c>
      <c r="V55" s="19">
        <f t="shared" si="67"/>
        <v>15397999.999999998</v>
      </c>
      <c r="W55" s="19">
        <f t="shared" si="67"/>
        <v>15750000.000000002</v>
      </c>
      <c r="X55" s="19">
        <f t="shared" si="67"/>
        <v>7813000</v>
      </c>
      <c r="Y55" s="19">
        <f>Y51</f>
        <v>0</v>
      </c>
      <c r="Z55" s="19">
        <f t="shared" si="67"/>
        <v>0</v>
      </c>
      <c r="AA55" s="19">
        <f t="shared" si="67"/>
        <v>0</v>
      </c>
      <c r="AB55" s="19">
        <f t="shared" si="67"/>
        <v>0</v>
      </c>
      <c r="AC55" s="19">
        <f t="shared" si="67"/>
        <v>0</v>
      </c>
      <c r="AD55" s="19">
        <f t="shared" si="67"/>
        <v>0</v>
      </c>
      <c r="AE55" s="19">
        <f t="shared" si="67"/>
        <v>0</v>
      </c>
      <c r="AF55" s="19">
        <f t="shared" si="67"/>
        <v>0</v>
      </c>
      <c r="AG55" s="19">
        <f t="shared" si="67"/>
        <v>0</v>
      </c>
      <c r="AH55" s="19">
        <f t="shared" si="67"/>
        <v>0</v>
      </c>
      <c r="AI55" s="19">
        <f t="shared" si="67"/>
        <v>0</v>
      </c>
      <c r="AJ55" s="19">
        <f t="shared" si="67"/>
        <v>0</v>
      </c>
      <c r="AK55" s="19">
        <f t="shared" si="67"/>
        <v>0</v>
      </c>
      <c r="AL55" s="19">
        <f t="shared" si="67"/>
        <v>0</v>
      </c>
      <c r="AM55" s="19">
        <f t="shared" si="67"/>
        <v>0</v>
      </c>
      <c r="AN55" s="19">
        <f t="shared" si="67"/>
        <v>0</v>
      </c>
      <c r="AO55" s="19">
        <f t="shared" si="67"/>
        <v>0</v>
      </c>
      <c r="AP55" s="19">
        <f t="shared" si="67"/>
        <v>0</v>
      </c>
      <c r="AQ55" s="19">
        <f t="shared" si="67"/>
        <v>0</v>
      </c>
      <c r="AR55" s="19">
        <f t="shared" si="67"/>
        <v>0</v>
      </c>
      <c r="AS55" s="19">
        <f t="shared" si="67"/>
        <v>0</v>
      </c>
      <c r="AT55" s="19">
        <f t="shared" si="67"/>
        <v>0</v>
      </c>
      <c r="AU55" s="19">
        <f t="shared" si="67"/>
        <v>0</v>
      </c>
      <c r="AV55" s="19">
        <f t="shared" si="67"/>
        <v>0</v>
      </c>
      <c r="AW55" s="19">
        <f t="shared" si="67"/>
        <v>0</v>
      </c>
      <c r="AX55" s="19">
        <f t="shared" si="67"/>
        <v>0</v>
      </c>
      <c r="AY55" s="19">
        <f t="shared" si="67"/>
        <v>0</v>
      </c>
      <c r="AZ55" s="19">
        <f t="shared" si="67"/>
        <v>0</v>
      </c>
      <c r="BA55" s="19">
        <f t="shared" si="67"/>
        <v>0</v>
      </c>
      <c r="BB55" s="19">
        <f t="shared" si="67"/>
        <v>0</v>
      </c>
      <c r="BC55" s="19">
        <f t="shared" si="67"/>
        <v>0</v>
      </c>
      <c r="BD55" s="19">
        <f t="shared" si="67"/>
        <v>0</v>
      </c>
      <c r="BE55" s="19">
        <f t="shared" si="67"/>
        <v>0</v>
      </c>
      <c r="BF55" s="19">
        <f t="shared" si="67"/>
        <v>0</v>
      </c>
      <c r="BG55" s="19">
        <f t="shared" si="67"/>
        <v>0</v>
      </c>
      <c r="BH55" s="19">
        <f t="shared" si="67"/>
        <v>0</v>
      </c>
      <c r="BI55" s="19">
        <f t="shared" si="67"/>
        <v>0</v>
      </c>
      <c r="BJ55" s="19">
        <f t="shared" si="67"/>
        <v>0</v>
      </c>
      <c r="BK55" s="19">
        <f t="shared" si="67"/>
        <v>0</v>
      </c>
      <c r="BL55" s="19">
        <f t="shared" si="67"/>
        <v>0</v>
      </c>
      <c r="BM55" s="19">
        <f t="shared" si="67"/>
        <v>0</v>
      </c>
      <c r="BN55" s="19">
        <f t="shared" si="67"/>
        <v>0</v>
      </c>
      <c r="BO55" s="19">
        <f t="shared" si="67"/>
        <v>0</v>
      </c>
      <c r="BP55" s="19">
        <f t="shared" si="67"/>
        <v>0</v>
      </c>
      <c r="BQ55" s="19">
        <f t="shared" si="67"/>
        <v>0</v>
      </c>
      <c r="BR55" s="19">
        <f t="shared" si="67"/>
        <v>0</v>
      </c>
      <c r="BS55" s="19">
        <f t="shared" si="67"/>
        <v>0</v>
      </c>
      <c r="BT55" s="19">
        <f t="shared" si="67"/>
        <v>0</v>
      </c>
      <c r="BU55" s="19">
        <f t="shared" si="67"/>
        <v>0</v>
      </c>
      <c r="BV55" s="19">
        <f t="shared" si="67"/>
        <v>0</v>
      </c>
      <c r="BW55" s="19">
        <f t="shared" ref="BW55:DM55" si="68">BW51</f>
        <v>0</v>
      </c>
      <c r="BX55" s="19">
        <f t="shared" si="68"/>
        <v>0</v>
      </c>
      <c r="BY55" s="19">
        <f t="shared" si="68"/>
        <v>0</v>
      </c>
      <c r="BZ55" s="19">
        <f t="shared" si="68"/>
        <v>0</v>
      </c>
      <c r="CA55" s="19">
        <f t="shared" si="68"/>
        <v>0</v>
      </c>
      <c r="CB55" s="19">
        <f t="shared" si="68"/>
        <v>0</v>
      </c>
      <c r="CC55" s="19">
        <f t="shared" si="68"/>
        <v>0</v>
      </c>
      <c r="CD55" s="19">
        <f t="shared" si="68"/>
        <v>0</v>
      </c>
      <c r="CE55" s="19">
        <f t="shared" si="68"/>
        <v>0</v>
      </c>
      <c r="CF55" s="19">
        <f t="shared" si="68"/>
        <v>0</v>
      </c>
      <c r="CG55" s="19">
        <f t="shared" si="68"/>
        <v>0</v>
      </c>
      <c r="CH55" s="19">
        <f t="shared" si="68"/>
        <v>0</v>
      </c>
      <c r="CI55" s="19">
        <f t="shared" si="68"/>
        <v>0</v>
      </c>
      <c r="CJ55" s="19">
        <f t="shared" si="68"/>
        <v>0</v>
      </c>
      <c r="CK55" s="19">
        <f t="shared" si="68"/>
        <v>0</v>
      </c>
      <c r="CL55" s="19">
        <f t="shared" si="68"/>
        <v>0</v>
      </c>
      <c r="CM55" s="19">
        <f t="shared" si="68"/>
        <v>0</v>
      </c>
      <c r="CN55" s="19">
        <f t="shared" si="68"/>
        <v>0</v>
      </c>
      <c r="CO55" s="19">
        <f t="shared" si="68"/>
        <v>0</v>
      </c>
      <c r="CP55" s="19">
        <f t="shared" si="68"/>
        <v>0</v>
      </c>
      <c r="CQ55" s="19">
        <f t="shared" si="68"/>
        <v>0</v>
      </c>
      <c r="CR55" s="19">
        <f t="shared" si="68"/>
        <v>0</v>
      </c>
      <c r="CS55" s="19">
        <f t="shared" si="68"/>
        <v>0</v>
      </c>
      <c r="CT55" s="19">
        <f t="shared" si="68"/>
        <v>0</v>
      </c>
      <c r="CU55" s="19">
        <f t="shared" si="68"/>
        <v>0</v>
      </c>
      <c r="CV55" s="19">
        <f t="shared" si="68"/>
        <v>0</v>
      </c>
      <c r="CW55" s="19">
        <f t="shared" si="68"/>
        <v>0</v>
      </c>
      <c r="CX55" s="19">
        <f t="shared" si="68"/>
        <v>0</v>
      </c>
      <c r="CY55" s="19">
        <f t="shared" si="68"/>
        <v>0</v>
      </c>
      <c r="CZ55" s="19">
        <f t="shared" si="68"/>
        <v>0</v>
      </c>
      <c r="DA55" s="19">
        <f t="shared" si="68"/>
        <v>0</v>
      </c>
      <c r="DB55" s="19">
        <f t="shared" si="68"/>
        <v>0</v>
      </c>
      <c r="DC55" s="19">
        <f t="shared" si="68"/>
        <v>0</v>
      </c>
      <c r="DD55" s="19">
        <f t="shared" si="68"/>
        <v>0</v>
      </c>
      <c r="DE55" s="19">
        <f t="shared" si="68"/>
        <v>0</v>
      </c>
      <c r="DF55" s="19">
        <f t="shared" si="68"/>
        <v>0</v>
      </c>
      <c r="DG55" s="19">
        <f t="shared" si="68"/>
        <v>0</v>
      </c>
      <c r="DH55" s="19">
        <f t="shared" si="68"/>
        <v>0</v>
      </c>
      <c r="DI55" s="19">
        <f t="shared" si="68"/>
        <v>0</v>
      </c>
      <c r="DJ55" s="19">
        <f t="shared" si="68"/>
        <v>0</v>
      </c>
      <c r="DK55" s="19">
        <f t="shared" si="68"/>
        <v>0</v>
      </c>
      <c r="DL55" s="19">
        <f t="shared" si="68"/>
        <v>0</v>
      </c>
      <c r="DM55" s="19">
        <f t="shared" si="68"/>
        <v>0</v>
      </c>
    </row>
    <row r="56" spans="3:117" x14ac:dyDescent="0.15">
      <c r="D56" s="5"/>
      <c r="I56" s="35"/>
      <c r="J56" s="13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</row>
    <row r="57" spans="3:117" x14ac:dyDescent="0.15">
      <c r="D57" s="5"/>
      <c r="I57" s="35"/>
      <c r="J57" s="13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</row>
    <row r="58" spans="3:117" x14ac:dyDescent="0.15">
      <c r="C58" s="23"/>
      <c r="D58" s="5"/>
      <c r="I58" s="35"/>
      <c r="J58" s="13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</row>
    <row r="59" spans="3:117" x14ac:dyDescent="0.15">
      <c r="D59" s="5"/>
      <c r="J59" s="13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</row>
    <row r="60" spans="3:117" ht="20" x14ac:dyDescent="0.2">
      <c r="C60" s="4" t="s">
        <v>64</v>
      </c>
    </row>
    <row r="61" spans="3:117" ht="14" outlineLevel="1" x14ac:dyDescent="0.15">
      <c r="C61" s="2" t="s">
        <v>64</v>
      </c>
    </row>
    <row r="62" spans="3:117" outlineLevel="1" x14ac:dyDescent="0.15">
      <c r="C62" t="s">
        <v>142</v>
      </c>
      <c r="D62" s="5" t="s">
        <v>132</v>
      </c>
      <c r="E62" s="86">
        <v>81.5</v>
      </c>
      <c r="F62" s="85">
        <f>'Scenario Manager'!E13</f>
        <v>0</v>
      </c>
      <c r="G62" s="22">
        <v>81.5</v>
      </c>
      <c r="I62" s="35">
        <f>I64/I55</f>
        <v>81.5</v>
      </c>
      <c r="J62" s="163">
        <f t="shared" ref="J62:AO62" si="69">$E62*J$6</f>
        <v>0</v>
      </c>
      <c r="K62" s="14">
        <f t="shared" si="69"/>
        <v>0</v>
      </c>
      <c r="L62" s="14">
        <f t="shared" si="69"/>
        <v>0</v>
      </c>
      <c r="M62" s="14">
        <f t="shared" si="69"/>
        <v>0</v>
      </c>
      <c r="N62" s="14">
        <f t="shared" si="69"/>
        <v>81.5</v>
      </c>
      <c r="O62" s="14">
        <f t="shared" si="69"/>
        <v>81.5</v>
      </c>
      <c r="P62" s="14">
        <f t="shared" si="69"/>
        <v>81.5</v>
      </c>
      <c r="Q62" s="14">
        <f t="shared" si="69"/>
        <v>81.5</v>
      </c>
      <c r="R62" s="14">
        <f t="shared" si="69"/>
        <v>81.5</v>
      </c>
      <c r="S62" s="14">
        <f t="shared" si="69"/>
        <v>81.5</v>
      </c>
      <c r="T62" s="14">
        <f t="shared" si="69"/>
        <v>81.5</v>
      </c>
      <c r="U62" s="14">
        <f t="shared" si="69"/>
        <v>81.5</v>
      </c>
      <c r="V62" s="14">
        <f t="shared" si="69"/>
        <v>81.5</v>
      </c>
      <c r="W62" s="14">
        <f t="shared" si="69"/>
        <v>81.5</v>
      </c>
      <c r="X62" s="14">
        <f t="shared" si="69"/>
        <v>81.5</v>
      </c>
      <c r="Y62" s="14">
        <f t="shared" si="69"/>
        <v>0</v>
      </c>
      <c r="Z62" s="14">
        <f t="shared" si="69"/>
        <v>0</v>
      </c>
      <c r="AA62" s="14">
        <f t="shared" si="69"/>
        <v>0</v>
      </c>
      <c r="AB62" s="14">
        <f t="shared" si="69"/>
        <v>0</v>
      </c>
      <c r="AC62" s="14">
        <f t="shared" si="69"/>
        <v>0</v>
      </c>
      <c r="AD62" s="14">
        <f t="shared" si="69"/>
        <v>0</v>
      </c>
      <c r="AE62" s="14">
        <f t="shared" si="69"/>
        <v>0</v>
      </c>
      <c r="AF62" s="14">
        <f t="shared" si="69"/>
        <v>0</v>
      </c>
      <c r="AG62" s="14">
        <f t="shared" si="69"/>
        <v>0</v>
      </c>
      <c r="AH62" s="14">
        <f t="shared" si="69"/>
        <v>0</v>
      </c>
      <c r="AI62" s="14">
        <f t="shared" si="69"/>
        <v>0</v>
      </c>
      <c r="AJ62" s="14">
        <f t="shared" si="69"/>
        <v>0</v>
      </c>
      <c r="AK62" s="14">
        <f t="shared" si="69"/>
        <v>0</v>
      </c>
      <c r="AL62" s="14">
        <f t="shared" si="69"/>
        <v>0</v>
      </c>
      <c r="AM62" s="14">
        <f t="shared" si="69"/>
        <v>0</v>
      </c>
      <c r="AN62" s="14">
        <f t="shared" si="69"/>
        <v>0</v>
      </c>
      <c r="AO62" s="14">
        <f t="shared" si="69"/>
        <v>0</v>
      </c>
      <c r="AP62" s="14">
        <f t="shared" ref="AP62:BU62" si="70">$E62*AP$6</f>
        <v>0</v>
      </c>
      <c r="AQ62" s="14">
        <f t="shared" si="70"/>
        <v>0</v>
      </c>
      <c r="AR62" s="14">
        <f t="shared" si="70"/>
        <v>0</v>
      </c>
      <c r="AS62" s="14">
        <f t="shared" si="70"/>
        <v>0</v>
      </c>
      <c r="AT62" s="14">
        <f t="shared" si="70"/>
        <v>0</v>
      </c>
      <c r="AU62" s="14">
        <f t="shared" si="70"/>
        <v>0</v>
      </c>
      <c r="AV62" s="14">
        <f t="shared" si="70"/>
        <v>0</v>
      </c>
      <c r="AW62" s="14">
        <f t="shared" si="70"/>
        <v>0</v>
      </c>
      <c r="AX62" s="14">
        <f t="shared" si="70"/>
        <v>0</v>
      </c>
      <c r="AY62" s="14">
        <f t="shared" si="70"/>
        <v>0</v>
      </c>
      <c r="AZ62" s="14">
        <f t="shared" si="70"/>
        <v>0</v>
      </c>
      <c r="BA62" s="14">
        <f t="shared" si="70"/>
        <v>0</v>
      </c>
      <c r="BB62" s="14">
        <f t="shared" si="70"/>
        <v>0</v>
      </c>
      <c r="BC62" s="14">
        <f t="shared" si="70"/>
        <v>0</v>
      </c>
      <c r="BD62" s="14">
        <f t="shared" si="70"/>
        <v>0</v>
      </c>
      <c r="BE62" s="14">
        <f t="shared" si="70"/>
        <v>0</v>
      </c>
      <c r="BF62" s="14">
        <f t="shared" si="70"/>
        <v>0</v>
      </c>
      <c r="BG62" s="14">
        <f t="shared" si="70"/>
        <v>0</v>
      </c>
      <c r="BH62" s="14">
        <f t="shared" si="70"/>
        <v>0</v>
      </c>
      <c r="BI62" s="14">
        <f t="shared" si="70"/>
        <v>0</v>
      </c>
      <c r="BJ62" s="14">
        <f t="shared" si="70"/>
        <v>0</v>
      </c>
      <c r="BK62" s="14">
        <f t="shared" si="70"/>
        <v>0</v>
      </c>
      <c r="BL62" s="14">
        <f t="shared" si="70"/>
        <v>0</v>
      </c>
      <c r="BM62" s="14">
        <f t="shared" si="70"/>
        <v>0</v>
      </c>
      <c r="BN62" s="14">
        <f t="shared" si="70"/>
        <v>0</v>
      </c>
      <c r="BO62" s="14">
        <f t="shared" si="70"/>
        <v>0</v>
      </c>
      <c r="BP62" s="14">
        <f t="shared" si="70"/>
        <v>0</v>
      </c>
      <c r="BQ62" s="14">
        <f t="shared" si="70"/>
        <v>0</v>
      </c>
      <c r="BR62" s="14">
        <f t="shared" si="70"/>
        <v>0</v>
      </c>
      <c r="BS62" s="14">
        <f t="shared" si="70"/>
        <v>0</v>
      </c>
      <c r="BT62" s="14">
        <f t="shared" si="70"/>
        <v>0</v>
      </c>
      <c r="BU62" s="14">
        <f t="shared" si="70"/>
        <v>0</v>
      </c>
      <c r="BV62" s="14">
        <f t="shared" ref="BV62:DA62" si="71">$E62*BV$6</f>
        <v>0</v>
      </c>
      <c r="BW62" s="14">
        <f t="shared" si="71"/>
        <v>0</v>
      </c>
      <c r="BX62" s="14">
        <f t="shared" si="71"/>
        <v>0</v>
      </c>
      <c r="BY62" s="14">
        <f t="shared" si="71"/>
        <v>0</v>
      </c>
      <c r="BZ62" s="14">
        <f t="shared" si="71"/>
        <v>0</v>
      </c>
      <c r="CA62" s="14">
        <f t="shared" si="71"/>
        <v>0</v>
      </c>
      <c r="CB62" s="14">
        <f t="shared" si="71"/>
        <v>0</v>
      </c>
      <c r="CC62" s="14">
        <f t="shared" si="71"/>
        <v>0</v>
      </c>
      <c r="CD62" s="14">
        <f t="shared" si="71"/>
        <v>0</v>
      </c>
      <c r="CE62" s="14">
        <f t="shared" si="71"/>
        <v>0</v>
      </c>
      <c r="CF62" s="14">
        <f t="shared" si="71"/>
        <v>0</v>
      </c>
      <c r="CG62" s="14">
        <f t="shared" si="71"/>
        <v>0</v>
      </c>
      <c r="CH62" s="14">
        <f t="shared" si="71"/>
        <v>0</v>
      </c>
      <c r="CI62" s="14">
        <f t="shared" si="71"/>
        <v>0</v>
      </c>
      <c r="CJ62" s="14">
        <f t="shared" si="71"/>
        <v>0</v>
      </c>
      <c r="CK62" s="14">
        <f t="shared" si="71"/>
        <v>0</v>
      </c>
      <c r="CL62" s="14">
        <f t="shared" si="71"/>
        <v>0</v>
      </c>
      <c r="CM62" s="14">
        <f t="shared" si="71"/>
        <v>0</v>
      </c>
      <c r="CN62" s="14">
        <f t="shared" si="71"/>
        <v>0</v>
      </c>
      <c r="CO62" s="14">
        <f t="shared" si="71"/>
        <v>0</v>
      </c>
      <c r="CP62" s="14">
        <f t="shared" si="71"/>
        <v>0</v>
      </c>
      <c r="CQ62" s="14">
        <f t="shared" si="71"/>
        <v>0</v>
      </c>
      <c r="CR62" s="14">
        <f t="shared" si="71"/>
        <v>0</v>
      </c>
      <c r="CS62" s="14">
        <f t="shared" si="71"/>
        <v>0</v>
      </c>
      <c r="CT62" s="14">
        <f t="shared" si="71"/>
        <v>0</v>
      </c>
      <c r="CU62" s="14">
        <f t="shared" si="71"/>
        <v>0</v>
      </c>
      <c r="CV62" s="14">
        <f t="shared" si="71"/>
        <v>0</v>
      </c>
      <c r="CW62" s="14">
        <f t="shared" si="71"/>
        <v>0</v>
      </c>
      <c r="CX62" s="14">
        <f t="shared" si="71"/>
        <v>0</v>
      </c>
      <c r="CY62" s="14">
        <f t="shared" si="71"/>
        <v>0</v>
      </c>
      <c r="CZ62" s="14">
        <f t="shared" si="71"/>
        <v>0</v>
      </c>
      <c r="DA62" s="14">
        <f t="shared" si="71"/>
        <v>0</v>
      </c>
      <c r="DB62" s="14">
        <f t="shared" ref="DB62:DM62" si="72">$E62*DB$6</f>
        <v>0</v>
      </c>
      <c r="DC62" s="14">
        <f t="shared" si="72"/>
        <v>0</v>
      </c>
      <c r="DD62" s="14">
        <f t="shared" si="72"/>
        <v>0</v>
      </c>
      <c r="DE62" s="14">
        <f t="shared" si="72"/>
        <v>0</v>
      </c>
      <c r="DF62" s="14">
        <f t="shared" si="72"/>
        <v>0</v>
      </c>
      <c r="DG62" s="14">
        <f t="shared" si="72"/>
        <v>0</v>
      </c>
      <c r="DH62" s="14">
        <f t="shared" si="72"/>
        <v>0</v>
      </c>
      <c r="DI62" s="14">
        <f t="shared" si="72"/>
        <v>0</v>
      </c>
      <c r="DJ62" s="14">
        <f t="shared" si="72"/>
        <v>0</v>
      </c>
      <c r="DK62" s="14">
        <f t="shared" si="72"/>
        <v>0</v>
      </c>
      <c r="DL62" s="14">
        <f t="shared" si="72"/>
        <v>0</v>
      </c>
      <c r="DM62" s="14">
        <f t="shared" si="72"/>
        <v>0</v>
      </c>
    </row>
    <row r="63" spans="3:117" outlineLevel="1" x14ac:dyDescent="0.15">
      <c r="D63" s="5"/>
    </row>
    <row r="64" spans="3:117" outlineLevel="1" x14ac:dyDescent="0.15">
      <c r="C64" t="s">
        <v>149</v>
      </c>
      <c r="D64" s="5" t="s">
        <v>0</v>
      </c>
      <c r="I64" s="35">
        <f t="shared" ref="I64:I65" si="73">SUM(J64:DM64)</f>
        <v>19038155500</v>
      </c>
      <c r="J64" s="139">
        <f>J62*J55</f>
        <v>0</v>
      </c>
      <c r="K64" s="19">
        <f t="shared" ref="K64:BV64" si="74">K62*K55</f>
        <v>0</v>
      </c>
      <c r="L64" s="19">
        <f t="shared" si="74"/>
        <v>0</v>
      </c>
      <c r="M64" s="19">
        <f t="shared" si="74"/>
        <v>0</v>
      </c>
      <c r="N64" s="19">
        <f t="shared" si="74"/>
        <v>2127394500</v>
      </c>
      <c r="O64" s="19">
        <f t="shared" si="74"/>
        <v>2368308500</v>
      </c>
      <c r="P64" s="19">
        <f t="shared" si="74"/>
        <v>2421609500</v>
      </c>
      <c r="Q64" s="19">
        <f t="shared" si="74"/>
        <v>2417616000</v>
      </c>
      <c r="R64" s="19">
        <f t="shared" si="74"/>
        <v>2418023500</v>
      </c>
      <c r="S64" s="19">
        <f t="shared" si="74"/>
        <v>1266020999.9999998</v>
      </c>
      <c r="T64" s="19">
        <f t="shared" si="74"/>
        <v>1367977500</v>
      </c>
      <c r="U64" s="19">
        <f t="shared" si="74"/>
        <v>1475883500</v>
      </c>
      <c r="V64" s="19">
        <f t="shared" si="74"/>
        <v>1254936999.9999998</v>
      </c>
      <c r="W64" s="19">
        <f t="shared" si="74"/>
        <v>1283625000.0000002</v>
      </c>
      <c r="X64" s="19">
        <f t="shared" si="74"/>
        <v>636759500</v>
      </c>
      <c r="Y64" s="19">
        <f t="shared" si="74"/>
        <v>0</v>
      </c>
      <c r="Z64" s="19">
        <f t="shared" si="74"/>
        <v>0</v>
      </c>
      <c r="AA64" s="19">
        <f t="shared" si="74"/>
        <v>0</v>
      </c>
      <c r="AB64" s="19">
        <f t="shared" si="74"/>
        <v>0</v>
      </c>
      <c r="AC64" s="19">
        <f t="shared" si="74"/>
        <v>0</v>
      </c>
      <c r="AD64" s="19">
        <f t="shared" si="74"/>
        <v>0</v>
      </c>
      <c r="AE64" s="19">
        <f t="shared" si="74"/>
        <v>0</v>
      </c>
      <c r="AF64" s="19">
        <f t="shared" si="74"/>
        <v>0</v>
      </c>
      <c r="AG64" s="19">
        <f t="shared" si="74"/>
        <v>0</v>
      </c>
      <c r="AH64" s="19">
        <f t="shared" si="74"/>
        <v>0</v>
      </c>
      <c r="AI64" s="19">
        <f t="shared" si="74"/>
        <v>0</v>
      </c>
      <c r="AJ64" s="19">
        <f t="shared" si="74"/>
        <v>0</v>
      </c>
      <c r="AK64" s="19">
        <f t="shared" si="74"/>
        <v>0</v>
      </c>
      <c r="AL64" s="19">
        <f t="shared" si="74"/>
        <v>0</v>
      </c>
      <c r="AM64" s="19">
        <f t="shared" si="74"/>
        <v>0</v>
      </c>
      <c r="AN64" s="19">
        <f t="shared" si="74"/>
        <v>0</v>
      </c>
      <c r="AO64" s="19">
        <f t="shared" si="74"/>
        <v>0</v>
      </c>
      <c r="AP64" s="19">
        <f t="shared" si="74"/>
        <v>0</v>
      </c>
      <c r="AQ64" s="19">
        <f t="shared" si="74"/>
        <v>0</v>
      </c>
      <c r="AR64" s="19">
        <f t="shared" si="74"/>
        <v>0</v>
      </c>
      <c r="AS64" s="19">
        <f t="shared" si="74"/>
        <v>0</v>
      </c>
      <c r="AT64" s="19">
        <f t="shared" si="74"/>
        <v>0</v>
      </c>
      <c r="AU64" s="19">
        <f t="shared" si="74"/>
        <v>0</v>
      </c>
      <c r="AV64" s="19">
        <f t="shared" si="74"/>
        <v>0</v>
      </c>
      <c r="AW64" s="19">
        <f t="shared" si="74"/>
        <v>0</v>
      </c>
      <c r="AX64" s="19">
        <f t="shared" si="74"/>
        <v>0</v>
      </c>
      <c r="AY64" s="19">
        <f t="shared" si="74"/>
        <v>0</v>
      </c>
      <c r="AZ64" s="19">
        <f t="shared" si="74"/>
        <v>0</v>
      </c>
      <c r="BA64" s="19">
        <f t="shared" si="74"/>
        <v>0</v>
      </c>
      <c r="BB64" s="19">
        <f t="shared" si="74"/>
        <v>0</v>
      </c>
      <c r="BC64" s="19">
        <f t="shared" si="74"/>
        <v>0</v>
      </c>
      <c r="BD64" s="19">
        <f t="shared" si="74"/>
        <v>0</v>
      </c>
      <c r="BE64" s="19">
        <f t="shared" si="74"/>
        <v>0</v>
      </c>
      <c r="BF64" s="19">
        <f t="shared" si="74"/>
        <v>0</v>
      </c>
      <c r="BG64" s="19">
        <f t="shared" si="74"/>
        <v>0</v>
      </c>
      <c r="BH64" s="19">
        <f t="shared" si="74"/>
        <v>0</v>
      </c>
      <c r="BI64" s="19">
        <f t="shared" si="74"/>
        <v>0</v>
      </c>
      <c r="BJ64" s="19">
        <f t="shared" si="74"/>
        <v>0</v>
      </c>
      <c r="BK64" s="19">
        <f t="shared" si="74"/>
        <v>0</v>
      </c>
      <c r="BL64" s="19">
        <f t="shared" si="74"/>
        <v>0</v>
      </c>
      <c r="BM64" s="19">
        <f t="shared" si="74"/>
        <v>0</v>
      </c>
      <c r="BN64" s="19">
        <f t="shared" si="74"/>
        <v>0</v>
      </c>
      <c r="BO64" s="19">
        <f t="shared" si="74"/>
        <v>0</v>
      </c>
      <c r="BP64" s="19">
        <f t="shared" si="74"/>
        <v>0</v>
      </c>
      <c r="BQ64" s="19">
        <f t="shared" si="74"/>
        <v>0</v>
      </c>
      <c r="BR64" s="19">
        <f t="shared" si="74"/>
        <v>0</v>
      </c>
      <c r="BS64" s="19">
        <f t="shared" si="74"/>
        <v>0</v>
      </c>
      <c r="BT64" s="19">
        <f t="shared" si="74"/>
        <v>0</v>
      </c>
      <c r="BU64" s="19">
        <f t="shared" si="74"/>
        <v>0</v>
      </c>
      <c r="BV64" s="19">
        <f t="shared" si="74"/>
        <v>0</v>
      </c>
      <c r="BW64" s="19">
        <f t="shared" ref="BW64:DM64" si="75">BW62*BW55</f>
        <v>0</v>
      </c>
      <c r="BX64" s="19">
        <f t="shared" si="75"/>
        <v>0</v>
      </c>
      <c r="BY64" s="19">
        <f t="shared" si="75"/>
        <v>0</v>
      </c>
      <c r="BZ64" s="19">
        <f t="shared" si="75"/>
        <v>0</v>
      </c>
      <c r="CA64" s="19">
        <f t="shared" si="75"/>
        <v>0</v>
      </c>
      <c r="CB64" s="19">
        <f t="shared" si="75"/>
        <v>0</v>
      </c>
      <c r="CC64" s="19">
        <f t="shared" si="75"/>
        <v>0</v>
      </c>
      <c r="CD64" s="19">
        <f t="shared" si="75"/>
        <v>0</v>
      </c>
      <c r="CE64" s="19">
        <f t="shared" si="75"/>
        <v>0</v>
      </c>
      <c r="CF64" s="19">
        <f t="shared" si="75"/>
        <v>0</v>
      </c>
      <c r="CG64" s="19">
        <f t="shared" si="75"/>
        <v>0</v>
      </c>
      <c r="CH64" s="19">
        <f t="shared" si="75"/>
        <v>0</v>
      </c>
      <c r="CI64" s="19">
        <f t="shared" si="75"/>
        <v>0</v>
      </c>
      <c r="CJ64" s="19">
        <f t="shared" si="75"/>
        <v>0</v>
      </c>
      <c r="CK64" s="19">
        <f t="shared" si="75"/>
        <v>0</v>
      </c>
      <c r="CL64" s="19">
        <f t="shared" si="75"/>
        <v>0</v>
      </c>
      <c r="CM64" s="19">
        <f t="shared" si="75"/>
        <v>0</v>
      </c>
      <c r="CN64" s="19">
        <f t="shared" si="75"/>
        <v>0</v>
      </c>
      <c r="CO64" s="19">
        <f t="shared" si="75"/>
        <v>0</v>
      </c>
      <c r="CP64" s="19">
        <f t="shared" si="75"/>
        <v>0</v>
      </c>
      <c r="CQ64" s="19">
        <f t="shared" si="75"/>
        <v>0</v>
      </c>
      <c r="CR64" s="19">
        <f t="shared" si="75"/>
        <v>0</v>
      </c>
      <c r="CS64" s="19">
        <f t="shared" si="75"/>
        <v>0</v>
      </c>
      <c r="CT64" s="19">
        <f t="shared" si="75"/>
        <v>0</v>
      </c>
      <c r="CU64" s="19">
        <f t="shared" si="75"/>
        <v>0</v>
      </c>
      <c r="CV64" s="19">
        <f t="shared" si="75"/>
        <v>0</v>
      </c>
      <c r="CW64" s="19">
        <f t="shared" si="75"/>
        <v>0</v>
      </c>
      <c r="CX64" s="19">
        <f t="shared" si="75"/>
        <v>0</v>
      </c>
      <c r="CY64" s="19">
        <f t="shared" si="75"/>
        <v>0</v>
      </c>
      <c r="CZ64" s="19">
        <f t="shared" si="75"/>
        <v>0</v>
      </c>
      <c r="DA64" s="19">
        <f t="shared" si="75"/>
        <v>0</v>
      </c>
      <c r="DB64" s="19">
        <f t="shared" si="75"/>
        <v>0</v>
      </c>
      <c r="DC64" s="19">
        <f t="shared" si="75"/>
        <v>0</v>
      </c>
      <c r="DD64" s="19">
        <f t="shared" si="75"/>
        <v>0</v>
      </c>
      <c r="DE64" s="19">
        <f t="shared" si="75"/>
        <v>0</v>
      </c>
      <c r="DF64" s="19">
        <f t="shared" si="75"/>
        <v>0</v>
      </c>
      <c r="DG64" s="19">
        <f t="shared" si="75"/>
        <v>0</v>
      </c>
      <c r="DH64" s="19">
        <f t="shared" si="75"/>
        <v>0</v>
      </c>
      <c r="DI64" s="19">
        <f t="shared" si="75"/>
        <v>0</v>
      </c>
      <c r="DJ64" s="19">
        <f t="shared" si="75"/>
        <v>0</v>
      </c>
      <c r="DK64" s="19">
        <f t="shared" si="75"/>
        <v>0</v>
      </c>
      <c r="DL64" s="19">
        <f t="shared" si="75"/>
        <v>0</v>
      </c>
      <c r="DM64" s="19">
        <f t="shared" si="75"/>
        <v>0</v>
      </c>
    </row>
    <row r="65" spans="1:117" outlineLevel="1" x14ac:dyDescent="0.15">
      <c r="C65" t="s">
        <v>88</v>
      </c>
      <c r="D65" s="5" t="s">
        <v>167</v>
      </c>
      <c r="I65" s="35">
        <f t="shared" si="73"/>
        <v>25384207333.333332</v>
      </c>
      <c r="J65" s="162">
        <f t="shared" ref="J65:AO65" si="76">J64/J9</f>
        <v>0</v>
      </c>
      <c r="K65" s="36">
        <f t="shared" si="76"/>
        <v>0</v>
      </c>
      <c r="L65" s="36">
        <f t="shared" si="76"/>
        <v>0</v>
      </c>
      <c r="M65" s="36">
        <f t="shared" si="76"/>
        <v>0</v>
      </c>
      <c r="N65" s="36">
        <f t="shared" si="76"/>
        <v>2836526000</v>
      </c>
      <c r="O65" s="36">
        <f t="shared" si="76"/>
        <v>3157744666.6666665</v>
      </c>
      <c r="P65" s="36">
        <f t="shared" si="76"/>
        <v>3228812666.6666665</v>
      </c>
      <c r="Q65" s="36">
        <f t="shared" si="76"/>
        <v>3223488000</v>
      </c>
      <c r="R65" s="36">
        <f t="shared" si="76"/>
        <v>3224031333.3333335</v>
      </c>
      <c r="S65" s="36">
        <f t="shared" si="76"/>
        <v>1688027999.9999998</v>
      </c>
      <c r="T65" s="36">
        <f t="shared" si="76"/>
        <v>1823970000</v>
      </c>
      <c r="U65" s="36">
        <f t="shared" si="76"/>
        <v>1967844666.6666667</v>
      </c>
      <c r="V65" s="36">
        <f t="shared" si="76"/>
        <v>1673249333.333333</v>
      </c>
      <c r="W65" s="36">
        <f t="shared" si="76"/>
        <v>1711500000.0000002</v>
      </c>
      <c r="X65" s="36">
        <f t="shared" si="76"/>
        <v>849012666.66666663</v>
      </c>
      <c r="Y65" s="36">
        <f t="shared" si="76"/>
        <v>0</v>
      </c>
      <c r="Z65" s="36">
        <f t="shared" si="76"/>
        <v>0</v>
      </c>
      <c r="AA65" s="36">
        <f t="shared" si="76"/>
        <v>0</v>
      </c>
      <c r="AB65" s="36">
        <f t="shared" si="76"/>
        <v>0</v>
      </c>
      <c r="AC65" s="36">
        <f t="shared" si="76"/>
        <v>0</v>
      </c>
      <c r="AD65" s="36">
        <f t="shared" si="76"/>
        <v>0</v>
      </c>
      <c r="AE65" s="36">
        <f t="shared" si="76"/>
        <v>0</v>
      </c>
      <c r="AF65" s="36">
        <f t="shared" si="76"/>
        <v>0</v>
      </c>
      <c r="AG65" s="36">
        <f t="shared" si="76"/>
        <v>0</v>
      </c>
      <c r="AH65" s="36">
        <f t="shared" si="76"/>
        <v>0</v>
      </c>
      <c r="AI65" s="36">
        <f t="shared" si="76"/>
        <v>0</v>
      </c>
      <c r="AJ65" s="36">
        <f t="shared" si="76"/>
        <v>0</v>
      </c>
      <c r="AK65" s="36">
        <f t="shared" si="76"/>
        <v>0</v>
      </c>
      <c r="AL65" s="36">
        <f t="shared" si="76"/>
        <v>0</v>
      </c>
      <c r="AM65" s="36">
        <f t="shared" si="76"/>
        <v>0</v>
      </c>
      <c r="AN65" s="36">
        <f t="shared" si="76"/>
        <v>0</v>
      </c>
      <c r="AO65" s="36">
        <f t="shared" si="76"/>
        <v>0</v>
      </c>
      <c r="AP65" s="36">
        <f t="shared" ref="AP65:BU65" si="77">AP64/AP9</f>
        <v>0</v>
      </c>
      <c r="AQ65" s="36">
        <f t="shared" si="77"/>
        <v>0</v>
      </c>
      <c r="AR65" s="36">
        <f t="shared" si="77"/>
        <v>0</v>
      </c>
      <c r="AS65" s="36">
        <f t="shared" si="77"/>
        <v>0</v>
      </c>
      <c r="AT65" s="36">
        <f t="shared" si="77"/>
        <v>0</v>
      </c>
      <c r="AU65" s="36">
        <f t="shared" si="77"/>
        <v>0</v>
      </c>
      <c r="AV65" s="36">
        <f t="shared" si="77"/>
        <v>0</v>
      </c>
      <c r="AW65" s="36">
        <f t="shared" si="77"/>
        <v>0</v>
      </c>
      <c r="AX65" s="36">
        <f t="shared" si="77"/>
        <v>0</v>
      </c>
      <c r="AY65" s="36">
        <f t="shared" si="77"/>
        <v>0</v>
      </c>
      <c r="AZ65" s="36">
        <f t="shared" si="77"/>
        <v>0</v>
      </c>
      <c r="BA65" s="36">
        <f t="shared" si="77"/>
        <v>0</v>
      </c>
      <c r="BB65" s="36">
        <f t="shared" si="77"/>
        <v>0</v>
      </c>
      <c r="BC65" s="36">
        <f t="shared" si="77"/>
        <v>0</v>
      </c>
      <c r="BD65" s="36">
        <f t="shared" si="77"/>
        <v>0</v>
      </c>
      <c r="BE65" s="36">
        <f t="shared" si="77"/>
        <v>0</v>
      </c>
      <c r="BF65" s="36">
        <f t="shared" si="77"/>
        <v>0</v>
      </c>
      <c r="BG65" s="36">
        <f t="shared" si="77"/>
        <v>0</v>
      </c>
      <c r="BH65" s="36">
        <f t="shared" si="77"/>
        <v>0</v>
      </c>
      <c r="BI65" s="36">
        <f t="shared" si="77"/>
        <v>0</v>
      </c>
      <c r="BJ65" s="36">
        <f t="shared" si="77"/>
        <v>0</v>
      </c>
      <c r="BK65" s="36">
        <f t="shared" si="77"/>
        <v>0</v>
      </c>
      <c r="BL65" s="36">
        <f t="shared" si="77"/>
        <v>0</v>
      </c>
      <c r="BM65" s="36">
        <f t="shared" si="77"/>
        <v>0</v>
      </c>
      <c r="BN65" s="36">
        <f t="shared" si="77"/>
        <v>0</v>
      </c>
      <c r="BO65" s="36">
        <f t="shared" si="77"/>
        <v>0</v>
      </c>
      <c r="BP65" s="36">
        <f t="shared" si="77"/>
        <v>0</v>
      </c>
      <c r="BQ65" s="36">
        <f t="shared" si="77"/>
        <v>0</v>
      </c>
      <c r="BR65" s="36">
        <f t="shared" si="77"/>
        <v>0</v>
      </c>
      <c r="BS65" s="36">
        <f t="shared" si="77"/>
        <v>0</v>
      </c>
      <c r="BT65" s="36">
        <f t="shared" si="77"/>
        <v>0</v>
      </c>
      <c r="BU65" s="36">
        <f t="shared" si="77"/>
        <v>0</v>
      </c>
      <c r="BV65" s="36">
        <f t="shared" ref="BV65:DA65" si="78">BV64/BV9</f>
        <v>0</v>
      </c>
      <c r="BW65" s="36">
        <f t="shared" si="78"/>
        <v>0</v>
      </c>
      <c r="BX65" s="36">
        <f t="shared" si="78"/>
        <v>0</v>
      </c>
      <c r="BY65" s="36">
        <f t="shared" si="78"/>
        <v>0</v>
      </c>
      <c r="BZ65" s="36">
        <f t="shared" si="78"/>
        <v>0</v>
      </c>
      <c r="CA65" s="36">
        <f t="shared" si="78"/>
        <v>0</v>
      </c>
      <c r="CB65" s="36">
        <f t="shared" si="78"/>
        <v>0</v>
      </c>
      <c r="CC65" s="36">
        <f t="shared" si="78"/>
        <v>0</v>
      </c>
      <c r="CD65" s="36">
        <f t="shared" si="78"/>
        <v>0</v>
      </c>
      <c r="CE65" s="36">
        <f t="shared" si="78"/>
        <v>0</v>
      </c>
      <c r="CF65" s="36">
        <f t="shared" si="78"/>
        <v>0</v>
      </c>
      <c r="CG65" s="36">
        <f t="shared" si="78"/>
        <v>0</v>
      </c>
      <c r="CH65" s="36">
        <f t="shared" si="78"/>
        <v>0</v>
      </c>
      <c r="CI65" s="36">
        <f t="shared" si="78"/>
        <v>0</v>
      </c>
      <c r="CJ65" s="36">
        <f t="shared" si="78"/>
        <v>0</v>
      </c>
      <c r="CK65" s="36">
        <f t="shared" si="78"/>
        <v>0</v>
      </c>
      <c r="CL65" s="36">
        <f t="shared" si="78"/>
        <v>0</v>
      </c>
      <c r="CM65" s="36">
        <f t="shared" si="78"/>
        <v>0</v>
      </c>
      <c r="CN65" s="36">
        <f t="shared" si="78"/>
        <v>0</v>
      </c>
      <c r="CO65" s="36">
        <f t="shared" si="78"/>
        <v>0</v>
      </c>
      <c r="CP65" s="36">
        <f t="shared" si="78"/>
        <v>0</v>
      </c>
      <c r="CQ65" s="36">
        <f t="shared" si="78"/>
        <v>0</v>
      </c>
      <c r="CR65" s="36">
        <f t="shared" si="78"/>
        <v>0</v>
      </c>
      <c r="CS65" s="36">
        <f t="shared" si="78"/>
        <v>0</v>
      </c>
      <c r="CT65" s="36">
        <f t="shared" si="78"/>
        <v>0</v>
      </c>
      <c r="CU65" s="36">
        <f t="shared" si="78"/>
        <v>0</v>
      </c>
      <c r="CV65" s="36">
        <f t="shared" si="78"/>
        <v>0</v>
      </c>
      <c r="CW65" s="36">
        <f t="shared" si="78"/>
        <v>0</v>
      </c>
      <c r="CX65" s="36">
        <f t="shared" si="78"/>
        <v>0</v>
      </c>
      <c r="CY65" s="36">
        <f t="shared" si="78"/>
        <v>0</v>
      </c>
      <c r="CZ65" s="36">
        <f t="shared" si="78"/>
        <v>0</v>
      </c>
      <c r="DA65" s="36">
        <f t="shared" si="78"/>
        <v>0</v>
      </c>
      <c r="DB65" s="36">
        <f t="shared" ref="DB65:DM65" si="79">DB64/DB9</f>
        <v>0</v>
      </c>
      <c r="DC65" s="36">
        <f t="shared" si="79"/>
        <v>0</v>
      </c>
      <c r="DD65" s="36">
        <f t="shared" si="79"/>
        <v>0</v>
      </c>
      <c r="DE65" s="36">
        <f t="shared" si="79"/>
        <v>0</v>
      </c>
      <c r="DF65" s="36">
        <f t="shared" si="79"/>
        <v>0</v>
      </c>
      <c r="DG65" s="36">
        <f t="shared" si="79"/>
        <v>0</v>
      </c>
      <c r="DH65" s="36">
        <f t="shared" si="79"/>
        <v>0</v>
      </c>
      <c r="DI65" s="36">
        <f t="shared" si="79"/>
        <v>0</v>
      </c>
      <c r="DJ65" s="36">
        <f t="shared" si="79"/>
        <v>0</v>
      </c>
      <c r="DK65" s="36">
        <f t="shared" si="79"/>
        <v>0</v>
      </c>
      <c r="DL65" s="36">
        <f t="shared" si="79"/>
        <v>0</v>
      </c>
      <c r="DM65" s="36">
        <f t="shared" si="79"/>
        <v>0</v>
      </c>
    </row>
    <row r="66" spans="1:117" outlineLevel="1" x14ac:dyDescent="0.15">
      <c r="D66" s="5"/>
    </row>
    <row r="67" spans="1:117" ht="14" outlineLevel="1" x14ac:dyDescent="0.15">
      <c r="C67" s="2" t="s">
        <v>89</v>
      </c>
      <c r="D67" s="5"/>
    </row>
    <row r="68" spans="1:117" outlineLevel="1" x14ac:dyDescent="0.15">
      <c r="C68" t="s">
        <v>150</v>
      </c>
      <c r="D68" s="5" t="s">
        <v>167</v>
      </c>
      <c r="I68" s="35">
        <f t="shared" ref="I68:I69" si="80">SUM(J68:DM68)</f>
        <v>25384207333.333332</v>
      </c>
      <c r="J68" s="150">
        <f t="shared" ref="J68:AO68" si="81">J65</f>
        <v>0</v>
      </c>
      <c r="K68" s="37">
        <f t="shared" si="81"/>
        <v>0</v>
      </c>
      <c r="L68" s="37">
        <f t="shared" si="81"/>
        <v>0</v>
      </c>
      <c r="M68" s="37">
        <f t="shared" si="81"/>
        <v>0</v>
      </c>
      <c r="N68" s="37">
        <f>N65</f>
        <v>2836526000</v>
      </c>
      <c r="O68" s="37">
        <f t="shared" si="81"/>
        <v>3157744666.6666665</v>
      </c>
      <c r="P68" s="37">
        <f t="shared" si="81"/>
        <v>3228812666.6666665</v>
      </c>
      <c r="Q68" s="37">
        <f t="shared" si="81"/>
        <v>3223488000</v>
      </c>
      <c r="R68" s="37">
        <f t="shared" si="81"/>
        <v>3224031333.3333335</v>
      </c>
      <c r="S68" s="37">
        <f t="shared" si="81"/>
        <v>1688027999.9999998</v>
      </c>
      <c r="T68" s="37">
        <f t="shared" si="81"/>
        <v>1823970000</v>
      </c>
      <c r="U68" s="37">
        <f t="shared" si="81"/>
        <v>1967844666.6666667</v>
      </c>
      <c r="V68" s="37">
        <f t="shared" si="81"/>
        <v>1673249333.333333</v>
      </c>
      <c r="W68" s="37">
        <f t="shared" si="81"/>
        <v>1711500000.0000002</v>
      </c>
      <c r="X68" s="37">
        <f t="shared" si="81"/>
        <v>849012666.66666663</v>
      </c>
      <c r="Y68" s="37">
        <f t="shared" si="81"/>
        <v>0</v>
      </c>
      <c r="Z68" s="37">
        <f t="shared" si="81"/>
        <v>0</v>
      </c>
      <c r="AA68" s="37">
        <f t="shared" si="81"/>
        <v>0</v>
      </c>
      <c r="AB68" s="37">
        <f t="shared" si="81"/>
        <v>0</v>
      </c>
      <c r="AC68" s="37">
        <f t="shared" si="81"/>
        <v>0</v>
      </c>
      <c r="AD68" s="37">
        <f t="shared" si="81"/>
        <v>0</v>
      </c>
      <c r="AE68" s="37">
        <f t="shared" si="81"/>
        <v>0</v>
      </c>
      <c r="AF68" s="37">
        <f t="shared" si="81"/>
        <v>0</v>
      </c>
      <c r="AG68" s="37">
        <f t="shared" si="81"/>
        <v>0</v>
      </c>
      <c r="AH68" s="37">
        <f t="shared" si="81"/>
        <v>0</v>
      </c>
      <c r="AI68" s="37">
        <f t="shared" si="81"/>
        <v>0</v>
      </c>
      <c r="AJ68" s="37">
        <f t="shared" si="81"/>
        <v>0</v>
      </c>
      <c r="AK68" s="37">
        <f t="shared" si="81"/>
        <v>0</v>
      </c>
      <c r="AL68" s="37">
        <f t="shared" si="81"/>
        <v>0</v>
      </c>
      <c r="AM68" s="37">
        <f t="shared" si="81"/>
        <v>0</v>
      </c>
      <c r="AN68" s="37">
        <f t="shared" si="81"/>
        <v>0</v>
      </c>
      <c r="AO68" s="37">
        <f t="shared" si="81"/>
        <v>0</v>
      </c>
      <c r="AP68" s="37">
        <f t="shared" ref="AP68:BU68" si="82">AP65</f>
        <v>0</v>
      </c>
      <c r="AQ68" s="37">
        <f t="shared" si="82"/>
        <v>0</v>
      </c>
      <c r="AR68" s="37">
        <f t="shared" si="82"/>
        <v>0</v>
      </c>
      <c r="AS68" s="37">
        <f t="shared" si="82"/>
        <v>0</v>
      </c>
      <c r="AT68" s="37">
        <f t="shared" si="82"/>
        <v>0</v>
      </c>
      <c r="AU68" s="37">
        <f t="shared" si="82"/>
        <v>0</v>
      </c>
      <c r="AV68" s="37">
        <f t="shared" si="82"/>
        <v>0</v>
      </c>
      <c r="AW68" s="37">
        <f t="shared" si="82"/>
        <v>0</v>
      </c>
      <c r="AX68" s="37">
        <f t="shared" si="82"/>
        <v>0</v>
      </c>
      <c r="AY68" s="37">
        <f t="shared" si="82"/>
        <v>0</v>
      </c>
      <c r="AZ68" s="37">
        <f t="shared" si="82"/>
        <v>0</v>
      </c>
      <c r="BA68" s="37">
        <f t="shared" si="82"/>
        <v>0</v>
      </c>
      <c r="BB68" s="37">
        <f t="shared" si="82"/>
        <v>0</v>
      </c>
      <c r="BC68" s="37">
        <f t="shared" si="82"/>
        <v>0</v>
      </c>
      <c r="BD68" s="37">
        <f t="shared" si="82"/>
        <v>0</v>
      </c>
      <c r="BE68" s="37">
        <f t="shared" si="82"/>
        <v>0</v>
      </c>
      <c r="BF68" s="37">
        <f t="shared" si="82"/>
        <v>0</v>
      </c>
      <c r="BG68" s="37">
        <f t="shared" si="82"/>
        <v>0</v>
      </c>
      <c r="BH68" s="37">
        <f t="shared" si="82"/>
        <v>0</v>
      </c>
      <c r="BI68" s="37">
        <f t="shared" si="82"/>
        <v>0</v>
      </c>
      <c r="BJ68" s="37">
        <f t="shared" si="82"/>
        <v>0</v>
      </c>
      <c r="BK68" s="37">
        <f t="shared" si="82"/>
        <v>0</v>
      </c>
      <c r="BL68" s="37">
        <f t="shared" si="82"/>
        <v>0</v>
      </c>
      <c r="BM68" s="37">
        <f t="shared" si="82"/>
        <v>0</v>
      </c>
      <c r="BN68" s="37">
        <f t="shared" si="82"/>
        <v>0</v>
      </c>
      <c r="BO68" s="37">
        <f t="shared" si="82"/>
        <v>0</v>
      </c>
      <c r="BP68" s="37">
        <f t="shared" si="82"/>
        <v>0</v>
      </c>
      <c r="BQ68" s="37">
        <f t="shared" si="82"/>
        <v>0</v>
      </c>
      <c r="BR68" s="37">
        <f t="shared" si="82"/>
        <v>0</v>
      </c>
      <c r="BS68" s="37">
        <f t="shared" si="82"/>
        <v>0</v>
      </c>
      <c r="BT68" s="37">
        <f t="shared" si="82"/>
        <v>0</v>
      </c>
      <c r="BU68" s="37">
        <f t="shared" si="82"/>
        <v>0</v>
      </c>
      <c r="BV68" s="37">
        <f t="shared" ref="BV68:DA68" si="83">BV65</f>
        <v>0</v>
      </c>
      <c r="BW68" s="37">
        <f t="shared" si="83"/>
        <v>0</v>
      </c>
      <c r="BX68" s="37">
        <f t="shared" si="83"/>
        <v>0</v>
      </c>
      <c r="BY68" s="37">
        <f t="shared" si="83"/>
        <v>0</v>
      </c>
      <c r="BZ68" s="37">
        <f t="shared" si="83"/>
        <v>0</v>
      </c>
      <c r="CA68" s="37">
        <f t="shared" si="83"/>
        <v>0</v>
      </c>
      <c r="CB68" s="37">
        <f t="shared" si="83"/>
        <v>0</v>
      </c>
      <c r="CC68" s="37">
        <f t="shared" si="83"/>
        <v>0</v>
      </c>
      <c r="CD68" s="37">
        <f t="shared" si="83"/>
        <v>0</v>
      </c>
      <c r="CE68" s="37">
        <f t="shared" si="83"/>
        <v>0</v>
      </c>
      <c r="CF68" s="37">
        <f t="shared" si="83"/>
        <v>0</v>
      </c>
      <c r="CG68" s="37">
        <f t="shared" si="83"/>
        <v>0</v>
      </c>
      <c r="CH68" s="37">
        <f t="shared" si="83"/>
        <v>0</v>
      </c>
      <c r="CI68" s="37">
        <f t="shared" si="83"/>
        <v>0</v>
      </c>
      <c r="CJ68" s="37">
        <f t="shared" si="83"/>
        <v>0</v>
      </c>
      <c r="CK68" s="37">
        <f t="shared" si="83"/>
        <v>0</v>
      </c>
      <c r="CL68" s="37">
        <f t="shared" si="83"/>
        <v>0</v>
      </c>
      <c r="CM68" s="37">
        <f t="shared" si="83"/>
        <v>0</v>
      </c>
      <c r="CN68" s="37">
        <f t="shared" si="83"/>
        <v>0</v>
      </c>
      <c r="CO68" s="37">
        <f t="shared" si="83"/>
        <v>0</v>
      </c>
      <c r="CP68" s="37">
        <f t="shared" si="83"/>
        <v>0</v>
      </c>
      <c r="CQ68" s="37">
        <f t="shared" si="83"/>
        <v>0</v>
      </c>
      <c r="CR68" s="37">
        <f t="shared" si="83"/>
        <v>0</v>
      </c>
      <c r="CS68" s="37">
        <f t="shared" si="83"/>
        <v>0</v>
      </c>
      <c r="CT68" s="37">
        <f t="shared" si="83"/>
        <v>0</v>
      </c>
      <c r="CU68" s="37">
        <f t="shared" si="83"/>
        <v>0</v>
      </c>
      <c r="CV68" s="37">
        <f t="shared" si="83"/>
        <v>0</v>
      </c>
      <c r="CW68" s="37">
        <f t="shared" si="83"/>
        <v>0</v>
      </c>
      <c r="CX68" s="37">
        <f t="shared" si="83"/>
        <v>0</v>
      </c>
      <c r="CY68" s="37">
        <f t="shared" si="83"/>
        <v>0</v>
      </c>
      <c r="CZ68" s="37">
        <f t="shared" si="83"/>
        <v>0</v>
      </c>
      <c r="DA68" s="37">
        <f t="shared" si="83"/>
        <v>0</v>
      </c>
      <c r="DB68" s="37">
        <f t="shared" ref="DB68:DM68" si="84">DB65</f>
        <v>0</v>
      </c>
      <c r="DC68" s="37">
        <f t="shared" si="84"/>
        <v>0</v>
      </c>
      <c r="DD68" s="37">
        <f t="shared" si="84"/>
        <v>0</v>
      </c>
      <c r="DE68" s="37">
        <f t="shared" si="84"/>
        <v>0</v>
      </c>
      <c r="DF68" s="37">
        <f t="shared" si="84"/>
        <v>0</v>
      </c>
      <c r="DG68" s="37">
        <f t="shared" si="84"/>
        <v>0</v>
      </c>
      <c r="DH68" s="37">
        <f t="shared" si="84"/>
        <v>0</v>
      </c>
      <c r="DI68" s="37">
        <f t="shared" si="84"/>
        <v>0</v>
      </c>
      <c r="DJ68" s="37">
        <f t="shared" si="84"/>
        <v>0</v>
      </c>
      <c r="DK68" s="37">
        <f t="shared" si="84"/>
        <v>0</v>
      </c>
      <c r="DL68" s="37">
        <f t="shared" si="84"/>
        <v>0</v>
      </c>
      <c r="DM68" s="37">
        <f t="shared" si="84"/>
        <v>0</v>
      </c>
    </row>
    <row r="69" spans="1:117" outlineLevel="1" x14ac:dyDescent="0.15">
      <c r="C69" t="s">
        <v>89</v>
      </c>
      <c r="D69" s="5" t="s">
        <v>167</v>
      </c>
      <c r="I69" s="35">
        <f t="shared" si="80"/>
        <v>25384207333.333332</v>
      </c>
      <c r="J69" s="159">
        <f>SUM(J68:J68)*(1+J10)</f>
        <v>0</v>
      </c>
      <c r="K69" s="38">
        <f t="shared" ref="K69:M69" si="85">SUM(K68:K68)*(1+K10)</f>
        <v>0</v>
      </c>
      <c r="L69" s="38">
        <f t="shared" si="85"/>
        <v>0</v>
      </c>
      <c r="M69" s="38">
        <f t="shared" si="85"/>
        <v>0</v>
      </c>
      <c r="N69" s="38">
        <f>SUM(N68:N68)*(1+N10)</f>
        <v>2836526000</v>
      </c>
      <c r="O69" s="38">
        <f>SUM(O68:O68)*(1+O10)</f>
        <v>3157744666.6666665</v>
      </c>
      <c r="P69" s="38">
        <f>SUM(P68:P68)*(1+P10)</f>
        <v>3228812666.6666665</v>
      </c>
      <c r="Q69" s="38">
        <f>SUM(Q68:Q68)*(1+Q10)</f>
        <v>3223488000</v>
      </c>
      <c r="R69" s="38">
        <f t="shared" ref="R69" si="86">SUM(R68:R68)*(1+R10)</f>
        <v>3224031333.3333335</v>
      </c>
      <c r="S69" s="38">
        <f t="shared" ref="S69" si="87">SUM(S68:S68)*(1+S10)</f>
        <v>1688027999.9999998</v>
      </c>
      <c r="T69" s="38">
        <f t="shared" ref="T69" si="88">SUM(T68:T68)*(1+T10)</f>
        <v>1823970000</v>
      </c>
      <c r="U69" s="38">
        <f t="shared" ref="U69" si="89">SUM(U68:U68)*(1+U10)</f>
        <v>1967844666.6666667</v>
      </c>
      <c r="V69" s="38">
        <f t="shared" ref="V69" si="90">SUM(V68:V68)*(1+V10)</f>
        <v>1673249333.333333</v>
      </c>
      <c r="W69" s="38">
        <f t="shared" ref="W69" si="91">SUM(W68:W68)*(1+W10)</f>
        <v>1711500000.0000002</v>
      </c>
      <c r="X69" s="38">
        <f t="shared" ref="X69" si="92">SUM(X68:X68)*(1+X10)</f>
        <v>849012666.66666663</v>
      </c>
      <c r="Y69" s="38">
        <f t="shared" ref="Y69" si="93">SUM(Y68:Y68)*(1+Y10)</f>
        <v>0</v>
      </c>
      <c r="Z69" s="38">
        <f t="shared" ref="Z69" si="94">SUM(Z68:Z68)*(1+Z10)</f>
        <v>0</v>
      </c>
      <c r="AA69" s="38">
        <f t="shared" ref="AA69:AO69" si="95">SUM(AA68:AA68)</f>
        <v>0</v>
      </c>
      <c r="AB69" s="38">
        <f t="shared" si="95"/>
        <v>0</v>
      </c>
      <c r="AC69" s="38">
        <f t="shared" si="95"/>
        <v>0</v>
      </c>
      <c r="AD69" s="38">
        <f t="shared" si="95"/>
        <v>0</v>
      </c>
      <c r="AE69" s="38">
        <f t="shared" si="95"/>
        <v>0</v>
      </c>
      <c r="AF69" s="38">
        <f t="shared" si="95"/>
        <v>0</v>
      </c>
      <c r="AG69" s="38">
        <f t="shared" si="95"/>
        <v>0</v>
      </c>
      <c r="AH69" s="38">
        <f t="shared" si="95"/>
        <v>0</v>
      </c>
      <c r="AI69" s="38">
        <f t="shared" si="95"/>
        <v>0</v>
      </c>
      <c r="AJ69" s="38">
        <f t="shared" si="95"/>
        <v>0</v>
      </c>
      <c r="AK69" s="38">
        <f t="shared" si="95"/>
        <v>0</v>
      </c>
      <c r="AL69" s="38">
        <f t="shared" si="95"/>
        <v>0</v>
      </c>
      <c r="AM69" s="38">
        <f t="shared" si="95"/>
        <v>0</v>
      </c>
      <c r="AN69" s="38">
        <f t="shared" si="95"/>
        <v>0</v>
      </c>
      <c r="AO69" s="38">
        <f t="shared" si="95"/>
        <v>0</v>
      </c>
      <c r="AP69" s="38">
        <f t="shared" ref="AP69:BU69" si="96">SUM(AP68:AP68)</f>
        <v>0</v>
      </c>
      <c r="AQ69" s="38">
        <f t="shared" si="96"/>
        <v>0</v>
      </c>
      <c r="AR69" s="38">
        <f t="shared" si="96"/>
        <v>0</v>
      </c>
      <c r="AS69" s="38">
        <f t="shared" si="96"/>
        <v>0</v>
      </c>
      <c r="AT69" s="38">
        <f t="shared" si="96"/>
        <v>0</v>
      </c>
      <c r="AU69" s="38">
        <f t="shared" si="96"/>
        <v>0</v>
      </c>
      <c r="AV69" s="38">
        <f t="shared" si="96"/>
        <v>0</v>
      </c>
      <c r="AW69" s="38">
        <f t="shared" si="96"/>
        <v>0</v>
      </c>
      <c r="AX69" s="38">
        <f t="shared" si="96"/>
        <v>0</v>
      </c>
      <c r="AY69" s="38">
        <f t="shared" si="96"/>
        <v>0</v>
      </c>
      <c r="AZ69" s="38">
        <f t="shared" si="96"/>
        <v>0</v>
      </c>
      <c r="BA69" s="38">
        <f t="shared" si="96"/>
        <v>0</v>
      </c>
      <c r="BB69" s="38">
        <f t="shared" si="96"/>
        <v>0</v>
      </c>
      <c r="BC69" s="38">
        <f t="shared" si="96"/>
        <v>0</v>
      </c>
      <c r="BD69" s="38">
        <f t="shared" si="96"/>
        <v>0</v>
      </c>
      <c r="BE69" s="38">
        <f t="shared" si="96"/>
        <v>0</v>
      </c>
      <c r="BF69" s="38">
        <f t="shared" si="96"/>
        <v>0</v>
      </c>
      <c r="BG69" s="38">
        <f t="shared" si="96"/>
        <v>0</v>
      </c>
      <c r="BH69" s="38">
        <f t="shared" si="96"/>
        <v>0</v>
      </c>
      <c r="BI69" s="38">
        <f t="shared" si="96"/>
        <v>0</v>
      </c>
      <c r="BJ69" s="38">
        <f t="shared" si="96"/>
        <v>0</v>
      </c>
      <c r="BK69" s="38">
        <f t="shared" si="96"/>
        <v>0</v>
      </c>
      <c r="BL69" s="38">
        <f t="shared" si="96"/>
        <v>0</v>
      </c>
      <c r="BM69" s="38">
        <f t="shared" si="96"/>
        <v>0</v>
      </c>
      <c r="BN69" s="38">
        <f t="shared" si="96"/>
        <v>0</v>
      </c>
      <c r="BO69" s="38">
        <f t="shared" si="96"/>
        <v>0</v>
      </c>
      <c r="BP69" s="38">
        <f t="shared" si="96"/>
        <v>0</v>
      </c>
      <c r="BQ69" s="38">
        <f t="shared" si="96"/>
        <v>0</v>
      </c>
      <c r="BR69" s="38">
        <f t="shared" si="96"/>
        <v>0</v>
      </c>
      <c r="BS69" s="38">
        <f t="shared" si="96"/>
        <v>0</v>
      </c>
      <c r="BT69" s="38">
        <f t="shared" si="96"/>
        <v>0</v>
      </c>
      <c r="BU69" s="38">
        <f t="shared" si="96"/>
        <v>0</v>
      </c>
      <c r="BV69" s="38">
        <f t="shared" ref="BV69:DA69" si="97">SUM(BV68:BV68)</f>
        <v>0</v>
      </c>
      <c r="BW69" s="38">
        <f t="shared" si="97"/>
        <v>0</v>
      </c>
      <c r="BX69" s="38">
        <f t="shared" si="97"/>
        <v>0</v>
      </c>
      <c r="BY69" s="38">
        <f t="shared" si="97"/>
        <v>0</v>
      </c>
      <c r="BZ69" s="38">
        <f t="shared" si="97"/>
        <v>0</v>
      </c>
      <c r="CA69" s="38">
        <f t="shared" si="97"/>
        <v>0</v>
      </c>
      <c r="CB69" s="38">
        <f t="shared" si="97"/>
        <v>0</v>
      </c>
      <c r="CC69" s="38">
        <f t="shared" si="97"/>
        <v>0</v>
      </c>
      <c r="CD69" s="38">
        <f t="shared" si="97"/>
        <v>0</v>
      </c>
      <c r="CE69" s="38">
        <f t="shared" si="97"/>
        <v>0</v>
      </c>
      <c r="CF69" s="38">
        <f t="shared" si="97"/>
        <v>0</v>
      </c>
      <c r="CG69" s="38">
        <f t="shared" si="97"/>
        <v>0</v>
      </c>
      <c r="CH69" s="38">
        <f t="shared" si="97"/>
        <v>0</v>
      </c>
      <c r="CI69" s="38">
        <f t="shared" si="97"/>
        <v>0</v>
      </c>
      <c r="CJ69" s="38">
        <f t="shared" si="97"/>
        <v>0</v>
      </c>
      <c r="CK69" s="38">
        <f t="shared" si="97"/>
        <v>0</v>
      </c>
      <c r="CL69" s="38">
        <f t="shared" si="97"/>
        <v>0</v>
      </c>
      <c r="CM69" s="38">
        <f t="shared" si="97"/>
        <v>0</v>
      </c>
      <c r="CN69" s="38">
        <f t="shared" si="97"/>
        <v>0</v>
      </c>
      <c r="CO69" s="38">
        <f t="shared" si="97"/>
        <v>0</v>
      </c>
      <c r="CP69" s="38">
        <f t="shared" si="97"/>
        <v>0</v>
      </c>
      <c r="CQ69" s="38">
        <f t="shared" si="97"/>
        <v>0</v>
      </c>
      <c r="CR69" s="38">
        <f t="shared" si="97"/>
        <v>0</v>
      </c>
      <c r="CS69" s="38">
        <f t="shared" si="97"/>
        <v>0</v>
      </c>
      <c r="CT69" s="38">
        <f t="shared" si="97"/>
        <v>0</v>
      </c>
      <c r="CU69" s="38">
        <f t="shared" si="97"/>
        <v>0</v>
      </c>
      <c r="CV69" s="38">
        <f t="shared" si="97"/>
        <v>0</v>
      </c>
      <c r="CW69" s="38">
        <f t="shared" si="97"/>
        <v>0</v>
      </c>
      <c r="CX69" s="38">
        <f t="shared" si="97"/>
        <v>0</v>
      </c>
      <c r="CY69" s="38">
        <f t="shared" si="97"/>
        <v>0</v>
      </c>
      <c r="CZ69" s="38">
        <f t="shared" si="97"/>
        <v>0</v>
      </c>
      <c r="DA69" s="38">
        <f t="shared" si="97"/>
        <v>0</v>
      </c>
      <c r="DB69" s="38">
        <f t="shared" ref="DB69:DM69" si="98">SUM(DB68:DB68)</f>
        <v>0</v>
      </c>
      <c r="DC69" s="38">
        <f t="shared" si="98"/>
        <v>0</v>
      </c>
      <c r="DD69" s="38">
        <f t="shared" si="98"/>
        <v>0</v>
      </c>
      <c r="DE69" s="38">
        <f t="shared" si="98"/>
        <v>0</v>
      </c>
      <c r="DF69" s="38">
        <f t="shared" si="98"/>
        <v>0</v>
      </c>
      <c r="DG69" s="38">
        <f t="shared" si="98"/>
        <v>0</v>
      </c>
      <c r="DH69" s="38">
        <f t="shared" si="98"/>
        <v>0</v>
      </c>
      <c r="DI69" s="38">
        <f t="shared" si="98"/>
        <v>0</v>
      </c>
      <c r="DJ69" s="38">
        <f t="shared" si="98"/>
        <v>0</v>
      </c>
      <c r="DK69" s="38">
        <f t="shared" si="98"/>
        <v>0</v>
      </c>
      <c r="DL69" s="38">
        <f t="shared" si="98"/>
        <v>0</v>
      </c>
      <c r="DM69" s="38">
        <f t="shared" si="98"/>
        <v>0</v>
      </c>
    </row>
    <row r="70" spans="1:117" s="109" customFormat="1" ht="12" x14ac:dyDescent="0.15">
      <c r="C70" s="109" t="s">
        <v>366</v>
      </c>
      <c r="D70" s="149"/>
      <c r="I70" s="154"/>
      <c r="J70" s="164"/>
      <c r="K70" s="147"/>
      <c r="L70" s="147"/>
      <c r="M70" s="147"/>
      <c r="N70" s="147"/>
      <c r="O70" s="148">
        <f>(N69/O69)-1</f>
        <v>-0.10172407859871291</v>
      </c>
      <c r="P70" s="148">
        <f t="shared" ref="P70:V70" si="99">(O69/P69)-1</f>
        <v>-2.2010567764951361E-2</v>
      </c>
      <c r="Q70" s="148">
        <f t="shared" si="99"/>
        <v>1.6518338727076198E-3</v>
      </c>
      <c r="R70" s="148">
        <f t="shared" si="99"/>
        <v>-1.6852607098327699E-4</v>
      </c>
      <c r="S70" s="148">
        <f t="shared" si="99"/>
        <v>0.9099394875756408</v>
      </c>
      <c r="T70" s="148">
        <f t="shared" si="99"/>
        <v>-7.4530831099195893E-2</v>
      </c>
      <c r="U70" s="148">
        <f t="shared" si="99"/>
        <v>-7.3112816831409799E-2</v>
      </c>
      <c r="V70" s="148">
        <f t="shared" si="99"/>
        <v>0.17606182621119659</v>
      </c>
      <c r="W70" s="148">
        <f>(V69/W69)-1</f>
        <v>-2.2349206349206674E-2</v>
      </c>
      <c r="X70" s="148">
        <f t="shared" ref="X70" si="100">(W69/X69)-1</f>
        <v>1.0158709842570079</v>
      </c>
      <c r="Y70" s="148"/>
      <c r="Z70" s="148"/>
      <c r="AA70" s="148"/>
      <c r="AB70" s="148"/>
    </row>
    <row r="71" spans="1:117" ht="20" x14ac:dyDescent="0.2">
      <c r="C71" s="4" t="s">
        <v>133</v>
      </c>
      <c r="D71" s="5"/>
      <c r="N71" s="37">
        <f>N69*0.05</f>
        <v>141826300</v>
      </c>
      <c r="O71" s="37">
        <f t="shared" ref="O71:X71" si="101">O69*0.05</f>
        <v>157887233.33333334</v>
      </c>
      <c r="P71" s="37">
        <f t="shared" si="101"/>
        <v>161440633.33333334</v>
      </c>
      <c r="Q71" s="37">
        <f t="shared" si="101"/>
        <v>161174400</v>
      </c>
      <c r="R71" s="37">
        <f t="shared" si="101"/>
        <v>161201566.66666669</v>
      </c>
      <c r="S71" s="37">
        <f t="shared" si="101"/>
        <v>84401400</v>
      </c>
      <c r="T71" s="37">
        <f t="shared" si="101"/>
        <v>91198500</v>
      </c>
      <c r="U71" s="37">
        <f t="shared" si="101"/>
        <v>98392233.333333343</v>
      </c>
      <c r="V71" s="37">
        <f>V69*0.05</f>
        <v>83662466.666666657</v>
      </c>
      <c r="W71" s="37">
        <f t="shared" si="101"/>
        <v>85575000.000000015</v>
      </c>
      <c r="X71" s="37">
        <f t="shared" si="101"/>
        <v>42450633.333333336</v>
      </c>
    </row>
    <row r="72" spans="1:117" x14ac:dyDescent="0.15">
      <c r="C72" t="s">
        <v>164</v>
      </c>
      <c r="D72" s="5" t="s">
        <v>18</v>
      </c>
      <c r="E72" s="84">
        <f>(1+F72)*G72</f>
        <v>7.2499999999999995E-2</v>
      </c>
      <c r="F72" s="85">
        <f>'Scenario Manager'!E16</f>
        <v>0</v>
      </c>
      <c r="G72" s="47">
        <v>7.2499999999999995E-2</v>
      </c>
      <c r="J72" s="161">
        <f t="shared" ref="J72:AO72" si="102">$E72*J$6</f>
        <v>0</v>
      </c>
      <c r="K72" s="33">
        <f t="shared" si="102"/>
        <v>0</v>
      </c>
      <c r="L72" s="33">
        <f t="shared" si="102"/>
        <v>0</v>
      </c>
      <c r="M72" s="33">
        <f t="shared" si="102"/>
        <v>0</v>
      </c>
      <c r="N72" s="33">
        <f t="shared" si="102"/>
        <v>7.2499999999999995E-2</v>
      </c>
      <c r="O72" s="33">
        <f t="shared" si="102"/>
        <v>7.2499999999999995E-2</v>
      </c>
      <c r="P72" s="33">
        <f t="shared" si="102"/>
        <v>7.2499999999999995E-2</v>
      </c>
      <c r="Q72" s="33">
        <f t="shared" si="102"/>
        <v>7.2499999999999995E-2</v>
      </c>
      <c r="R72" s="33">
        <f t="shared" si="102"/>
        <v>7.2499999999999995E-2</v>
      </c>
      <c r="S72" s="33">
        <f t="shared" si="102"/>
        <v>7.2499999999999995E-2</v>
      </c>
      <c r="T72" s="33">
        <f t="shared" si="102"/>
        <v>7.2499999999999995E-2</v>
      </c>
      <c r="U72" s="33">
        <f t="shared" si="102"/>
        <v>7.2499999999999995E-2</v>
      </c>
      <c r="V72" s="33">
        <f t="shared" si="102"/>
        <v>7.2499999999999995E-2</v>
      </c>
      <c r="W72" s="33">
        <f t="shared" si="102"/>
        <v>7.2499999999999995E-2</v>
      </c>
      <c r="X72" s="33">
        <f t="shared" si="102"/>
        <v>7.2499999999999995E-2</v>
      </c>
      <c r="Y72" s="33">
        <f t="shared" si="102"/>
        <v>0</v>
      </c>
      <c r="Z72" s="33">
        <f t="shared" si="102"/>
        <v>0</v>
      </c>
      <c r="AA72" s="33">
        <f t="shared" si="102"/>
        <v>0</v>
      </c>
      <c r="AB72" s="33">
        <f t="shared" si="102"/>
        <v>0</v>
      </c>
      <c r="AC72" s="33">
        <f t="shared" si="102"/>
        <v>0</v>
      </c>
      <c r="AD72" s="33">
        <f t="shared" si="102"/>
        <v>0</v>
      </c>
      <c r="AE72" s="33">
        <f t="shared" si="102"/>
        <v>0</v>
      </c>
      <c r="AF72" s="33">
        <f t="shared" si="102"/>
        <v>0</v>
      </c>
      <c r="AG72" s="33">
        <f t="shared" si="102"/>
        <v>0</v>
      </c>
      <c r="AH72" s="33">
        <f t="shared" si="102"/>
        <v>0</v>
      </c>
      <c r="AI72" s="33">
        <f t="shared" si="102"/>
        <v>0</v>
      </c>
      <c r="AJ72" s="33">
        <f t="shared" si="102"/>
        <v>0</v>
      </c>
      <c r="AK72" s="33">
        <f t="shared" si="102"/>
        <v>0</v>
      </c>
      <c r="AL72" s="33">
        <f t="shared" si="102"/>
        <v>0</v>
      </c>
      <c r="AM72" s="33">
        <f t="shared" si="102"/>
        <v>0</v>
      </c>
      <c r="AN72" s="33">
        <f t="shared" si="102"/>
        <v>0</v>
      </c>
      <c r="AO72" s="33">
        <f t="shared" si="102"/>
        <v>0</v>
      </c>
      <c r="AP72" s="33">
        <f t="shared" ref="AP72:BU72" si="103">$E72*AP$6</f>
        <v>0</v>
      </c>
      <c r="AQ72" s="33">
        <f t="shared" si="103"/>
        <v>0</v>
      </c>
      <c r="AR72" s="33">
        <f t="shared" si="103"/>
        <v>0</v>
      </c>
      <c r="AS72" s="33">
        <f t="shared" si="103"/>
        <v>0</v>
      </c>
      <c r="AT72" s="33">
        <f t="shared" si="103"/>
        <v>0</v>
      </c>
      <c r="AU72" s="33">
        <f t="shared" si="103"/>
        <v>0</v>
      </c>
      <c r="AV72" s="33">
        <f t="shared" si="103"/>
        <v>0</v>
      </c>
      <c r="AW72" s="33">
        <f t="shared" si="103"/>
        <v>0</v>
      </c>
      <c r="AX72" s="33">
        <f t="shared" si="103"/>
        <v>0</v>
      </c>
      <c r="AY72" s="33">
        <f t="shared" si="103"/>
        <v>0</v>
      </c>
      <c r="AZ72" s="33">
        <f t="shared" si="103"/>
        <v>0</v>
      </c>
      <c r="BA72" s="33">
        <f t="shared" si="103"/>
        <v>0</v>
      </c>
      <c r="BB72" s="33">
        <f t="shared" si="103"/>
        <v>0</v>
      </c>
      <c r="BC72" s="33">
        <f t="shared" si="103"/>
        <v>0</v>
      </c>
      <c r="BD72" s="33">
        <f t="shared" si="103"/>
        <v>0</v>
      </c>
      <c r="BE72" s="33">
        <f t="shared" si="103"/>
        <v>0</v>
      </c>
      <c r="BF72" s="33">
        <f t="shared" si="103"/>
        <v>0</v>
      </c>
      <c r="BG72" s="33">
        <f t="shared" si="103"/>
        <v>0</v>
      </c>
      <c r="BH72" s="33">
        <f t="shared" si="103"/>
        <v>0</v>
      </c>
      <c r="BI72" s="33">
        <f t="shared" si="103"/>
        <v>0</v>
      </c>
      <c r="BJ72" s="33">
        <f t="shared" si="103"/>
        <v>0</v>
      </c>
      <c r="BK72" s="33">
        <f t="shared" si="103"/>
        <v>0</v>
      </c>
      <c r="BL72" s="33">
        <f t="shared" si="103"/>
        <v>0</v>
      </c>
      <c r="BM72" s="33">
        <f t="shared" si="103"/>
        <v>0</v>
      </c>
      <c r="BN72" s="33">
        <f t="shared" si="103"/>
        <v>0</v>
      </c>
      <c r="BO72" s="33">
        <f t="shared" si="103"/>
        <v>0</v>
      </c>
      <c r="BP72" s="33">
        <f t="shared" si="103"/>
        <v>0</v>
      </c>
      <c r="BQ72" s="33">
        <f t="shared" si="103"/>
        <v>0</v>
      </c>
      <c r="BR72" s="33">
        <f t="shared" si="103"/>
        <v>0</v>
      </c>
      <c r="BS72" s="33">
        <f t="shared" si="103"/>
        <v>0</v>
      </c>
      <c r="BT72" s="33">
        <f t="shared" si="103"/>
        <v>0</v>
      </c>
      <c r="BU72" s="33">
        <f t="shared" si="103"/>
        <v>0</v>
      </c>
      <c r="BV72" s="33">
        <f t="shared" ref="BV72:DA72" si="104">$E72*BV$6</f>
        <v>0</v>
      </c>
      <c r="BW72" s="33">
        <f t="shared" si="104"/>
        <v>0</v>
      </c>
      <c r="BX72" s="33">
        <f t="shared" si="104"/>
        <v>0</v>
      </c>
      <c r="BY72" s="33">
        <f t="shared" si="104"/>
        <v>0</v>
      </c>
      <c r="BZ72" s="33">
        <f t="shared" si="104"/>
        <v>0</v>
      </c>
      <c r="CA72" s="33">
        <f t="shared" si="104"/>
        <v>0</v>
      </c>
      <c r="CB72" s="33">
        <f t="shared" si="104"/>
        <v>0</v>
      </c>
      <c r="CC72" s="33">
        <f t="shared" si="104"/>
        <v>0</v>
      </c>
      <c r="CD72" s="33">
        <f t="shared" si="104"/>
        <v>0</v>
      </c>
      <c r="CE72" s="33">
        <f t="shared" si="104"/>
        <v>0</v>
      </c>
      <c r="CF72" s="33">
        <f t="shared" si="104"/>
        <v>0</v>
      </c>
      <c r="CG72" s="33">
        <f t="shared" si="104"/>
        <v>0</v>
      </c>
      <c r="CH72" s="33">
        <f t="shared" si="104"/>
        <v>0</v>
      </c>
      <c r="CI72" s="33">
        <f t="shared" si="104"/>
        <v>0</v>
      </c>
      <c r="CJ72" s="33">
        <f t="shared" si="104"/>
        <v>0</v>
      </c>
      <c r="CK72" s="33">
        <f t="shared" si="104"/>
        <v>0</v>
      </c>
      <c r="CL72" s="33">
        <f t="shared" si="104"/>
        <v>0</v>
      </c>
      <c r="CM72" s="33">
        <f t="shared" si="104"/>
        <v>0</v>
      </c>
      <c r="CN72" s="33">
        <f t="shared" si="104"/>
        <v>0</v>
      </c>
      <c r="CO72" s="33">
        <f t="shared" si="104"/>
        <v>0</v>
      </c>
      <c r="CP72" s="33">
        <f t="shared" si="104"/>
        <v>0</v>
      </c>
      <c r="CQ72" s="33">
        <f t="shared" si="104"/>
        <v>0</v>
      </c>
      <c r="CR72" s="33">
        <f t="shared" si="104"/>
        <v>0</v>
      </c>
      <c r="CS72" s="33">
        <f t="shared" si="104"/>
        <v>0</v>
      </c>
      <c r="CT72" s="33">
        <f t="shared" si="104"/>
        <v>0</v>
      </c>
      <c r="CU72" s="33">
        <f t="shared" si="104"/>
        <v>0</v>
      </c>
      <c r="CV72" s="33">
        <f t="shared" si="104"/>
        <v>0</v>
      </c>
      <c r="CW72" s="33">
        <f t="shared" si="104"/>
        <v>0</v>
      </c>
      <c r="CX72" s="33">
        <f t="shared" si="104"/>
        <v>0</v>
      </c>
      <c r="CY72" s="33">
        <f t="shared" si="104"/>
        <v>0</v>
      </c>
      <c r="CZ72" s="33">
        <f t="shared" si="104"/>
        <v>0</v>
      </c>
      <c r="DA72" s="33">
        <f t="shared" si="104"/>
        <v>0</v>
      </c>
      <c r="DB72" s="33">
        <f t="shared" ref="DB72:DM72" si="105">$E72*DB$6</f>
        <v>0</v>
      </c>
      <c r="DC72" s="33">
        <f t="shared" si="105"/>
        <v>0</v>
      </c>
      <c r="DD72" s="33">
        <f t="shared" si="105"/>
        <v>0</v>
      </c>
      <c r="DE72" s="33">
        <f t="shared" si="105"/>
        <v>0</v>
      </c>
      <c r="DF72" s="33">
        <f t="shared" si="105"/>
        <v>0</v>
      </c>
      <c r="DG72" s="33">
        <f t="shared" si="105"/>
        <v>0</v>
      </c>
      <c r="DH72" s="33">
        <f t="shared" si="105"/>
        <v>0</v>
      </c>
      <c r="DI72" s="33">
        <f t="shared" si="105"/>
        <v>0</v>
      </c>
      <c r="DJ72" s="33">
        <f t="shared" si="105"/>
        <v>0</v>
      </c>
      <c r="DK72" s="33">
        <f t="shared" si="105"/>
        <v>0</v>
      </c>
      <c r="DL72" s="33">
        <f t="shared" si="105"/>
        <v>0</v>
      </c>
      <c r="DM72" s="33">
        <f t="shared" si="105"/>
        <v>0</v>
      </c>
    </row>
    <row r="73" spans="1:117" x14ac:dyDescent="0.15">
      <c r="C73" t="s">
        <v>134</v>
      </c>
      <c r="D73" s="5" t="s">
        <v>167</v>
      </c>
      <c r="I73" s="35">
        <f t="shared" ref="I73:I74" si="106">SUM(J73:DM73)</f>
        <v>25384207333.333332</v>
      </c>
      <c r="J73" s="150">
        <f>J69</f>
        <v>0</v>
      </c>
      <c r="K73" s="37">
        <f t="shared" ref="K73:BV73" si="107">K69</f>
        <v>0</v>
      </c>
      <c r="L73" s="37">
        <f t="shared" si="107"/>
        <v>0</v>
      </c>
      <c r="M73" s="37">
        <f t="shared" si="107"/>
        <v>0</v>
      </c>
      <c r="N73" s="37">
        <f t="shared" si="107"/>
        <v>2836526000</v>
      </c>
      <c r="O73" s="37">
        <f t="shared" si="107"/>
        <v>3157744666.6666665</v>
      </c>
      <c r="P73" s="37">
        <f t="shared" si="107"/>
        <v>3228812666.6666665</v>
      </c>
      <c r="Q73" s="37">
        <f t="shared" si="107"/>
        <v>3223488000</v>
      </c>
      <c r="R73" s="37">
        <f t="shared" si="107"/>
        <v>3224031333.3333335</v>
      </c>
      <c r="S73" s="37">
        <f t="shared" si="107"/>
        <v>1688027999.9999998</v>
      </c>
      <c r="T73" s="37">
        <f t="shared" si="107"/>
        <v>1823970000</v>
      </c>
      <c r="U73" s="37">
        <f t="shared" si="107"/>
        <v>1967844666.6666667</v>
      </c>
      <c r="V73" s="37">
        <f t="shared" si="107"/>
        <v>1673249333.333333</v>
      </c>
      <c r="W73" s="37">
        <f t="shared" si="107"/>
        <v>1711500000.0000002</v>
      </c>
      <c r="X73" s="37">
        <f t="shared" si="107"/>
        <v>849012666.66666663</v>
      </c>
      <c r="Y73" s="37">
        <f t="shared" si="107"/>
        <v>0</v>
      </c>
      <c r="Z73" s="37">
        <f t="shared" si="107"/>
        <v>0</v>
      </c>
      <c r="AA73" s="37">
        <f t="shared" si="107"/>
        <v>0</v>
      </c>
      <c r="AB73" s="37">
        <f t="shared" si="107"/>
        <v>0</v>
      </c>
      <c r="AC73" s="37">
        <f t="shared" si="107"/>
        <v>0</v>
      </c>
      <c r="AD73" s="37">
        <f t="shared" si="107"/>
        <v>0</v>
      </c>
      <c r="AE73" s="37">
        <f t="shared" si="107"/>
        <v>0</v>
      </c>
      <c r="AF73" s="37">
        <f t="shared" si="107"/>
        <v>0</v>
      </c>
      <c r="AG73" s="37">
        <f t="shared" si="107"/>
        <v>0</v>
      </c>
      <c r="AH73" s="37">
        <f t="shared" si="107"/>
        <v>0</v>
      </c>
      <c r="AI73" s="37">
        <f t="shared" si="107"/>
        <v>0</v>
      </c>
      <c r="AJ73" s="37">
        <f t="shared" si="107"/>
        <v>0</v>
      </c>
      <c r="AK73" s="37">
        <f t="shared" si="107"/>
        <v>0</v>
      </c>
      <c r="AL73" s="37">
        <f t="shared" si="107"/>
        <v>0</v>
      </c>
      <c r="AM73" s="37">
        <f t="shared" si="107"/>
        <v>0</v>
      </c>
      <c r="AN73" s="37">
        <f t="shared" si="107"/>
        <v>0</v>
      </c>
      <c r="AO73" s="37">
        <f t="shared" si="107"/>
        <v>0</v>
      </c>
      <c r="AP73" s="37">
        <f t="shared" si="107"/>
        <v>0</v>
      </c>
      <c r="AQ73" s="37">
        <f t="shared" si="107"/>
        <v>0</v>
      </c>
      <c r="AR73" s="37">
        <f t="shared" si="107"/>
        <v>0</v>
      </c>
      <c r="AS73" s="37">
        <f t="shared" si="107"/>
        <v>0</v>
      </c>
      <c r="AT73" s="37">
        <f t="shared" si="107"/>
        <v>0</v>
      </c>
      <c r="AU73" s="37">
        <f t="shared" si="107"/>
        <v>0</v>
      </c>
      <c r="AV73" s="37">
        <f t="shared" si="107"/>
        <v>0</v>
      </c>
      <c r="AW73" s="37">
        <f t="shared" si="107"/>
        <v>0</v>
      </c>
      <c r="AX73" s="37">
        <f t="shared" si="107"/>
        <v>0</v>
      </c>
      <c r="AY73" s="37">
        <f t="shared" si="107"/>
        <v>0</v>
      </c>
      <c r="AZ73" s="37">
        <f t="shared" si="107"/>
        <v>0</v>
      </c>
      <c r="BA73" s="37">
        <f t="shared" si="107"/>
        <v>0</v>
      </c>
      <c r="BB73" s="37">
        <f t="shared" si="107"/>
        <v>0</v>
      </c>
      <c r="BC73" s="37">
        <f t="shared" si="107"/>
        <v>0</v>
      </c>
      <c r="BD73" s="37">
        <f t="shared" si="107"/>
        <v>0</v>
      </c>
      <c r="BE73" s="37">
        <f t="shared" si="107"/>
        <v>0</v>
      </c>
      <c r="BF73" s="37">
        <f t="shared" si="107"/>
        <v>0</v>
      </c>
      <c r="BG73" s="37">
        <f t="shared" si="107"/>
        <v>0</v>
      </c>
      <c r="BH73" s="37">
        <f t="shared" si="107"/>
        <v>0</v>
      </c>
      <c r="BI73" s="37">
        <f t="shared" si="107"/>
        <v>0</v>
      </c>
      <c r="BJ73" s="37">
        <f t="shared" si="107"/>
        <v>0</v>
      </c>
      <c r="BK73" s="37">
        <f t="shared" si="107"/>
        <v>0</v>
      </c>
      <c r="BL73" s="37">
        <f t="shared" si="107"/>
        <v>0</v>
      </c>
      <c r="BM73" s="37">
        <f t="shared" si="107"/>
        <v>0</v>
      </c>
      <c r="BN73" s="37">
        <f t="shared" si="107"/>
        <v>0</v>
      </c>
      <c r="BO73" s="37">
        <f t="shared" si="107"/>
        <v>0</v>
      </c>
      <c r="BP73" s="37">
        <f t="shared" si="107"/>
        <v>0</v>
      </c>
      <c r="BQ73" s="37">
        <f t="shared" si="107"/>
        <v>0</v>
      </c>
      <c r="BR73" s="37">
        <f t="shared" si="107"/>
        <v>0</v>
      </c>
      <c r="BS73" s="37">
        <f t="shared" si="107"/>
        <v>0</v>
      </c>
      <c r="BT73" s="37">
        <f t="shared" si="107"/>
        <v>0</v>
      </c>
      <c r="BU73" s="37">
        <f t="shared" si="107"/>
        <v>0</v>
      </c>
      <c r="BV73" s="37">
        <f t="shared" si="107"/>
        <v>0</v>
      </c>
      <c r="BW73" s="37">
        <f t="shared" ref="BW73:DM73" si="108">BW69</f>
        <v>0</v>
      </c>
      <c r="BX73" s="37">
        <f t="shared" si="108"/>
        <v>0</v>
      </c>
      <c r="BY73" s="37">
        <f t="shared" si="108"/>
        <v>0</v>
      </c>
      <c r="BZ73" s="37">
        <f t="shared" si="108"/>
        <v>0</v>
      </c>
      <c r="CA73" s="37">
        <f t="shared" si="108"/>
        <v>0</v>
      </c>
      <c r="CB73" s="37">
        <f t="shared" si="108"/>
        <v>0</v>
      </c>
      <c r="CC73" s="37">
        <f t="shared" si="108"/>
        <v>0</v>
      </c>
      <c r="CD73" s="37">
        <f t="shared" si="108"/>
        <v>0</v>
      </c>
      <c r="CE73" s="37">
        <f t="shared" si="108"/>
        <v>0</v>
      </c>
      <c r="CF73" s="37">
        <f t="shared" si="108"/>
        <v>0</v>
      </c>
      <c r="CG73" s="37">
        <f t="shared" si="108"/>
        <v>0</v>
      </c>
      <c r="CH73" s="37">
        <f t="shared" si="108"/>
        <v>0</v>
      </c>
      <c r="CI73" s="37">
        <f t="shared" si="108"/>
        <v>0</v>
      </c>
      <c r="CJ73" s="37">
        <f t="shared" si="108"/>
        <v>0</v>
      </c>
      <c r="CK73" s="37">
        <f t="shared" si="108"/>
        <v>0</v>
      </c>
      <c r="CL73" s="37">
        <f t="shared" si="108"/>
        <v>0</v>
      </c>
      <c r="CM73" s="37">
        <f t="shared" si="108"/>
        <v>0</v>
      </c>
      <c r="CN73" s="37">
        <f t="shared" si="108"/>
        <v>0</v>
      </c>
      <c r="CO73" s="37">
        <f t="shared" si="108"/>
        <v>0</v>
      </c>
      <c r="CP73" s="37">
        <f t="shared" si="108"/>
        <v>0</v>
      </c>
      <c r="CQ73" s="37">
        <f t="shared" si="108"/>
        <v>0</v>
      </c>
      <c r="CR73" s="37">
        <f t="shared" si="108"/>
        <v>0</v>
      </c>
      <c r="CS73" s="37">
        <f t="shared" si="108"/>
        <v>0</v>
      </c>
      <c r="CT73" s="37">
        <f t="shared" si="108"/>
        <v>0</v>
      </c>
      <c r="CU73" s="37">
        <f t="shared" si="108"/>
        <v>0</v>
      </c>
      <c r="CV73" s="37">
        <f t="shared" si="108"/>
        <v>0</v>
      </c>
      <c r="CW73" s="37">
        <f t="shared" si="108"/>
        <v>0</v>
      </c>
      <c r="CX73" s="37">
        <f t="shared" si="108"/>
        <v>0</v>
      </c>
      <c r="CY73" s="37">
        <f t="shared" si="108"/>
        <v>0</v>
      </c>
      <c r="CZ73" s="37">
        <f t="shared" si="108"/>
        <v>0</v>
      </c>
      <c r="DA73" s="37">
        <f t="shared" si="108"/>
        <v>0</v>
      </c>
      <c r="DB73" s="37">
        <f t="shared" si="108"/>
        <v>0</v>
      </c>
      <c r="DC73" s="37">
        <f t="shared" si="108"/>
        <v>0</v>
      </c>
      <c r="DD73" s="37">
        <f t="shared" si="108"/>
        <v>0</v>
      </c>
      <c r="DE73" s="37">
        <f t="shared" si="108"/>
        <v>0</v>
      </c>
      <c r="DF73" s="37">
        <f t="shared" si="108"/>
        <v>0</v>
      </c>
      <c r="DG73" s="37">
        <f t="shared" si="108"/>
        <v>0</v>
      </c>
      <c r="DH73" s="37">
        <f t="shared" si="108"/>
        <v>0</v>
      </c>
      <c r="DI73" s="37">
        <f t="shared" si="108"/>
        <v>0</v>
      </c>
      <c r="DJ73" s="37">
        <f t="shared" si="108"/>
        <v>0</v>
      </c>
      <c r="DK73" s="37">
        <f t="shared" si="108"/>
        <v>0</v>
      </c>
      <c r="DL73" s="37">
        <f t="shared" si="108"/>
        <v>0</v>
      </c>
      <c r="DM73" s="37">
        <f t="shared" si="108"/>
        <v>0</v>
      </c>
    </row>
    <row r="74" spans="1:117" x14ac:dyDescent="0.15">
      <c r="C74" t="s">
        <v>135</v>
      </c>
      <c r="D74" s="5" t="s">
        <v>167</v>
      </c>
      <c r="I74" s="35">
        <f t="shared" si="106"/>
        <v>1840355031.6666665</v>
      </c>
      <c r="J74" s="165">
        <f>J72*J73</f>
        <v>0</v>
      </c>
      <c r="K74" s="39">
        <f t="shared" ref="K74:BV74" si="109">K72*K73</f>
        <v>0</v>
      </c>
      <c r="L74" s="39">
        <f t="shared" si="109"/>
        <v>0</v>
      </c>
      <c r="M74" s="39">
        <f t="shared" si="109"/>
        <v>0</v>
      </c>
      <c r="N74" s="39">
        <f t="shared" si="109"/>
        <v>205648135</v>
      </c>
      <c r="O74" s="39">
        <f t="shared" si="109"/>
        <v>228936488.33333331</v>
      </c>
      <c r="P74" s="39">
        <f t="shared" si="109"/>
        <v>234088918.33333331</v>
      </c>
      <c r="Q74" s="39">
        <f t="shared" si="109"/>
        <v>233702879.99999997</v>
      </c>
      <c r="R74" s="39">
        <f t="shared" si="109"/>
        <v>233742271.66666666</v>
      </c>
      <c r="S74" s="39">
        <f t="shared" si="109"/>
        <v>122382029.99999997</v>
      </c>
      <c r="T74" s="39">
        <f t="shared" si="109"/>
        <v>132237824.99999999</v>
      </c>
      <c r="U74" s="39">
        <f t="shared" si="109"/>
        <v>142668738.33333334</v>
      </c>
      <c r="V74" s="39">
        <f t="shared" si="109"/>
        <v>121310576.66666664</v>
      </c>
      <c r="W74" s="39">
        <f t="shared" si="109"/>
        <v>124083750.00000001</v>
      </c>
      <c r="X74" s="39">
        <f t="shared" si="109"/>
        <v>61553418.333333328</v>
      </c>
      <c r="Y74" s="39">
        <f t="shared" si="109"/>
        <v>0</v>
      </c>
      <c r="Z74" s="39">
        <f t="shared" si="109"/>
        <v>0</v>
      </c>
      <c r="AA74" s="39">
        <f t="shared" si="109"/>
        <v>0</v>
      </c>
      <c r="AB74" s="39">
        <f t="shared" si="109"/>
        <v>0</v>
      </c>
      <c r="AC74" s="39">
        <f t="shared" si="109"/>
        <v>0</v>
      </c>
      <c r="AD74" s="39">
        <f t="shared" si="109"/>
        <v>0</v>
      </c>
      <c r="AE74" s="39">
        <f t="shared" si="109"/>
        <v>0</v>
      </c>
      <c r="AF74" s="39">
        <f t="shared" si="109"/>
        <v>0</v>
      </c>
      <c r="AG74" s="39">
        <f t="shared" si="109"/>
        <v>0</v>
      </c>
      <c r="AH74" s="39">
        <f t="shared" si="109"/>
        <v>0</v>
      </c>
      <c r="AI74" s="39">
        <f t="shared" si="109"/>
        <v>0</v>
      </c>
      <c r="AJ74" s="39">
        <f t="shared" si="109"/>
        <v>0</v>
      </c>
      <c r="AK74" s="39">
        <f t="shared" si="109"/>
        <v>0</v>
      </c>
      <c r="AL74" s="39">
        <f t="shared" si="109"/>
        <v>0</v>
      </c>
      <c r="AM74" s="39">
        <f t="shared" si="109"/>
        <v>0</v>
      </c>
      <c r="AN74" s="39">
        <f t="shared" si="109"/>
        <v>0</v>
      </c>
      <c r="AO74" s="39">
        <f t="shared" si="109"/>
        <v>0</v>
      </c>
      <c r="AP74" s="39">
        <f t="shared" si="109"/>
        <v>0</v>
      </c>
      <c r="AQ74" s="39">
        <f t="shared" si="109"/>
        <v>0</v>
      </c>
      <c r="AR74" s="39">
        <f t="shared" si="109"/>
        <v>0</v>
      </c>
      <c r="AS74" s="39">
        <f t="shared" si="109"/>
        <v>0</v>
      </c>
      <c r="AT74" s="39">
        <f t="shared" si="109"/>
        <v>0</v>
      </c>
      <c r="AU74" s="39">
        <f t="shared" si="109"/>
        <v>0</v>
      </c>
      <c r="AV74" s="39">
        <f t="shared" si="109"/>
        <v>0</v>
      </c>
      <c r="AW74" s="39">
        <f t="shared" si="109"/>
        <v>0</v>
      </c>
      <c r="AX74" s="39">
        <f t="shared" si="109"/>
        <v>0</v>
      </c>
      <c r="AY74" s="39">
        <f t="shared" si="109"/>
        <v>0</v>
      </c>
      <c r="AZ74" s="39">
        <f t="shared" si="109"/>
        <v>0</v>
      </c>
      <c r="BA74" s="39">
        <f t="shared" si="109"/>
        <v>0</v>
      </c>
      <c r="BB74" s="39">
        <f t="shared" si="109"/>
        <v>0</v>
      </c>
      <c r="BC74" s="39">
        <f t="shared" si="109"/>
        <v>0</v>
      </c>
      <c r="BD74" s="39">
        <f t="shared" si="109"/>
        <v>0</v>
      </c>
      <c r="BE74" s="39">
        <f t="shared" si="109"/>
        <v>0</v>
      </c>
      <c r="BF74" s="39">
        <f t="shared" si="109"/>
        <v>0</v>
      </c>
      <c r="BG74" s="39">
        <f t="shared" si="109"/>
        <v>0</v>
      </c>
      <c r="BH74" s="39">
        <f t="shared" si="109"/>
        <v>0</v>
      </c>
      <c r="BI74" s="39">
        <f t="shared" si="109"/>
        <v>0</v>
      </c>
      <c r="BJ74" s="39">
        <f t="shared" si="109"/>
        <v>0</v>
      </c>
      <c r="BK74" s="39">
        <f t="shared" si="109"/>
        <v>0</v>
      </c>
      <c r="BL74" s="39">
        <f t="shared" si="109"/>
        <v>0</v>
      </c>
      <c r="BM74" s="39">
        <f t="shared" si="109"/>
        <v>0</v>
      </c>
      <c r="BN74" s="39">
        <f t="shared" si="109"/>
        <v>0</v>
      </c>
      <c r="BO74" s="39">
        <f t="shared" si="109"/>
        <v>0</v>
      </c>
      <c r="BP74" s="39">
        <f t="shared" si="109"/>
        <v>0</v>
      </c>
      <c r="BQ74" s="39">
        <f t="shared" si="109"/>
        <v>0</v>
      </c>
      <c r="BR74" s="39">
        <f t="shared" si="109"/>
        <v>0</v>
      </c>
      <c r="BS74" s="39">
        <f t="shared" si="109"/>
        <v>0</v>
      </c>
      <c r="BT74" s="39">
        <f t="shared" si="109"/>
        <v>0</v>
      </c>
      <c r="BU74" s="39">
        <f t="shared" si="109"/>
        <v>0</v>
      </c>
      <c r="BV74" s="39">
        <f t="shared" si="109"/>
        <v>0</v>
      </c>
      <c r="BW74" s="39">
        <f t="shared" ref="BW74:DM74" si="110">BW72*BW73</f>
        <v>0</v>
      </c>
      <c r="BX74" s="39">
        <f t="shared" si="110"/>
        <v>0</v>
      </c>
      <c r="BY74" s="39">
        <f t="shared" si="110"/>
        <v>0</v>
      </c>
      <c r="BZ74" s="39">
        <f t="shared" si="110"/>
        <v>0</v>
      </c>
      <c r="CA74" s="39">
        <f t="shared" si="110"/>
        <v>0</v>
      </c>
      <c r="CB74" s="39">
        <f t="shared" si="110"/>
        <v>0</v>
      </c>
      <c r="CC74" s="39">
        <f t="shared" si="110"/>
        <v>0</v>
      </c>
      <c r="CD74" s="39">
        <f t="shared" si="110"/>
        <v>0</v>
      </c>
      <c r="CE74" s="39">
        <f t="shared" si="110"/>
        <v>0</v>
      </c>
      <c r="CF74" s="39">
        <f t="shared" si="110"/>
        <v>0</v>
      </c>
      <c r="CG74" s="39">
        <f t="shared" si="110"/>
        <v>0</v>
      </c>
      <c r="CH74" s="39">
        <f t="shared" si="110"/>
        <v>0</v>
      </c>
      <c r="CI74" s="39">
        <f t="shared" si="110"/>
        <v>0</v>
      </c>
      <c r="CJ74" s="39">
        <f t="shared" si="110"/>
        <v>0</v>
      </c>
      <c r="CK74" s="39">
        <f t="shared" si="110"/>
        <v>0</v>
      </c>
      <c r="CL74" s="39">
        <f t="shared" si="110"/>
        <v>0</v>
      </c>
      <c r="CM74" s="39">
        <f t="shared" si="110"/>
        <v>0</v>
      </c>
      <c r="CN74" s="39">
        <f t="shared" si="110"/>
        <v>0</v>
      </c>
      <c r="CO74" s="39">
        <f t="shared" si="110"/>
        <v>0</v>
      </c>
      <c r="CP74" s="39">
        <f t="shared" si="110"/>
        <v>0</v>
      </c>
      <c r="CQ74" s="39">
        <f t="shared" si="110"/>
        <v>0</v>
      </c>
      <c r="CR74" s="39">
        <f t="shared" si="110"/>
        <v>0</v>
      </c>
      <c r="CS74" s="39">
        <f t="shared" si="110"/>
        <v>0</v>
      </c>
      <c r="CT74" s="39">
        <f t="shared" si="110"/>
        <v>0</v>
      </c>
      <c r="CU74" s="39">
        <f t="shared" si="110"/>
        <v>0</v>
      </c>
      <c r="CV74" s="39">
        <f t="shared" si="110"/>
        <v>0</v>
      </c>
      <c r="CW74" s="39">
        <f t="shared" si="110"/>
        <v>0</v>
      </c>
      <c r="CX74" s="39">
        <f t="shared" si="110"/>
        <v>0</v>
      </c>
      <c r="CY74" s="39">
        <f t="shared" si="110"/>
        <v>0</v>
      </c>
      <c r="CZ74" s="39">
        <f t="shared" si="110"/>
        <v>0</v>
      </c>
      <c r="DA74" s="39">
        <f t="shared" si="110"/>
        <v>0</v>
      </c>
      <c r="DB74" s="39">
        <f t="shared" si="110"/>
        <v>0</v>
      </c>
      <c r="DC74" s="39">
        <f t="shared" si="110"/>
        <v>0</v>
      </c>
      <c r="DD74" s="39">
        <f t="shared" si="110"/>
        <v>0</v>
      </c>
      <c r="DE74" s="39">
        <f t="shared" si="110"/>
        <v>0</v>
      </c>
      <c r="DF74" s="39">
        <f t="shared" si="110"/>
        <v>0</v>
      </c>
      <c r="DG74" s="39">
        <f t="shared" si="110"/>
        <v>0</v>
      </c>
      <c r="DH74" s="39">
        <f t="shared" si="110"/>
        <v>0</v>
      </c>
      <c r="DI74" s="39">
        <f t="shared" si="110"/>
        <v>0</v>
      </c>
      <c r="DJ74" s="39">
        <f t="shared" si="110"/>
        <v>0</v>
      </c>
      <c r="DK74" s="39">
        <f t="shared" si="110"/>
        <v>0</v>
      </c>
      <c r="DL74" s="39">
        <f t="shared" si="110"/>
        <v>0</v>
      </c>
      <c r="DM74" s="39">
        <f t="shared" si="110"/>
        <v>0</v>
      </c>
    </row>
    <row r="75" spans="1:117" x14ac:dyDescent="0.15">
      <c r="D75" s="5"/>
    </row>
    <row r="76" spans="1:117" ht="20" x14ac:dyDescent="0.2">
      <c r="C76" s="4" t="s">
        <v>72</v>
      </c>
      <c r="D76" s="5"/>
    </row>
    <row r="77" spans="1:117" ht="14" outlineLevel="1" x14ac:dyDescent="0.15">
      <c r="A77" s="60"/>
      <c r="C77" s="2" t="s">
        <v>19</v>
      </c>
      <c r="D77" s="5"/>
    </row>
    <row r="78" spans="1:117" outlineLevel="1" x14ac:dyDescent="0.15">
      <c r="A78" s="60"/>
      <c r="C78" t="s">
        <v>301</v>
      </c>
      <c r="D78" s="5" t="s">
        <v>167</v>
      </c>
      <c r="E78" s="64">
        <f>(1+F78)*G78</f>
        <v>38163636.363636374</v>
      </c>
      <c r="F78" s="85">
        <f>'Scenario Manager'!E14</f>
        <v>0</v>
      </c>
      <c r="G78" s="89">
        <f>(336.1+72.1+11.6)/11*1000000</f>
        <v>38163636.363636374</v>
      </c>
      <c r="I78" s="35">
        <f t="shared" ref="I78" si="111">SUM(J78:DM78)</f>
        <v>419800000.00000012</v>
      </c>
      <c r="J78" s="166">
        <f>$E78*J$6*(1+J10)</f>
        <v>0</v>
      </c>
      <c r="K78" s="59">
        <f t="shared" ref="K78:X78" si="112">$E78*K$6*(1+K10)</f>
        <v>0</v>
      </c>
      <c r="L78" s="59">
        <f t="shared" si="112"/>
        <v>0</v>
      </c>
      <c r="M78" s="59">
        <f t="shared" si="112"/>
        <v>0</v>
      </c>
      <c r="N78" s="59">
        <f t="shared" si="112"/>
        <v>38163636.363636374</v>
      </c>
      <c r="O78" s="59">
        <f>$E78*O$6*(1+O10)</f>
        <v>38163636.363636374</v>
      </c>
      <c r="P78" s="59">
        <f t="shared" si="112"/>
        <v>38163636.363636374</v>
      </c>
      <c r="Q78" s="59">
        <f t="shared" si="112"/>
        <v>38163636.363636374</v>
      </c>
      <c r="R78" s="59">
        <f t="shared" si="112"/>
        <v>38163636.363636374</v>
      </c>
      <c r="S78" s="59">
        <f t="shared" si="112"/>
        <v>38163636.363636374</v>
      </c>
      <c r="T78" s="59">
        <f>$E78*T$6*(1+T10)</f>
        <v>38163636.363636374</v>
      </c>
      <c r="U78" s="59">
        <f t="shared" si="112"/>
        <v>38163636.363636374</v>
      </c>
      <c r="V78" s="59">
        <f t="shared" si="112"/>
        <v>38163636.363636374</v>
      </c>
      <c r="W78" s="59">
        <f t="shared" si="112"/>
        <v>38163636.363636374</v>
      </c>
      <c r="X78" s="59">
        <f t="shared" si="112"/>
        <v>38163636.363636374</v>
      </c>
      <c r="Y78" s="59">
        <f t="shared" ref="Y78:AO78" si="113">$E78*Y$6</f>
        <v>0</v>
      </c>
      <c r="Z78" s="59">
        <f t="shared" si="113"/>
        <v>0</v>
      </c>
      <c r="AA78" s="59">
        <f t="shared" si="113"/>
        <v>0</v>
      </c>
      <c r="AB78" s="59">
        <f t="shared" si="113"/>
        <v>0</v>
      </c>
      <c r="AC78" s="59">
        <f t="shared" si="113"/>
        <v>0</v>
      </c>
      <c r="AD78" s="59">
        <f t="shared" si="113"/>
        <v>0</v>
      </c>
      <c r="AE78" s="59">
        <f t="shared" si="113"/>
        <v>0</v>
      </c>
      <c r="AF78" s="59">
        <f t="shared" si="113"/>
        <v>0</v>
      </c>
      <c r="AG78" s="59">
        <f t="shared" si="113"/>
        <v>0</v>
      </c>
      <c r="AH78" s="59">
        <f t="shared" si="113"/>
        <v>0</v>
      </c>
      <c r="AI78" s="59">
        <f t="shared" si="113"/>
        <v>0</v>
      </c>
      <c r="AJ78" s="59">
        <f t="shared" si="113"/>
        <v>0</v>
      </c>
      <c r="AK78" s="59">
        <f t="shared" si="113"/>
        <v>0</v>
      </c>
      <c r="AL78" s="59">
        <f t="shared" si="113"/>
        <v>0</v>
      </c>
      <c r="AM78" s="59">
        <f t="shared" si="113"/>
        <v>0</v>
      </c>
      <c r="AN78" s="59">
        <f t="shared" si="113"/>
        <v>0</v>
      </c>
      <c r="AO78" s="59">
        <f t="shared" si="113"/>
        <v>0</v>
      </c>
      <c r="AP78" s="59">
        <f t="shared" ref="AP78:DA78" si="114">$E78*AP$6</f>
        <v>0</v>
      </c>
      <c r="AQ78" s="59">
        <f t="shared" si="114"/>
        <v>0</v>
      </c>
      <c r="AR78" s="59">
        <f t="shared" si="114"/>
        <v>0</v>
      </c>
      <c r="AS78" s="59">
        <f t="shared" si="114"/>
        <v>0</v>
      </c>
      <c r="AT78" s="59">
        <f t="shared" si="114"/>
        <v>0</v>
      </c>
      <c r="AU78" s="59">
        <f t="shared" si="114"/>
        <v>0</v>
      </c>
      <c r="AV78" s="59">
        <f t="shared" si="114"/>
        <v>0</v>
      </c>
      <c r="AW78" s="59">
        <f t="shared" si="114"/>
        <v>0</v>
      </c>
      <c r="AX78" s="59">
        <f t="shared" si="114"/>
        <v>0</v>
      </c>
      <c r="AY78" s="59">
        <f t="shared" si="114"/>
        <v>0</v>
      </c>
      <c r="AZ78" s="59">
        <f t="shared" si="114"/>
        <v>0</v>
      </c>
      <c r="BA78" s="59">
        <f t="shared" si="114"/>
        <v>0</v>
      </c>
      <c r="BB78" s="59">
        <f t="shared" si="114"/>
        <v>0</v>
      </c>
      <c r="BC78" s="59">
        <f t="shared" si="114"/>
        <v>0</v>
      </c>
      <c r="BD78" s="59">
        <f t="shared" si="114"/>
        <v>0</v>
      </c>
      <c r="BE78" s="59">
        <f t="shared" si="114"/>
        <v>0</v>
      </c>
      <c r="BF78" s="59">
        <f t="shared" si="114"/>
        <v>0</v>
      </c>
      <c r="BG78" s="59">
        <f t="shared" si="114"/>
        <v>0</v>
      </c>
      <c r="BH78" s="59">
        <f t="shared" si="114"/>
        <v>0</v>
      </c>
      <c r="BI78" s="59">
        <f t="shared" si="114"/>
        <v>0</v>
      </c>
      <c r="BJ78" s="59">
        <f t="shared" si="114"/>
        <v>0</v>
      </c>
      <c r="BK78" s="59">
        <f t="shared" si="114"/>
        <v>0</v>
      </c>
      <c r="BL78" s="59">
        <f t="shared" si="114"/>
        <v>0</v>
      </c>
      <c r="BM78" s="59">
        <f t="shared" si="114"/>
        <v>0</v>
      </c>
      <c r="BN78" s="59">
        <f t="shared" si="114"/>
        <v>0</v>
      </c>
      <c r="BO78" s="59">
        <f t="shared" si="114"/>
        <v>0</v>
      </c>
      <c r="BP78" s="59">
        <f t="shared" si="114"/>
        <v>0</v>
      </c>
      <c r="BQ78" s="59">
        <f t="shared" si="114"/>
        <v>0</v>
      </c>
      <c r="BR78" s="59">
        <f t="shared" si="114"/>
        <v>0</v>
      </c>
      <c r="BS78" s="59">
        <f t="shared" si="114"/>
        <v>0</v>
      </c>
      <c r="BT78" s="59">
        <f t="shared" si="114"/>
        <v>0</v>
      </c>
      <c r="BU78" s="59">
        <f t="shared" si="114"/>
        <v>0</v>
      </c>
      <c r="BV78" s="59">
        <f t="shared" si="114"/>
        <v>0</v>
      </c>
      <c r="BW78" s="59">
        <f t="shared" si="114"/>
        <v>0</v>
      </c>
      <c r="BX78" s="59">
        <f t="shared" si="114"/>
        <v>0</v>
      </c>
      <c r="BY78" s="59">
        <f t="shared" si="114"/>
        <v>0</v>
      </c>
      <c r="BZ78" s="59">
        <f t="shared" si="114"/>
        <v>0</v>
      </c>
      <c r="CA78" s="59">
        <f t="shared" si="114"/>
        <v>0</v>
      </c>
      <c r="CB78" s="59">
        <f t="shared" si="114"/>
        <v>0</v>
      </c>
      <c r="CC78" s="59">
        <f t="shared" si="114"/>
        <v>0</v>
      </c>
      <c r="CD78" s="59">
        <f t="shared" si="114"/>
        <v>0</v>
      </c>
      <c r="CE78" s="59">
        <f t="shared" si="114"/>
        <v>0</v>
      </c>
      <c r="CF78" s="59">
        <f t="shared" si="114"/>
        <v>0</v>
      </c>
      <c r="CG78" s="59">
        <f t="shared" si="114"/>
        <v>0</v>
      </c>
      <c r="CH78" s="59">
        <f t="shared" si="114"/>
        <v>0</v>
      </c>
      <c r="CI78" s="59">
        <f t="shared" si="114"/>
        <v>0</v>
      </c>
      <c r="CJ78" s="59">
        <f t="shared" si="114"/>
        <v>0</v>
      </c>
      <c r="CK78" s="59">
        <f t="shared" si="114"/>
        <v>0</v>
      </c>
      <c r="CL78" s="59">
        <f t="shared" si="114"/>
        <v>0</v>
      </c>
      <c r="CM78" s="59">
        <f t="shared" si="114"/>
        <v>0</v>
      </c>
      <c r="CN78" s="59">
        <f t="shared" si="114"/>
        <v>0</v>
      </c>
      <c r="CO78" s="59">
        <f t="shared" si="114"/>
        <v>0</v>
      </c>
      <c r="CP78" s="59">
        <f t="shared" si="114"/>
        <v>0</v>
      </c>
      <c r="CQ78" s="59">
        <f t="shared" si="114"/>
        <v>0</v>
      </c>
      <c r="CR78" s="59">
        <f t="shared" si="114"/>
        <v>0</v>
      </c>
      <c r="CS78" s="59">
        <f t="shared" si="114"/>
        <v>0</v>
      </c>
      <c r="CT78" s="59">
        <f t="shared" si="114"/>
        <v>0</v>
      </c>
      <c r="CU78" s="59">
        <f t="shared" si="114"/>
        <v>0</v>
      </c>
      <c r="CV78" s="59">
        <f t="shared" si="114"/>
        <v>0</v>
      </c>
      <c r="CW78" s="59">
        <f t="shared" si="114"/>
        <v>0</v>
      </c>
      <c r="CX78" s="59">
        <f t="shared" si="114"/>
        <v>0</v>
      </c>
      <c r="CY78" s="59">
        <f t="shared" si="114"/>
        <v>0</v>
      </c>
      <c r="CZ78" s="59">
        <f t="shared" si="114"/>
        <v>0</v>
      </c>
      <c r="DA78" s="59">
        <f t="shared" si="114"/>
        <v>0</v>
      </c>
      <c r="DB78" s="59">
        <f t="shared" ref="DB78:DM78" si="115">$E78*DB$6</f>
        <v>0</v>
      </c>
      <c r="DC78" s="59">
        <f t="shared" si="115"/>
        <v>0</v>
      </c>
      <c r="DD78" s="59">
        <f t="shared" si="115"/>
        <v>0</v>
      </c>
      <c r="DE78" s="59">
        <f t="shared" si="115"/>
        <v>0</v>
      </c>
      <c r="DF78" s="59">
        <f t="shared" si="115"/>
        <v>0</v>
      </c>
      <c r="DG78" s="59">
        <f t="shared" si="115"/>
        <v>0</v>
      </c>
      <c r="DH78" s="59">
        <f t="shared" si="115"/>
        <v>0</v>
      </c>
      <c r="DI78" s="59">
        <f t="shared" si="115"/>
        <v>0</v>
      </c>
      <c r="DJ78" s="59">
        <f t="shared" si="115"/>
        <v>0</v>
      </c>
      <c r="DK78" s="59">
        <f t="shared" si="115"/>
        <v>0</v>
      </c>
      <c r="DL78" s="59">
        <f t="shared" si="115"/>
        <v>0</v>
      </c>
      <c r="DM78" s="59">
        <f t="shared" si="115"/>
        <v>0</v>
      </c>
    </row>
    <row r="79" spans="1:117" outlineLevel="1" x14ac:dyDescent="0.15">
      <c r="A79" s="60"/>
      <c r="C79" t="s">
        <v>363</v>
      </c>
      <c r="D79" s="5" t="s">
        <v>168</v>
      </c>
      <c r="E79" s="86">
        <f>(1+F79)*G79</f>
        <v>59.33</v>
      </c>
      <c r="G79" s="22">
        <f>21.58+37.75</f>
        <v>59.33</v>
      </c>
      <c r="J79" s="166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59"/>
      <c r="DI79" s="59"/>
      <c r="DJ79" s="59"/>
      <c r="DK79" s="59"/>
      <c r="DL79" s="59"/>
      <c r="DM79" s="59"/>
    </row>
    <row r="80" spans="1:117" outlineLevel="1" x14ac:dyDescent="0.15">
      <c r="A80" s="60"/>
      <c r="C80" t="s">
        <v>364</v>
      </c>
      <c r="D80" s="5" t="s">
        <v>362</v>
      </c>
      <c r="E80" s="86">
        <f>(1+F80)*G80</f>
        <v>19.030923497650935</v>
      </c>
      <c r="F80" s="85">
        <f>'Scenario Manager'!E14</f>
        <v>0</v>
      </c>
      <c r="G80" s="22">
        <f>271400000/14261000</f>
        <v>19.030923497650935</v>
      </c>
      <c r="J80" s="163">
        <f>$E80*J$6</f>
        <v>0</v>
      </c>
      <c r="K80" s="14">
        <f t="shared" ref="K80:Z80" si="116">$E80*K$6</f>
        <v>0</v>
      </c>
      <c r="L80" s="14">
        <f t="shared" si="116"/>
        <v>0</v>
      </c>
      <c r="M80" s="14">
        <f t="shared" si="116"/>
        <v>0</v>
      </c>
      <c r="N80" s="14">
        <f t="shared" si="116"/>
        <v>19.030923497650935</v>
      </c>
      <c r="O80" s="14">
        <f t="shared" si="116"/>
        <v>19.030923497650935</v>
      </c>
      <c r="P80" s="14">
        <f t="shared" si="116"/>
        <v>19.030923497650935</v>
      </c>
      <c r="Q80" s="14">
        <f>$E80*Q$6</f>
        <v>19.030923497650935</v>
      </c>
      <c r="R80" s="14">
        <f t="shared" si="116"/>
        <v>19.030923497650935</v>
      </c>
      <c r="S80" s="14">
        <f t="shared" si="116"/>
        <v>19.030923497650935</v>
      </c>
      <c r="T80" s="14">
        <f t="shared" si="116"/>
        <v>19.030923497650935</v>
      </c>
      <c r="U80" s="14">
        <f t="shared" si="116"/>
        <v>19.030923497650935</v>
      </c>
      <c r="V80" s="14">
        <f t="shared" si="116"/>
        <v>19.030923497650935</v>
      </c>
      <c r="W80" s="14">
        <f>$E80*W$6</f>
        <v>19.030923497650935</v>
      </c>
      <c r="X80" s="14">
        <f t="shared" si="116"/>
        <v>19.030923497650935</v>
      </c>
      <c r="Y80" s="14">
        <f t="shared" si="116"/>
        <v>0</v>
      </c>
      <c r="Z80" s="14">
        <f t="shared" si="116"/>
        <v>0</v>
      </c>
      <c r="AA80" s="14">
        <f t="shared" ref="AA80:AO80" si="117">$E80*AA$6</f>
        <v>0</v>
      </c>
      <c r="AB80" s="14">
        <f t="shared" si="117"/>
        <v>0</v>
      </c>
      <c r="AC80" s="14">
        <f t="shared" si="117"/>
        <v>0</v>
      </c>
      <c r="AD80" s="14">
        <f t="shared" si="117"/>
        <v>0</v>
      </c>
      <c r="AE80" s="14">
        <f t="shared" si="117"/>
        <v>0</v>
      </c>
      <c r="AF80" s="14">
        <f t="shared" si="117"/>
        <v>0</v>
      </c>
      <c r="AG80" s="14">
        <f t="shared" si="117"/>
        <v>0</v>
      </c>
      <c r="AH80" s="14">
        <f t="shared" si="117"/>
        <v>0</v>
      </c>
      <c r="AI80" s="14">
        <f t="shared" si="117"/>
        <v>0</v>
      </c>
      <c r="AJ80" s="14">
        <f t="shared" si="117"/>
        <v>0</v>
      </c>
      <c r="AK80" s="14">
        <f t="shared" si="117"/>
        <v>0</v>
      </c>
      <c r="AL80" s="14">
        <f t="shared" si="117"/>
        <v>0</v>
      </c>
      <c r="AM80" s="14">
        <f t="shared" si="117"/>
        <v>0</v>
      </c>
      <c r="AN80" s="14">
        <f t="shared" si="117"/>
        <v>0</v>
      </c>
      <c r="AO80" s="14">
        <f t="shared" si="117"/>
        <v>0</v>
      </c>
      <c r="AP80" s="14">
        <f t="shared" ref="AP80:BU80" si="118">$E80*AP$6</f>
        <v>0</v>
      </c>
      <c r="AQ80" s="14">
        <f t="shared" si="118"/>
        <v>0</v>
      </c>
      <c r="AR80" s="14">
        <f t="shared" si="118"/>
        <v>0</v>
      </c>
      <c r="AS80" s="14">
        <f t="shared" si="118"/>
        <v>0</v>
      </c>
      <c r="AT80" s="14">
        <f t="shared" si="118"/>
        <v>0</v>
      </c>
      <c r="AU80" s="14">
        <f t="shared" si="118"/>
        <v>0</v>
      </c>
      <c r="AV80" s="14">
        <f t="shared" si="118"/>
        <v>0</v>
      </c>
      <c r="AW80" s="14">
        <f t="shared" si="118"/>
        <v>0</v>
      </c>
      <c r="AX80" s="14">
        <f t="shared" si="118"/>
        <v>0</v>
      </c>
      <c r="AY80" s="14">
        <f t="shared" si="118"/>
        <v>0</v>
      </c>
      <c r="AZ80" s="14">
        <f t="shared" si="118"/>
        <v>0</v>
      </c>
      <c r="BA80" s="14">
        <f t="shared" si="118"/>
        <v>0</v>
      </c>
      <c r="BB80" s="14">
        <f t="shared" si="118"/>
        <v>0</v>
      </c>
      <c r="BC80" s="14">
        <f t="shared" si="118"/>
        <v>0</v>
      </c>
      <c r="BD80" s="14">
        <f t="shared" si="118"/>
        <v>0</v>
      </c>
      <c r="BE80" s="14">
        <f t="shared" si="118"/>
        <v>0</v>
      </c>
      <c r="BF80" s="14">
        <f t="shared" si="118"/>
        <v>0</v>
      </c>
      <c r="BG80" s="14">
        <f t="shared" si="118"/>
        <v>0</v>
      </c>
      <c r="BH80" s="14">
        <f t="shared" si="118"/>
        <v>0</v>
      </c>
      <c r="BI80" s="14">
        <f t="shared" si="118"/>
        <v>0</v>
      </c>
      <c r="BJ80" s="14">
        <f t="shared" si="118"/>
        <v>0</v>
      </c>
      <c r="BK80" s="14">
        <f t="shared" si="118"/>
        <v>0</v>
      </c>
      <c r="BL80" s="14">
        <f t="shared" si="118"/>
        <v>0</v>
      </c>
      <c r="BM80" s="14">
        <f t="shared" si="118"/>
        <v>0</v>
      </c>
      <c r="BN80" s="14">
        <f t="shared" si="118"/>
        <v>0</v>
      </c>
      <c r="BO80" s="14">
        <f t="shared" si="118"/>
        <v>0</v>
      </c>
      <c r="BP80" s="14">
        <f t="shared" si="118"/>
        <v>0</v>
      </c>
      <c r="BQ80" s="14">
        <f t="shared" si="118"/>
        <v>0</v>
      </c>
      <c r="BR80" s="14">
        <f t="shared" si="118"/>
        <v>0</v>
      </c>
      <c r="BS80" s="14">
        <f t="shared" si="118"/>
        <v>0</v>
      </c>
      <c r="BT80" s="14">
        <f t="shared" si="118"/>
        <v>0</v>
      </c>
      <c r="BU80" s="14">
        <f t="shared" si="118"/>
        <v>0</v>
      </c>
      <c r="BV80" s="14">
        <f t="shared" ref="BV80:DA80" si="119">$E80*BV$6</f>
        <v>0</v>
      </c>
      <c r="BW80" s="14">
        <f t="shared" si="119"/>
        <v>0</v>
      </c>
      <c r="BX80" s="14">
        <f t="shared" si="119"/>
        <v>0</v>
      </c>
      <c r="BY80" s="14">
        <f t="shared" si="119"/>
        <v>0</v>
      </c>
      <c r="BZ80" s="14">
        <f t="shared" si="119"/>
        <v>0</v>
      </c>
      <c r="CA80" s="14">
        <f t="shared" si="119"/>
        <v>0</v>
      </c>
      <c r="CB80" s="14">
        <f t="shared" si="119"/>
        <v>0</v>
      </c>
      <c r="CC80" s="14">
        <f t="shared" si="119"/>
        <v>0</v>
      </c>
      <c r="CD80" s="14">
        <f t="shared" si="119"/>
        <v>0</v>
      </c>
      <c r="CE80" s="14">
        <f t="shared" si="119"/>
        <v>0</v>
      </c>
      <c r="CF80" s="14">
        <f t="shared" si="119"/>
        <v>0</v>
      </c>
      <c r="CG80" s="14">
        <f t="shared" si="119"/>
        <v>0</v>
      </c>
      <c r="CH80" s="14">
        <f t="shared" si="119"/>
        <v>0</v>
      </c>
      <c r="CI80" s="14">
        <f t="shared" si="119"/>
        <v>0</v>
      </c>
      <c r="CJ80" s="14">
        <f t="shared" si="119"/>
        <v>0</v>
      </c>
      <c r="CK80" s="14">
        <f t="shared" si="119"/>
        <v>0</v>
      </c>
      <c r="CL80" s="14">
        <f t="shared" si="119"/>
        <v>0</v>
      </c>
      <c r="CM80" s="14">
        <f t="shared" si="119"/>
        <v>0</v>
      </c>
      <c r="CN80" s="14">
        <f t="shared" si="119"/>
        <v>0</v>
      </c>
      <c r="CO80" s="14">
        <f t="shared" si="119"/>
        <v>0</v>
      </c>
      <c r="CP80" s="14">
        <f t="shared" si="119"/>
        <v>0</v>
      </c>
      <c r="CQ80" s="14">
        <f t="shared" si="119"/>
        <v>0</v>
      </c>
      <c r="CR80" s="14">
        <f t="shared" si="119"/>
        <v>0</v>
      </c>
      <c r="CS80" s="14">
        <f t="shared" si="119"/>
        <v>0</v>
      </c>
      <c r="CT80" s="14">
        <f t="shared" si="119"/>
        <v>0</v>
      </c>
      <c r="CU80" s="14">
        <f t="shared" si="119"/>
        <v>0</v>
      </c>
      <c r="CV80" s="14">
        <f t="shared" si="119"/>
        <v>0</v>
      </c>
      <c r="CW80" s="14">
        <f t="shared" si="119"/>
        <v>0</v>
      </c>
      <c r="CX80" s="14">
        <f t="shared" si="119"/>
        <v>0</v>
      </c>
      <c r="CY80" s="14">
        <f t="shared" si="119"/>
        <v>0</v>
      </c>
      <c r="CZ80" s="14">
        <f t="shared" si="119"/>
        <v>0</v>
      </c>
      <c r="DA80" s="14">
        <f t="shared" si="119"/>
        <v>0</v>
      </c>
      <c r="DB80" s="14">
        <f t="shared" ref="DB80:DM80" si="120">$E80*DB$6</f>
        <v>0</v>
      </c>
      <c r="DC80" s="14">
        <f t="shared" si="120"/>
        <v>0</v>
      </c>
      <c r="DD80" s="14">
        <f t="shared" si="120"/>
        <v>0</v>
      </c>
      <c r="DE80" s="14">
        <f t="shared" si="120"/>
        <v>0</v>
      </c>
      <c r="DF80" s="14">
        <f t="shared" si="120"/>
        <v>0</v>
      </c>
      <c r="DG80" s="14">
        <f t="shared" si="120"/>
        <v>0</v>
      </c>
      <c r="DH80" s="14">
        <f t="shared" si="120"/>
        <v>0</v>
      </c>
      <c r="DI80" s="14">
        <f t="shared" si="120"/>
        <v>0</v>
      </c>
      <c r="DJ80" s="14">
        <f t="shared" si="120"/>
        <v>0</v>
      </c>
      <c r="DK80" s="14">
        <f t="shared" si="120"/>
        <v>0</v>
      </c>
      <c r="DL80" s="14">
        <f t="shared" si="120"/>
        <v>0</v>
      </c>
      <c r="DM80" s="14">
        <f t="shared" si="120"/>
        <v>0</v>
      </c>
    </row>
    <row r="81" spans="1:117" outlineLevel="1" x14ac:dyDescent="0.15">
      <c r="A81" s="60"/>
      <c r="D81" s="5"/>
    </row>
    <row r="82" spans="1:117" outlineLevel="1" x14ac:dyDescent="0.15">
      <c r="A82" s="60"/>
      <c r="C82" t="s">
        <v>79</v>
      </c>
      <c r="D82" s="5" t="s">
        <v>167</v>
      </c>
      <c r="I82" s="35">
        <f t="shared" ref="I82:I83" si="121">SUM(J82:DM82)</f>
        <v>271400000</v>
      </c>
      <c r="J82" s="150">
        <f>J80*SUM(J36:J37)*(1+J10)</f>
        <v>0</v>
      </c>
      <c r="K82" s="37">
        <f t="shared" ref="K82:Z82" si="122">K80*SUM(K36:K37)*(1+K10)</f>
        <v>0</v>
      </c>
      <c r="L82" s="37">
        <f t="shared" si="122"/>
        <v>0</v>
      </c>
      <c r="M82" s="37">
        <f t="shared" si="122"/>
        <v>0</v>
      </c>
      <c r="N82" s="37">
        <f t="shared" si="122"/>
        <v>26510076.432227753</v>
      </c>
      <c r="O82" s="37">
        <f t="shared" si="122"/>
        <v>34103414.907790475</v>
      </c>
      <c r="P82" s="37">
        <f t="shared" si="122"/>
        <v>28679601.71095996</v>
      </c>
      <c r="Q82" s="37">
        <f>Q80*SUM(Q36:Q37)*(1+Q10)</f>
        <v>26091396.115279432</v>
      </c>
      <c r="R82" s="37">
        <f t="shared" si="122"/>
        <v>29421807.727368347</v>
      </c>
      <c r="S82" s="37">
        <f t="shared" si="122"/>
        <v>25786901.339317016</v>
      </c>
      <c r="T82" s="37">
        <f t="shared" si="122"/>
        <v>23046448.355655283</v>
      </c>
      <c r="U82" s="37">
        <f t="shared" si="122"/>
        <v>22760984.503190517</v>
      </c>
      <c r="V82" s="37">
        <f>V80*SUM(V36:V37)*(1+V10)</f>
        <v>19830222.284552276</v>
      </c>
      <c r="W82" s="37">
        <f t="shared" si="122"/>
        <v>20705644.765444219</v>
      </c>
      <c r="X82" s="37">
        <f t="shared" si="122"/>
        <v>14463501.85821471</v>
      </c>
      <c r="Y82" s="37">
        <f t="shared" si="122"/>
        <v>0</v>
      </c>
      <c r="Z82" s="37">
        <f t="shared" si="122"/>
        <v>0</v>
      </c>
      <c r="AA82" s="37">
        <f t="shared" ref="AA82:AO82" si="123">AA80*SUM(AA36:AA37)</f>
        <v>0</v>
      </c>
      <c r="AB82" s="37">
        <f t="shared" si="123"/>
        <v>0</v>
      </c>
      <c r="AC82" s="37">
        <f t="shared" si="123"/>
        <v>0</v>
      </c>
      <c r="AD82" s="37">
        <f t="shared" si="123"/>
        <v>0</v>
      </c>
      <c r="AE82" s="37">
        <f t="shared" si="123"/>
        <v>0</v>
      </c>
      <c r="AF82" s="37">
        <f t="shared" si="123"/>
        <v>0</v>
      </c>
      <c r="AG82" s="37">
        <f t="shared" si="123"/>
        <v>0</v>
      </c>
      <c r="AH82" s="37">
        <f t="shared" si="123"/>
        <v>0</v>
      </c>
      <c r="AI82" s="37">
        <f t="shared" si="123"/>
        <v>0</v>
      </c>
      <c r="AJ82" s="37">
        <f t="shared" si="123"/>
        <v>0</v>
      </c>
      <c r="AK82" s="37">
        <f t="shared" si="123"/>
        <v>0</v>
      </c>
      <c r="AL82" s="37">
        <f t="shared" si="123"/>
        <v>0</v>
      </c>
      <c r="AM82" s="37">
        <f t="shared" si="123"/>
        <v>0</v>
      </c>
      <c r="AN82" s="37">
        <f t="shared" si="123"/>
        <v>0</v>
      </c>
      <c r="AO82" s="37">
        <f t="shared" si="123"/>
        <v>0</v>
      </c>
      <c r="AP82" s="37">
        <f t="shared" ref="AP82:BU82" si="124">AP80*SUM(AP36:AP37)</f>
        <v>0</v>
      </c>
      <c r="AQ82" s="37">
        <f t="shared" si="124"/>
        <v>0</v>
      </c>
      <c r="AR82" s="37">
        <f t="shared" si="124"/>
        <v>0</v>
      </c>
      <c r="AS82" s="37">
        <f t="shared" si="124"/>
        <v>0</v>
      </c>
      <c r="AT82" s="37">
        <f t="shared" si="124"/>
        <v>0</v>
      </c>
      <c r="AU82" s="37">
        <f t="shared" si="124"/>
        <v>0</v>
      </c>
      <c r="AV82" s="37">
        <f t="shared" si="124"/>
        <v>0</v>
      </c>
      <c r="AW82" s="37">
        <f t="shared" si="124"/>
        <v>0</v>
      </c>
      <c r="AX82" s="37">
        <f t="shared" si="124"/>
        <v>0</v>
      </c>
      <c r="AY82" s="37">
        <f t="shared" si="124"/>
        <v>0</v>
      </c>
      <c r="AZ82" s="37">
        <f t="shared" si="124"/>
        <v>0</v>
      </c>
      <c r="BA82" s="37">
        <f t="shared" si="124"/>
        <v>0</v>
      </c>
      <c r="BB82" s="37">
        <f t="shared" si="124"/>
        <v>0</v>
      </c>
      <c r="BC82" s="37">
        <f t="shared" si="124"/>
        <v>0</v>
      </c>
      <c r="BD82" s="37">
        <f t="shared" si="124"/>
        <v>0</v>
      </c>
      <c r="BE82" s="37">
        <f t="shared" si="124"/>
        <v>0</v>
      </c>
      <c r="BF82" s="37">
        <f t="shared" si="124"/>
        <v>0</v>
      </c>
      <c r="BG82" s="37">
        <f t="shared" si="124"/>
        <v>0</v>
      </c>
      <c r="BH82" s="37">
        <f t="shared" si="124"/>
        <v>0</v>
      </c>
      <c r="BI82" s="37">
        <f t="shared" si="124"/>
        <v>0</v>
      </c>
      <c r="BJ82" s="37">
        <f t="shared" si="124"/>
        <v>0</v>
      </c>
      <c r="BK82" s="37">
        <f t="shared" si="124"/>
        <v>0</v>
      </c>
      <c r="BL82" s="37">
        <f t="shared" si="124"/>
        <v>0</v>
      </c>
      <c r="BM82" s="37">
        <f t="shared" si="124"/>
        <v>0</v>
      </c>
      <c r="BN82" s="37">
        <f t="shared" si="124"/>
        <v>0</v>
      </c>
      <c r="BO82" s="37">
        <f t="shared" si="124"/>
        <v>0</v>
      </c>
      <c r="BP82" s="37">
        <f t="shared" si="124"/>
        <v>0</v>
      </c>
      <c r="BQ82" s="37">
        <f t="shared" si="124"/>
        <v>0</v>
      </c>
      <c r="BR82" s="37">
        <f t="shared" si="124"/>
        <v>0</v>
      </c>
      <c r="BS82" s="37">
        <f t="shared" si="124"/>
        <v>0</v>
      </c>
      <c r="BT82" s="37">
        <f t="shared" si="124"/>
        <v>0</v>
      </c>
      <c r="BU82" s="37">
        <f t="shared" si="124"/>
        <v>0</v>
      </c>
      <c r="BV82" s="37">
        <f t="shared" ref="BV82:DA82" si="125">BV80*SUM(BV36:BV37)</f>
        <v>0</v>
      </c>
      <c r="BW82" s="37">
        <f t="shared" si="125"/>
        <v>0</v>
      </c>
      <c r="BX82" s="37">
        <f t="shared" si="125"/>
        <v>0</v>
      </c>
      <c r="BY82" s="37">
        <f t="shared" si="125"/>
        <v>0</v>
      </c>
      <c r="BZ82" s="37">
        <f t="shared" si="125"/>
        <v>0</v>
      </c>
      <c r="CA82" s="37">
        <f t="shared" si="125"/>
        <v>0</v>
      </c>
      <c r="CB82" s="37">
        <f t="shared" si="125"/>
        <v>0</v>
      </c>
      <c r="CC82" s="37">
        <f t="shared" si="125"/>
        <v>0</v>
      </c>
      <c r="CD82" s="37">
        <f t="shared" si="125"/>
        <v>0</v>
      </c>
      <c r="CE82" s="37">
        <f t="shared" si="125"/>
        <v>0</v>
      </c>
      <c r="CF82" s="37">
        <f t="shared" si="125"/>
        <v>0</v>
      </c>
      <c r="CG82" s="37">
        <f t="shared" si="125"/>
        <v>0</v>
      </c>
      <c r="CH82" s="37">
        <f t="shared" si="125"/>
        <v>0</v>
      </c>
      <c r="CI82" s="37">
        <f t="shared" si="125"/>
        <v>0</v>
      </c>
      <c r="CJ82" s="37">
        <f t="shared" si="125"/>
        <v>0</v>
      </c>
      <c r="CK82" s="37">
        <f t="shared" si="125"/>
        <v>0</v>
      </c>
      <c r="CL82" s="37">
        <f t="shared" si="125"/>
        <v>0</v>
      </c>
      <c r="CM82" s="37">
        <f t="shared" si="125"/>
        <v>0</v>
      </c>
      <c r="CN82" s="37">
        <f t="shared" si="125"/>
        <v>0</v>
      </c>
      <c r="CO82" s="37">
        <f t="shared" si="125"/>
        <v>0</v>
      </c>
      <c r="CP82" s="37">
        <f t="shared" si="125"/>
        <v>0</v>
      </c>
      <c r="CQ82" s="37">
        <f t="shared" si="125"/>
        <v>0</v>
      </c>
      <c r="CR82" s="37">
        <f t="shared" si="125"/>
        <v>0</v>
      </c>
      <c r="CS82" s="37">
        <f t="shared" si="125"/>
        <v>0</v>
      </c>
      <c r="CT82" s="37">
        <f t="shared" si="125"/>
        <v>0</v>
      </c>
      <c r="CU82" s="37">
        <f t="shared" si="125"/>
        <v>0</v>
      </c>
      <c r="CV82" s="37">
        <f t="shared" si="125"/>
        <v>0</v>
      </c>
      <c r="CW82" s="37">
        <f t="shared" si="125"/>
        <v>0</v>
      </c>
      <c r="CX82" s="37">
        <f t="shared" si="125"/>
        <v>0</v>
      </c>
      <c r="CY82" s="37">
        <f t="shared" si="125"/>
        <v>0</v>
      </c>
      <c r="CZ82" s="37">
        <f t="shared" si="125"/>
        <v>0</v>
      </c>
      <c r="DA82" s="37">
        <f t="shared" si="125"/>
        <v>0</v>
      </c>
      <c r="DB82" s="37">
        <f t="shared" ref="DB82:DM82" si="126">DB80*SUM(DB36:DB37)</f>
        <v>0</v>
      </c>
      <c r="DC82" s="37">
        <f t="shared" si="126"/>
        <v>0</v>
      </c>
      <c r="DD82" s="37">
        <f t="shared" si="126"/>
        <v>0</v>
      </c>
      <c r="DE82" s="37">
        <f t="shared" si="126"/>
        <v>0</v>
      </c>
      <c r="DF82" s="37">
        <f t="shared" si="126"/>
        <v>0</v>
      </c>
      <c r="DG82" s="37">
        <f t="shared" si="126"/>
        <v>0</v>
      </c>
      <c r="DH82" s="37">
        <f t="shared" si="126"/>
        <v>0</v>
      </c>
      <c r="DI82" s="37">
        <f t="shared" si="126"/>
        <v>0</v>
      </c>
      <c r="DJ82" s="37">
        <f t="shared" si="126"/>
        <v>0</v>
      </c>
      <c r="DK82" s="37">
        <f t="shared" si="126"/>
        <v>0</v>
      </c>
      <c r="DL82" s="37">
        <f t="shared" si="126"/>
        <v>0</v>
      </c>
      <c r="DM82" s="37">
        <f t="shared" si="126"/>
        <v>0</v>
      </c>
    </row>
    <row r="83" spans="1:117" outlineLevel="1" x14ac:dyDescent="0.15">
      <c r="A83" s="60"/>
      <c r="C83" t="s">
        <v>80</v>
      </c>
      <c r="D83" s="5" t="s">
        <v>167</v>
      </c>
      <c r="I83" s="35">
        <f t="shared" si="121"/>
        <v>691200000</v>
      </c>
      <c r="J83" s="159">
        <f t="shared" ref="J83:AO83" si="127">SUM(J78,J82)</f>
        <v>0</v>
      </c>
      <c r="K83" s="38">
        <f t="shared" si="127"/>
        <v>0</v>
      </c>
      <c r="L83" s="38">
        <f t="shared" si="127"/>
        <v>0</v>
      </c>
      <c r="M83" s="38">
        <f t="shared" si="127"/>
        <v>0</v>
      </c>
      <c r="N83" s="38">
        <f t="shared" si="127"/>
        <v>64673712.795864128</v>
      </c>
      <c r="O83" s="38">
        <f t="shared" si="127"/>
        <v>72267051.271426857</v>
      </c>
      <c r="P83" s="38">
        <f t="shared" si="127"/>
        <v>66843238.074596331</v>
      </c>
      <c r="Q83" s="38">
        <f t="shared" si="127"/>
        <v>64255032.478915811</v>
      </c>
      <c r="R83" s="38">
        <f t="shared" si="127"/>
        <v>67585444.091004729</v>
      </c>
      <c r="S83" s="38">
        <f t="shared" si="127"/>
        <v>63950537.702953391</v>
      </c>
      <c r="T83" s="38">
        <f t="shared" si="127"/>
        <v>61210084.719291657</v>
      </c>
      <c r="U83" s="38">
        <f t="shared" si="127"/>
        <v>60924620.866826892</v>
      </c>
      <c r="V83" s="38">
        <f t="shared" si="127"/>
        <v>57993858.648188651</v>
      </c>
      <c r="W83" s="38">
        <f t="shared" si="127"/>
        <v>58869281.129080594</v>
      </c>
      <c r="X83" s="38">
        <f t="shared" si="127"/>
        <v>52627138.221851081</v>
      </c>
      <c r="Y83" s="38">
        <f t="shared" si="127"/>
        <v>0</v>
      </c>
      <c r="Z83" s="38">
        <f t="shared" si="127"/>
        <v>0</v>
      </c>
      <c r="AA83" s="38">
        <f t="shared" si="127"/>
        <v>0</v>
      </c>
      <c r="AB83" s="38">
        <f t="shared" si="127"/>
        <v>0</v>
      </c>
      <c r="AC83" s="38">
        <f t="shared" si="127"/>
        <v>0</v>
      </c>
      <c r="AD83" s="38">
        <f t="shared" si="127"/>
        <v>0</v>
      </c>
      <c r="AE83" s="38">
        <f t="shared" si="127"/>
        <v>0</v>
      </c>
      <c r="AF83" s="38">
        <f t="shared" si="127"/>
        <v>0</v>
      </c>
      <c r="AG83" s="38">
        <f t="shared" si="127"/>
        <v>0</v>
      </c>
      <c r="AH83" s="38">
        <f t="shared" si="127"/>
        <v>0</v>
      </c>
      <c r="AI83" s="38">
        <f t="shared" si="127"/>
        <v>0</v>
      </c>
      <c r="AJ83" s="38">
        <f t="shared" si="127"/>
        <v>0</v>
      </c>
      <c r="AK83" s="38">
        <f t="shared" si="127"/>
        <v>0</v>
      </c>
      <c r="AL83" s="38">
        <f t="shared" si="127"/>
        <v>0</v>
      </c>
      <c r="AM83" s="38">
        <f t="shared" si="127"/>
        <v>0</v>
      </c>
      <c r="AN83" s="38">
        <f t="shared" si="127"/>
        <v>0</v>
      </c>
      <c r="AO83" s="38">
        <f t="shared" si="127"/>
        <v>0</v>
      </c>
      <c r="AP83" s="38">
        <f t="shared" ref="AP83:BU83" si="128">SUM(AP78,AP82)</f>
        <v>0</v>
      </c>
      <c r="AQ83" s="38">
        <f t="shared" si="128"/>
        <v>0</v>
      </c>
      <c r="AR83" s="38">
        <f t="shared" si="128"/>
        <v>0</v>
      </c>
      <c r="AS83" s="38">
        <f t="shared" si="128"/>
        <v>0</v>
      </c>
      <c r="AT83" s="38">
        <f t="shared" si="128"/>
        <v>0</v>
      </c>
      <c r="AU83" s="38">
        <f t="shared" si="128"/>
        <v>0</v>
      </c>
      <c r="AV83" s="38">
        <f t="shared" si="128"/>
        <v>0</v>
      </c>
      <c r="AW83" s="38">
        <f t="shared" si="128"/>
        <v>0</v>
      </c>
      <c r="AX83" s="38">
        <f t="shared" si="128"/>
        <v>0</v>
      </c>
      <c r="AY83" s="38">
        <f t="shared" si="128"/>
        <v>0</v>
      </c>
      <c r="AZ83" s="38">
        <f t="shared" si="128"/>
        <v>0</v>
      </c>
      <c r="BA83" s="38">
        <f t="shared" si="128"/>
        <v>0</v>
      </c>
      <c r="BB83" s="38">
        <f t="shared" si="128"/>
        <v>0</v>
      </c>
      <c r="BC83" s="38">
        <f t="shared" si="128"/>
        <v>0</v>
      </c>
      <c r="BD83" s="38">
        <f t="shared" si="128"/>
        <v>0</v>
      </c>
      <c r="BE83" s="38">
        <f t="shared" si="128"/>
        <v>0</v>
      </c>
      <c r="BF83" s="38">
        <f t="shared" si="128"/>
        <v>0</v>
      </c>
      <c r="BG83" s="38">
        <f t="shared" si="128"/>
        <v>0</v>
      </c>
      <c r="BH83" s="38">
        <f t="shared" si="128"/>
        <v>0</v>
      </c>
      <c r="BI83" s="38">
        <f t="shared" si="128"/>
        <v>0</v>
      </c>
      <c r="BJ83" s="38">
        <f t="shared" si="128"/>
        <v>0</v>
      </c>
      <c r="BK83" s="38">
        <f t="shared" si="128"/>
        <v>0</v>
      </c>
      <c r="BL83" s="38">
        <f t="shared" si="128"/>
        <v>0</v>
      </c>
      <c r="BM83" s="38">
        <f t="shared" si="128"/>
        <v>0</v>
      </c>
      <c r="BN83" s="38">
        <f t="shared" si="128"/>
        <v>0</v>
      </c>
      <c r="BO83" s="38">
        <f t="shared" si="128"/>
        <v>0</v>
      </c>
      <c r="BP83" s="38">
        <f t="shared" si="128"/>
        <v>0</v>
      </c>
      <c r="BQ83" s="38">
        <f t="shared" si="128"/>
        <v>0</v>
      </c>
      <c r="BR83" s="38">
        <f t="shared" si="128"/>
        <v>0</v>
      </c>
      <c r="BS83" s="38">
        <f t="shared" si="128"/>
        <v>0</v>
      </c>
      <c r="BT83" s="38">
        <f t="shared" si="128"/>
        <v>0</v>
      </c>
      <c r="BU83" s="38">
        <f t="shared" si="128"/>
        <v>0</v>
      </c>
      <c r="BV83" s="38">
        <f t="shared" ref="BV83:DA83" si="129">SUM(BV78,BV82)</f>
        <v>0</v>
      </c>
      <c r="BW83" s="38">
        <f t="shared" si="129"/>
        <v>0</v>
      </c>
      <c r="BX83" s="38">
        <f t="shared" si="129"/>
        <v>0</v>
      </c>
      <c r="BY83" s="38">
        <f t="shared" si="129"/>
        <v>0</v>
      </c>
      <c r="BZ83" s="38">
        <f t="shared" si="129"/>
        <v>0</v>
      </c>
      <c r="CA83" s="38">
        <f t="shared" si="129"/>
        <v>0</v>
      </c>
      <c r="CB83" s="38">
        <f t="shared" si="129"/>
        <v>0</v>
      </c>
      <c r="CC83" s="38">
        <f t="shared" si="129"/>
        <v>0</v>
      </c>
      <c r="CD83" s="38">
        <f t="shared" si="129"/>
        <v>0</v>
      </c>
      <c r="CE83" s="38">
        <f t="shared" si="129"/>
        <v>0</v>
      </c>
      <c r="CF83" s="38">
        <f t="shared" si="129"/>
        <v>0</v>
      </c>
      <c r="CG83" s="38">
        <f t="shared" si="129"/>
        <v>0</v>
      </c>
      <c r="CH83" s="38">
        <f t="shared" si="129"/>
        <v>0</v>
      </c>
      <c r="CI83" s="38">
        <f t="shared" si="129"/>
        <v>0</v>
      </c>
      <c r="CJ83" s="38">
        <f t="shared" si="129"/>
        <v>0</v>
      </c>
      <c r="CK83" s="38">
        <f t="shared" si="129"/>
        <v>0</v>
      </c>
      <c r="CL83" s="38">
        <f t="shared" si="129"/>
        <v>0</v>
      </c>
      <c r="CM83" s="38">
        <f t="shared" si="129"/>
        <v>0</v>
      </c>
      <c r="CN83" s="38">
        <f t="shared" si="129"/>
        <v>0</v>
      </c>
      <c r="CO83" s="38">
        <f t="shared" si="129"/>
        <v>0</v>
      </c>
      <c r="CP83" s="38">
        <f t="shared" si="129"/>
        <v>0</v>
      </c>
      <c r="CQ83" s="38">
        <f t="shared" si="129"/>
        <v>0</v>
      </c>
      <c r="CR83" s="38">
        <f t="shared" si="129"/>
        <v>0</v>
      </c>
      <c r="CS83" s="38">
        <f t="shared" si="129"/>
        <v>0</v>
      </c>
      <c r="CT83" s="38">
        <f t="shared" si="129"/>
        <v>0</v>
      </c>
      <c r="CU83" s="38">
        <f t="shared" si="129"/>
        <v>0</v>
      </c>
      <c r="CV83" s="38">
        <f t="shared" si="129"/>
        <v>0</v>
      </c>
      <c r="CW83" s="38">
        <f t="shared" si="129"/>
        <v>0</v>
      </c>
      <c r="CX83" s="38">
        <f t="shared" si="129"/>
        <v>0</v>
      </c>
      <c r="CY83" s="38">
        <f t="shared" si="129"/>
        <v>0</v>
      </c>
      <c r="CZ83" s="38">
        <f t="shared" si="129"/>
        <v>0</v>
      </c>
      <c r="DA83" s="38">
        <f t="shared" si="129"/>
        <v>0</v>
      </c>
      <c r="DB83" s="38">
        <f t="shared" ref="DB83:DM83" si="130">SUM(DB78,DB82)</f>
        <v>0</v>
      </c>
      <c r="DC83" s="38">
        <f t="shared" si="130"/>
        <v>0</v>
      </c>
      <c r="DD83" s="38">
        <f t="shared" si="130"/>
        <v>0</v>
      </c>
      <c r="DE83" s="38">
        <f t="shared" si="130"/>
        <v>0</v>
      </c>
      <c r="DF83" s="38">
        <f t="shared" si="130"/>
        <v>0</v>
      </c>
      <c r="DG83" s="38">
        <f t="shared" si="130"/>
        <v>0</v>
      </c>
      <c r="DH83" s="38">
        <f t="shared" si="130"/>
        <v>0</v>
      </c>
      <c r="DI83" s="38">
        <f t="shared" si="130"/>
        <v>0</v>
      </c>
      <c r="DJ83" s="38">
        <f t="shared" si="130"/>
        <v>0</v>
      </c>
      <c r="DK83" s="38">
        <f t="shared" si="130"/>
        <v>0</v>
      </c>
      <c r="DL83" s="38">
        <f t="shared" si="130"/>
        <v>0</v>
      </c>
      <c r="DM83" s="38">
        <f t="shared" si="130"/>
        <v>0</v>
      </c>
    </row>
    <row r="84" spans="1:117" outlineLevel="1" x14ac:dyDescent="0.15">
      <c r="D84" s="5"/>
    </row>
    <row r="85" spans="1:117" ht="14" outlineLevel="1" x14ac:dyDescent="0.15">
      <c r="C85" s="2" t="s">
        <v>76</v>
      </c>
      <c r="D85" s="5"/>
    </row>
    <row r="86" spans="1:117" outlineLevel="1" x14ac:dyDescent="0.15">
      <c r="C86" t="s">
        <v>302</v>
      </c>
      <c r="D86" s="5" t="s">
        <v>167</v>
      </c>
      <c r="E86" s="64">
        <f>(1+F86)*G86</f>
        <v>27799999.999999996</v>
      </c>
      <c r="F86" s="85">
        <f>'Scenario Manager'!E15</f>
        <v>0</v>
      </c>
      <c r="G86" s="89">
        <f>(159.7+95+49.7+1.4)/11*1000000</f>
        <v>27799999.999999996</v>
      </c>
      <c r="I86" s="35">
        <f t="shared" ref="I86" si="131">SUM(J86:DM86)</f>
        <v>305799999.99999994</v>
      </c>
      <c r="J86" s="166">
        <f>$E86*J$6*(1+J10)</f>
        <v>0</v>
      </c>
      <c r="K86" s="59">
        <f t="shared" ref="K86:X86" si="132">$E86*K$6*(1+K10)</f>
        <v>0</v>
      </c>
      <c r="L86" s="59">
        <f t="shared" si="132"/>
        <v>0</v>
      </c>
      <c r="M86" s="59">
        <f t="shared" si="132"/>
        <v>0</v>
      </c>
      <c r="N86" s="59">
        <f t="shared" si="132"/>
        <v>27799999.999999996</v>
      </c>
      <c r="O86" s="59">
        <f>$E86*O$6*(1+O10)</f>
        <v>27799999.999999996</v>
      </c>
      <c r="P86" s="59">
        <f t="shared" si="132"/>
        <v>27799999.999999996</v>
      </c>
      <c r="Q86" s="59">
        <f t="shared" si="132"/>
        <v>27799999.999999996</v>
      </c>
      <c r="R86" s="59">
        <f t="shared" si="132"/>
        <v>27799999.999999996</v>
      </c>
      <c r="S86" s="59">
        <f t="shared" si="132"/>
        <v>27799999.999999996</v>
      </c>
      <c r="T86" s="59">
        <f>$E86*T$6*(1+T10)</f>
        <v>27799999.999999996</v>
      </c>
      <c r="U86" s="59">
        <f t="shared" si="132"/>
        <v>27799999.999999996</v>
      </c>
      <c r="V86" s="59">
        <f t="shared" si="132"/>
        <v>27799999.999999996</v>
      </c>
      <c r="W86" s="59">
        <f t="shared" si="132"/>
        <v>27799999.999999996</v>
      </c>
      <c r="X86" s="59">
        <f t="shared" si="132"/>
        <v>27799999.999999996</v>
      </c>
      <c r="Y86" s="59">
        <f>$E86*Y$6*(1+Y10)</f>
        <v>0</v>
      </c>
      <c r="Z86" s="59">
        <f t="shared" ref="Z86:AO87" si="133">$E86*Z$6</f>
        <v>0</v>
      </c>
      <c r="AA86" s="59">
        <f t="shared" si="133"/>
        <v>0</v>
      </c>
      <c r="AB86" s="59">
        <f t="shared" si="133"/>
        <v>0</v>
      </c>
      <c r="AC86" s="59">
        <f t="shared" si="133"/>
        <v>0</v>
      </c>
      <c r="AD86" s="59">
        <f t="shared" si="133"/>
        <v>0</v>
      </c>
      <c r="AE86" s="59">
        <f t="shared" si="133"/>
        <v>0</v>
      </c>
      <c r="AF86" s="59">
        <f t="shared" si="133"/>
        <v>0</v>
      </c>
      <c r="AG86" s="59">
        <f t="shared" si="133"/>
        <v>0</v>
      </c>
      <c r="AH86" s="59">
        <f t="shared" si="133"/>
        <v>0</v>
      </c>
      <c r="AI86" s="59">
        <f t="shared" si="133"/>
        <v>0</v>
      </c>
      <c r="AJ86" s="59">
        <f t="shared" si="133"/>
        <v>0</v>
      </c>
      <c r="AK86" s="59">
        <f t="shared" si="133"/>
        <v>0</v>
      </c>
      <c r="AL86" s="59">
        <f t="shared" si="133"/>
        <v>0</v>
      </c>
      <c r="AM86" s="59">
        <f t="shared" si="133"/>
        <v>0</v>
      </c>
      <c r="AN86" s="59">
        <f t="shared" si="133"/>
        <v>0</v>
      </c>
      <c r="AO86" s="59">
        <f t="shared" si="133"/>
        <v>0</v>
      </c>
      <c r="AP86" s="59">
        <f t="shared" ref="AP86:DA86" si="134">$E86*AP$6</f>
        <v>0</v>
      </c>
      <c r="AQ86" s="59">
        <f t="shared" si="134"/>
        <v>0</v>
      </c>
      <c r="AR86" s="59">
        <f t="shared" si="134"/>
        <v>0</v>
      </c>
      <c r="AS86" s="59">
        <f t="shared" si="134"/>
        <v>0</v>
      </c>
      <c r="AT86" s="59">
        <f t="shared" si="134"/>
        <v>0</v>
      </c>
      <c r="AU86" s="59">
        <f t="shared" si="134"/>
        <v>0</v>
      </c>
      <c r="AV86" s="59">
        <f t="shared" si="134"/>
        <v>0</v>
      </c>
      <c r="AW86" s="59">
        <f t="shared" si="134"/>
        <v>0</v>
      </c>
      <c r="AX86" s="59">
        <f t="shared" si="134"/>
        <v>0</v>
      </c>
      <c r="AY86" s="59">
        <f t="shared" si="134"/>
        <v>0</v>
      </c>
      <c r="AZ86" s="59">
        <f t="shared" si="134"/>
        <v>0</v>
      </c>
      <c r="BA86" s="59">
        <f t="shared" si="134"/>
        <v>0</v>
      </c>
      <c r="BB86" s="59">
        <f t="shared" si="134"/>
        <v>0</v>
      </c>
      <c r="BC86" s="59">
        <f t="shared" si="134"/>
        <v>0</v>
      </c>
      <c r="BD86" s="59">
        <f t="shared" si="134"/>
        <v>0</v>
      </c>
      <c r="BE86" s="59">
        <f t="shared" si="134"/>
        <v>0</v>
      </c>
      <c r="BF86" s="59">
        <f t="shared" si="134"/>
        <v>0</v>
      </c>
      <c r="BG86" s="59">
        <f t="shared" si="134"/>
        <v>0</v>
      </c>
      <c r="BH86" s="59">
        <f t="shared" si="134"/>
        <v>0</v>
      </c>
      <c r="BI86" s="59">
        <f t="shared" si="134"/>
        <v>0</v>
      </c>
      <c r="BJ86" s="59">
        <f t="shared" si="134"/>
        <v>0</v>
      </c>
      <c r="BK86" s="59">
        <f t="shared" si="134"/>
        <v>0</v>
      </c>
      <c r="BL86" s="59">
        <f t="shared" si="134"/>
        <v>0</v>
      </c>
      <c r="BM86" s="59">
        <f t="shared" si="134"/>
        <v>0</v>
      </c>
      <c r="BN86" s="59">
        <f t="shared" si="134"/>
        <v>0</v>
      </c>
      <c r="BO86" s="59">
        <f t="shared" si="134"/>
        <v>0</v>
      </c>
      <c r="BP86" s="59">
        <f t="shared" si="134"/>
        <v>0</v>
      </c>
      <c r="BQ86" s="59">
        <f t="shared" si="134"/>
        <v>0</v>
      </c>
      <c r="BR86" s="59">
        <f t="shared" si="134"/>
        <v>0</v>
      </c>
      <c r="BS86" s="59">
        <f t="shared" si="134"/>
        <v>0</v>
      </c>
      <c r="BT86" s="59">
        <f t="shared" si="134"/>
        <v>0</v>
      </c>
      <c r="BU86" s="59">
        <f t="shared" si="134"/>
        <v>0</v>
      </c>
      <c r="BV86" s="59">
        <f t="shared" si="134"/>
        <v>0</v>
      </c>
      <c r="BW86" s="59">
        <f t="shared" si="134"/>
        <v>0</v>
      </c>
      <c r="BX86" s="59">
        <f t="shared" si="134"/>
        <v>0</v>
      </c>
      <c r="BY86" s="59">
        <f t="shared" si="134"/>
        <v>0</v>
      </c>
      <c r="BZ86" s="59">
        <f t="shared" si="134"/>
        <v>0</v>
      </c>
      <c r="CA86" s="59">
        <f t="shared" si="134"/>
        <v>0</v>
      </c>
      <c r="CB86" s="59">
        <f t="shared" si="134"/>
        <v>0</v>
      </c>
      <c r="CC86" s="59">
        <f t="shared" si="134"/>
        <v>0</v>
      </c>
      <c r="CD86" s="59">
        <f t="shared" si="134"/>
        <v>0</v>
      </c>
      <c r="CE86" s="59">
        <f t="shared" si="134"/>
        <v>0</v>
      </c>
      <c r="CF86" s="59">
        <f t="shared" si="134"/>
        <v>0</v>
      </c>
      <c r="CG86" s="59">
        <f t="shared" si="134"/>
        <v>0</v>
      </c>
      <c r="CH86" s="59">
        <f t="shared" si="134"/>
        <v>0</v>
      </c>
      <c r="CI86" s="59">
        <f t="shared" si="134"/>
        <v>0</v>
      </c>
      <c r="CJ86" s="59">
        <f t="shared" si="134"/>
        <v>0</v>
      </c>
      <c r="CK86" s="59">
        <f t="shared" si="134"/>
        <v>0</v>
      </c>
      <c r="CL86" s="59">
        <f t="shared" si="134"/>
        <v>0</v>
      </c>
      <c r="CM86" s="59">
        <f t="shared" si="134"/>
        <v>0</v>
      </c>
      <c r="CN86" s="59">
        <f t="shared" si="134"/>
        <v>0</v>
      </c>
      <c r="CO86" s="59">
        <f t="shared" si="134"/>
        <v>0</v>
      </c>
      <c r="CP86" s="59">
        <f t="shared" si="134"/>
        <v>0</v>
      </c>
      <c r="CQ86" s="59">
        <f t="shared" si="134"/>
        <v>0</v>
      </c>
      <c r="CR86" s="59">
        <f t="shared" si="134"/>
        <v>0</v>
      </c>
      <c r="CS86" s="59">
        <f t="shared" si="134"/>
        <v>0</v>
      </c>
      <c r="CT86" s="59">
        <f t="shared" si="134"/>
        <v>0</v>
      </c>
      <c r="CU86" s="59">
        <f t="shared" si="134"/>
        <v>0</v>
      </c>
      <c r="CV86" s="59">
        <f t="shared" si="134"/>
        <v>0</v>
      </c>
      <c r="CW86" s="59">
        <f t="shared" si="134"/>
        <v>0</v>
      </c>
      <c r="CX86" s="59">
        <f t="shared" si="134"/>
        <v>0</v>
      </c>
      <c r="CY86" s="59">
        <f t="shared" si="134"/>
        <v>0</v>
      </c>
      <c r="CZ86" s="59">
        <f t="shared" si="134"/>
        <v>0</v>
      </c>
      <c r="DA86" s="59">
        <f t="shared" si="134"/>
        <v>0</v>
      </c>
      <c r="DB86" s="59">
        <f t="shared" ref="DB86:DM86" si="135">$E86*DB$6</f>
        <v>0</v>
      </c>
      <c r="DC86" s="59">
        <f t="shared" si="135"/>
        <v>0</v>
      </c>
      <c r="DD86" s="59">
        <f t="shared" si="135"/>
        <v>0</v>
      </c>
      <c r="DE86" s="59">
        <f t="shared" si="135"/>
        <v>0</v>
      </c>
      <c r="DF86" s="59">
        <f t="shared" si="135"/>
        <v>0</v>
      </c>
      <c r="DG86" s="59">
        <f t="shared" si="135"/>
        <v>0</v>
      </c>
      <c r="DH86" s="59">
        <f t="shared" si="135"/>
        <v>0</v>
      </c>
      <c r="DI86" s="59">
        <f t="shared" si="135"/>
        <v>0</v>
      </c>
      <c r="DJ86" s="59">
        <f t="shared" si="135"/>
        <v>0</v>
      </c>
      <c r="DK86" s="59">
        <f t="shared" si="135"/>
        <v>0</v>
      </c>
      <c r="DL86" s="59">
        <f t="shared" si="135"/>
        <v>0</v>
      </c>
      <c r="DM86" s="59">
        <f t="shared" si="135"/>
        <v>0</v>
      </c>
    </row>
    <row r="87" spans="1:117" outlineLevel="1" x14ac:dyDescent="0.15">
      <c r="C87" t="s">
        <v>81</v>
      </c>
      <c r="D87" s="5" t="s">
        <v>168</v>
      </c>
      <c r="E87" s="86">
        <f>(1+F87)*G87</f>
        <v>74.570000000000007</v>
      </c>
      <c r="F87" s="85">
        <f>'Scenario Manager'!E15</f>
        <v>0</v>
      </c>
      <c r="G87" s="22">
        <f>0.06+3.08+71.43</f>
        <v>74.570000000000007</v>
      </c>
      <c r="J87" s="163">
        <f>$E87*J$6</f>
        <v>0</v>
      </c>
      <c r="K87" s="14">
        <f t="shared" ref="K87:Z87" si="136">$E87*K$6</f>
        <v>0</v>
      </c>
      <c r="L87" s="14">
        <f t="shared" si="136"/>
        <v>0</v>
      </c>
      <c r="M87" s="14">
        <f t="shared" si="136"/>
        <v>0</v>
      </c>
      <c r="N87" s="14">
        <f t="shared" si="136"/>
        <v>74.570000000000007</v>
      </c>
      <c r="O87" s="14">
        <f t="shared" si="136"/>
        <v>74.570000000000007</v>
      </c>
      <c r="P87" s="14">
        <f t="shared" si="136"/>
        <v>74.570000000000007</v>
      </c>
      <c r="Q87" s="14">
        <f t="shared" si="136"/>
        <v>74.570000000000007</v>
      </c>
      <c r="R87" s="14">
        <f t="shared" si="136"/>
        <v>74.570000000000007</v>
      </c>
      <c r="S87" s="14">
        <f t="shared" si="136"/>
        <v>74.570000000000007</v>
      </c>
      <c r="T87" s="14">
        <f t="shared" si="136"/>
        <v>74.570000000000007</v>
      </c>
      <c r="U87" s="14">
        <f>$E87*U$6</f>
        <v>74.570000000000007</v>
      </c>
      <c r="V87" s="14">
        <f t="shared" si="136"/>
        <v>74.570000000000007</v>
      </c>
      <c r="W87" s="14">
        <f t="shared" si="136"/>
        <v>74.570000000000007</v>
      </c>
      <c r="X87" s="14">
        <f t="shared" si="136"/>
        <v>74.570000000000007</v>
      </c>
      <c r="Y87" s="14">
        <f t="shared" si="136"/>
        <v>0</v>
      </c>
      <c r="Z87" s="14">
        <f t="shared" si="136"/>
        <v>0</v>
      </c>
      <c r="AA87" s="14">
        <f t="shared" si="133"/>
        <v>0</v>
      </c>
      <c r="AB87" s="14">
        <f t="shared" si="133"/>
        <v>0</v>
      </c>
      <c r="AC87" s="14">
        <f t="shared" si="133"/>
        <v>0</v>
      </c>
      <c r="AD87" s="14">
        <f t="shared" si="133"/>
        <v>0</v>
      </c>
      <c r="AE87" s="14">
        <f t="shared" si="133"/>
        <v>0</v>
      </c>
      <c r="AF87" s="14">
        <f t="shared" si="133"/>
        <v>0</v>
      </c>
      <c r="AG87" s="14">
        <f t="shared" si="133"/>
        <v>0</v>
      </c>
      <c r="AH87" s="14">
        <f t="shared" si="133"/>
        <v>0</v>
      </c>
      <c r="AI87" s="14">
        <f t="shared" si="133"/>
        <v>0</v>
      </c>
      <c r="AJ87" s="14">
        <f t="shared" si="133"/>
        <v>0</v>
      </c>
      <c r="AK87" s="14">
        <f t="shared" si="133"/>
        <v>0</v>
      </c>
      <c r="AL87" s="14">
        <f t="shared" si="133"/>
        <v>0</v>
      </c>
      <c r="AM87" s="14">
        <f t="shared" si="133"/>
        <v>0</v>
      </c>
      <c r="AN87" s="14">
        <f t="shared" si="133"/>
        <v>0</v>
      </c>
      <c r="AO87" s="14">
        <f t="shared" si="133"/>
        <v>0</v>
      </c>
      <c r="AP87" s="14">
        <f t="shared" ref="AP87:BU87" si="137">$E87*AP$6</f>
        <v>0</v>
      </c>
      <c r="AQ87" s="14">
        <f t="shared" si="137"/>
        <v>0</v>
      </c>
      <c r="AR87" s="14">
        <f t="shared" si="137"/>
        <v>0</v>
      </c>
      <c r="AS87" s="14">
        <f t="shared" si="137"/>
        <v>0</v>
      </c>
      <c r="AT87" s="14">
        <f t="shared" si="137"/>
        <v>0</v>
      </c>
      <c r="AU87" s="14">
        <f t="shared" si="137"/>
        <v>0</v>
      </c>
      <c r="AV87" s="14">
        <f t="shared" si="137"/>
        <v>0</v>
      </c>
      <c r="AW87" s="14">
        <f t="shared" si="137"/>
        <v>0</v>
      </c>
      <c r="AX87" s="14">
        <f t="shared" si="137"/>
        <v>0</v>
      </c>
      <c r="AY87" s="14">
        <f t="shared" si="137"/>
        <v>0</v>
      </c>
      <c r="AZ87" s="14">
        <f t="shared" si="137"/>
        <v>0</v>
      </c>
      <c r="BA87" s="14">
        <f t="shared" si="137"/>
        <v>0</v>
      </c>
      <c r="BB87" s="14">
        <f t="shared" si="137"/>
        <v>0</v>
      </c>
      <c r="BC87" s="14">
        <f t="shared" si="137"/>
        <v>0</v>
      </c>
      <c r="BD87" s="14">
        <f t="shared" si="137"/>
        <v>0</v>
      </c>
      <c r="BE87" s="14">
        <f t="shared" si="137"/>
        <v>0</v>
      </c>
      <c r="BF87" s="14">
        <f t="shared" si="137"/>
        <v>0</v>
      </c>
      <c r="BG87" s="14">
        <f t="shared" si="137"/>
        <v>0</v>
      </c>
      <c r="BH87" s="14">
        <f t="shared" si="137"/>
        <v>0</v>
      </c>
      <c r="BI87" s="14">
        <f t="shared" si="137"/>
        <v>0</v>
      </c>
      <c r="BJ87" s="14">
        <f t="shared" si="137"/>
        <v>0</v>
      </c>
      <c r="BK87" s="14">
        <f t="shared" si="137"/>
        <v>0</v>
      </c>
      <c r="BL87" s="14">
        <f t="shared" si="137"/>
        <v>0</v>
      </c>
      <c r="BM87" s="14">
        <f t="shared" si="137"/>
        <v>0</v>
      </c>
      <c r="BN87" s="14">
        <f t="shared" si="137"/>
        <v>0</v>
      </c>
      <c r="BO87" s="14">
        <f t="shared" si="137"/>
        <v>0</v>
      </c>
      <c r="BP87" s="14">
        <f t="shared" si="137"/>
        <v>0</v>
      </c>
      <c r="BQ87" s="14">
        <f t="shared" si="137"/>
        <v>0</v>
      </c>
      <c r="BR87" s="14">
        <f t="shared" si="137"/>
        <v>0</v>
      </c>
      <c r="BS87" s="14">
        <f t="shared" si="137"/>
        <v>0</v>
      </c>
      <c r="BT87" s="14">
        <f t="shared" si="137"/>
        <v>0</v>
      </c>
      <c r="BU87" s="14">
        <f t="shared" si="137"/>
        <v>0</v>
      </c>
      <c r="BV87" s="14">
        <f t="shared" ref="BV87:DA87" si="138">$E87*BV$6</f>
        <v>0</v>
      </c>
      <c r="BW87" s="14">
        <f t="shared" si="138"/>
        <v>0</v>
      </c>
      <c r="BX87" s="14">
        <f t="shared" si="138"/>
        <v>0</v>
      </c>
      <c r="BY87" s="14">
        <f t="shared" si="138"/>
        <v>0</v>
      </c>
      <c r="BZ87" s="14">
        <f t="shared" si="138"/>
        <v>0</v>
      </c>
      <c r="CA87" s="14">
        <f t="shared" si="138"/>
        <v>0</v>
      </c>
      <c r="CB87" s="14">
        <f t="shared" si="138"/>
        <v>0</v>
      </c>
      <c r="CC87" s="14">
        <f t="shared" si="138"/>
        <v>0</v>
      </c>
      <c r="CD87" s="14">
        <f t="shared" si="138"/>
        <v>0</v>
      </c>
      <c r="CE87" s="14">
        <f t="shared" si="138"/>
        <v>0</v>
      </c>
      <c r="CF87" s="14">
        <f t="shared" si="138"/>
        <v>0</v>
      </c>
      <c r="CG87" s="14">
        <f t="shared" si="138"/>
        <v>0</v>
      </c>
      <c r="CH87" s="14">
        <f t="shared" si="138"/>
        <v>0</v>
      </c>
      <c r="CI87" s="14">
        <f t="shared" si="138"/>
        <v>0</v>
      </c>
      <c r="CJ87" s="14">
        <f t="shared" si="138"/>
        <v>0</v>
      </c>
      <c r="CK87" s="14">
        <f t="shared" si="138"/>
        <v>0</v>
      </c>
      <c r="CL87" s="14">
        <f t="shared" si="138"/>
        <v>0</v>
      </c>
      <c r="CM87" s="14">
        <f t="shared" si="138"/>
        <v>0</v>
      </c>
      <c r="CN87" s="14">
        <f t="shared" si="138"/>
        <v>0</v>
      </c>
      <c r="CO87" s="14">
        <f t="shared" si="138"/>
        <v>0</v>
      </c>
      <c r="CP87" s="14">
        <f t="shared" si="138"/>
        <v>0</v>
      </c>
      <c r="CQ87" s="14">
        <f t="shared" si="138"/>
        <v>0</v>
      </c>
      <c r="CR87" s="14">
        <f t="shared" si="138"/>
        <v>0</v>
      </c>
      <c r="CS87" s="14">
        <f t="shared" si="138"/>
        <v>0</v>
      </c>
      <c r="CT87" s="14">
        <f t="shared" si="138"/>
        <v>0</v>
      </c>
      <c r="CU87" s="14">
        <f t="shared" si="138"/>
        <v>0</v>
      </c>
      <c r="CV87" s="14">
        <f t="shared" si="138"/>
        <v>0</v>
      </c>
      <c r="CW87" s="14">
        <f t="shared" si="138"/>
        <v>0</v>
      </c>
      <c r="CX87" s="14">
        <f t="shared" si="138"/>
        <v>0</v>
      </c>
      <c r="CY87" s="14">
        <f t="shared" si="138"/>
        <v>0</v>
      </c>
      <c r="CZ87" s="14">
        <f t="shared" si="138"/>
        <v>0</v>
      </c>
      <c r="DA87" s="14">
        <f t="shared" si="138"/>
        <v>0</v>
      </c>
      <c r="DB87" s="14">
        <f t="shared" ref="DB87:DM87" si="139">$E87*DB$6</f>
        <v>0</v>
      </c>
      <c r="DC87" s="14">
        <f t="shared" si="139"/>
        <v>0</v>
      </c>
      <c r="DD87" s="14">
        <f t="shared" si="139"/>
        <v>0</v>
      </c>
      <c r="DE87" s="14">
        <f t="shared" si="139"/>
        <v>0</v>
      </c>
      <c r="DF87" s="14">
        <f t="shared" si="139"/>
        <v>0</v>
      </c>
      <c r="DG87" s="14">
        <f t="shared" si="139"/>
        <v>0</v>
      </c>
      <c r="DH87" s="14">
        <f t="shared" si="139"/>
        <v>0</v>
      </c>
      <c r="DI87" s="14">
        <f t="shared" si="139"/>
        <v>0</v>
      </c>
      <c r="DJ87" s="14">
        <f t="shared" si="139"/>
        <v>0</v>
      </c>
      <c r="DK87" s="14">
        <f t="shared" si="139"/>
        <v>0</v>
      </c>
      <c r="DL87" s="14">
        <f t="shared" si="139"/>
        <v>0</v>
      </c>
      <c r="DM87" s="14">
        <f t="shared" si="139"/>
        <v>0</v>
      </c>
    </row>
    <row r="88" spans="1:117" outlineLevel="1" x14ac:dyDescent="0.15">
      <c r="D88" s="5"/>
    </row>
    <row r="89" spans="1:117" outlineLevel="1" x14ac:dyDescent="0.15">
      <c r="C89" t="s">
        <v>81</v>
      </c>
      <c r="D89" s="5" t="s">
        <v>167</v>
      </c>
      <c r="I89" s="35">
        <f t="shared" ref="I89:I90" si="140">SUM(J89:DM89)</f>
        <v>341157750</v>
      </c>
      <c r="J89" s="139">
        <f>J87*J44*(1+J10)</f>
        <v>0</v>
      </c>
      <c r="K89" s="19">
        <f t="shared" ref="K89:Z89" si="141">K87*K44*(1+K10)</f>
        <v>0</v>
      </c>
      <c r="L89" s="19">
        <f t="shared" si="141"/>
        <v>0</v>
      </c>
      <c r="M89" s="19">
        <f t="shared" si="141"/>
        <v>0</v>
      </c>
      <c r="N89" s="19">
        <f t="shared" si="141"/>
        <v>20730460.000000004</v>
      </c>
      <c r="O89" s="19">
        <f t="shared" si="141"/>
        <v>32214240.000000004</v>
      </c>
      <c r="P89" s="19">
        <f t="shared" si="141"/>
        <v>33929350</v>
      </c>
      <c r="Q89" s="19">
        <f>Q87*Q44*(1+Q10)</f>
        <v>33929350</v>
      </c>
      <c r="R89" s="19">
        <f t="shared" si="141"/>
        <v>33929350</v>
      </c>
      <c r="S89" s="19">
        <f t="shared" si="141"/>
        <v>33929350</v>
      </c>
      <c r="T89" s="19">
        <f t="shared" si="141"/>
        <v>33929350</v>
      </c>
      <c r="U89" s="19">
        <f t="shared" si="141"/>
        <v>33929350</v>
      </c>
      <c r="V89" s="19">
        <f>V87*V44*(1+V10)</f>
        <v>33929350</v>
      </c>
      <c r="W89" s="19">
        <f t="shared" si="141"/>
        <v>31095690.000000004</v>
      </c>
      <c r="X89" s="19">
        <f t="shared" si="141"/>
        <v>19611910.000000004</v>
      </c>
      <c r="Y89" s="19">
        <f t="shared" si="141"/>
        <v>0</v>
      </c>
      <c r="Z89" s="19">
        <f t="shared" si="141"/>
        <v>0</v>
      </c>
      <c r="AA89" s="19">
        <f t="shared" ref="AA89:AO89" si="142">AA87*AA44</f>
        <v>0</v>
      </c>
      <c r="AB89" s="19">
        <f t="shared" si="142"/>
        <v>0</v>
      </c>
      <c r="AC89" s="19">
        <f t="shared" si="142"/>
        <v>0</v>
      </c>
      <c r="AD89" s="19">
        <f t="shared" si="142"/>
        <v>0</v>
      </c>
      <c r="AE89" s="19">
        <f t="shared" si="142"/>
        <v>0</v>
      </c>
      <c r="AF89" s="19">
        <f t="shared" si="142"/>
        <v>0</v>
      </c>
      <c r="AG89" s="19">
        <f t="shared" si="142"/>
        <v>0</v>
      </c>
      <c r="AH89" s="19">
        <f t="shared" si="142"/>
        <v>0</v>
      </c>
      <c r="AI89" s="19">
        <f t="shared" si="142"/>
        <v>0</v>
      </c>
      <c r="AJ89" s="19">
        <f t="shared" si="142"/>
        <v>0</v>
      </c>
      <c r="AK89" s="19">
        <f t="shared" si="142"/>
        <v>0</v>
      </c>
      <c r="AL89" s="19">
        <f t="shared" si="142"/>
        <v>0</v>
      </c>
      <c r="AM89" s="19">
        <f t="shared" si="142"/>
        <v>0</v>
      </c>
      <c r="AN89" s="19">
        <f t="shared" si="142"/>
        <v>0</v>
      </c>
      <c r="AO89" s="19">
        <f t="shared" si="142"/>
        <v>0</v>
      </c>
      <c r="AP89" s="19">
        <f t="shared" ref="AP89:BU89" si="143">AP87*AP44</f>
        <v>0</v>
      </c>
      <c r="AQ89" s="19">
        <f t="shared" si="143"/>
        <v>0</v>
      </c>
      <c r="AR89" s="19">
        <f t="shared" si="143"/>
        <v>0</v>
      </c>
      <c r="AS89" s="19">
        <f t="shared" si="143"/>
        <v>0</v>
      </c>
      <c r="AT89" s="19">
        <f t="shared" si="143"/>
        <v>0</v>
      </c>
      <c r="AU89" s="19">
        <f t="shared" si="143"/>
        <v>0</v>
      </c>
      <c r="AV89" s="19">
        <f t="shared" si="143"/>
        <v>0</v>
      </c>
      <c r="AW89" s="19">
        <f t="shared" si="143"/>
        <v>0</v>
      </c>
      <c r="AX89" s="19">
        <f t="shared" si="143"/>
        <v>0</v>
      </c>
      <c r="AY89" s="19">
        <f t="shared" si="143"/>
        <v>0</v>
      </c>
      <c r="AZ89" s="19">
        <f t="shared" si="143"/>
        <v>0</v>
      </c>
      <c r="BA89" s="19">
        <f t="shared" si="143"/>
        <v>0</v>
      </c>
      <c r="BB89" s="19">
        <f t="shared" si="143"/>
        <v>0</v>
      </c>
      <c r="BC89" s="19">
        <f t="shared" si="143"/>
        <v>0</v>
      </c>
      <c r="BD89" s="19">
        <f t="shared" si="143"/>
        <v>0</v>
      </c>
      <c r="BE89" s="19">
        <f t="shared" si="143"/>
        <v>0</v>
      </c>
      <c r="BF89" s="19">
        <f t="shared" si="143"/>
        <v>0</v>
      </c>
      <c r="BG89" s="19">
        <f t="shared" si="143"/>
        <v>0</v>
      </c>
      <c r="BH89" s="19">
        <f t="shared" si="143"/>
        <v>0</v>
      </c>
      <c r="BI89" s="19">
        <f t="shared" si="143"/>
        <v>0</v>
      </c>
      <c r="BJ89" s="19">
        <f t="shared" si="143"/>
        <v>0</v>
      </c>
      <c r="BK89" s="19">
        <f t="shared" si="143"/>
        <v>0</v>
      </c>
      <c r="BL89" s="19">
        <f t="shared" si="143"/>
        <v>0</v>
      </c>
      <c r="BM89" s="19">
        <f t="shared" si="143"/>
        <v>0</v>
      </c>
      <c r="BN89" s="19">
        <f t="shared" si="143"/>
        <v>0</v>
      </c>
      <c r="BO89" s="19">
        <f t="shared" si="143"/>
        <v>0</v>
      </c>
      <c r="BP89" s="19">
        <f t="shared" si="143"/>
        <v>0</v>
      </c>
      <c r="BQ89" s="19">
        <f t="shared" si="143"/>
        <v>0</v>
      </c>
      <c r="BR89" s="19">
        <f t="shared" si="143"/>
        <v>0</v>
      </c>
      <c r="BS89" s="19">
        <f t="shared" si="143"/>
        <v>0</v>
      </c>
      <c r="BT89" s="19">
        <f t="shared" si="143"/>
        <v>0</v>
      </c>
      <c r="BU89" s="19">
        <f t="shared" si="143"/>
        <v>0</v>
      </c>
      <c r="BV89" s="19">
        <f t="shared" ref="BV89:DA89" si="144">BV87*BV44</f>
        <v>0</v>
      </c>
      <c r="BW89" s="19">
        <f t="shared" si="144"/>
        <v>0</v>
      </c>
      <c r="BX89" s="19">
        <f t="shared" si="144"/>
        <v>0</v>
      </c>
      <c r="BY89" s="19">
        <f t="shared" si="144"/>
        <v>0</v>
      </c>
      <c r="BZ89" s="19">
        <f t="shared" si="144"/>
        <v>0</v>
      </c>
      <c r="CA89" s="19">
        <f t="shared" si="144"/>
        <v>0</v>
      </c>
      <c r="CB89" s="19">
        <f t="shared" si="144"/>
        <v>0</v>
      </c>
      <c r="CC89" s="19">
        <f t="shared" si="144"/>
        <v>0</v>
      </c>
      <c r="CD89" s="19">
        <f t="shared" si="144"/>
        <v>0</v>
      </c>
      <c r="CE89" s="19">
        <f t="shared" si="144"/>
        <v>0</v>
      </c>
      <c r="CF89" s="19">
        <f t="shared" si="144"/>
        <v>0</v>
      </c>
      <c r="CG89" s="19">
        <f t="shared" si="144"/>
        <v>0</v>
      </c>
      <c r="CH89" s="19">
        <f t="shared" si="144"/>
        <v>0</v>
      </c>
      <c r="CI89" s="19">
        <f t="shared" si="144"/>
        <v>0</v>
      </c>
      <c r="CJ89" s="19">
        <f t="shared" si="144"/>
        <v>0</v>
      </c>
      <c r="CK89" s="19">
        <f t="shared" si="144"/>
        <v>0</v>
      </c>
      <c r="CL89" s="19">
        <f t="shared" si="144"/>
        <v>0</v>
      </c>
      <c r="CM89" s="19">
        <f t="shared" si="144"/>
        <v>0</v>
      </c>
      <c r="CN89" s="19">
        <f t="shared" si="144"/>
        <v>0</v>
      </c>
      <c r="CO89" s="19">
        <f t="shared" si="144"/>
        <v>0</v>
      </c>
      <c r="CP89" s="19">
        <f t="shared" si="144"/>
        <v>0</v>
      </c>
      <c r="CQ89" s="19">
        <f t="shared" si="144"/>
        <v>0</v>
      </c>
      <c r="CR89" s="19">
        <f t="shared" si="144"/>
        <v>0</v>
      </c>
      <c r="CS89" s="19">
        <f t="shared" si="144"/>
        <v>0</v>
      </c>
      <c r="CT89" s="19">
        <f t="shared" si="144"/>
        <v>0</v>
      </c>
      <c r="CU89" s="19">
        <f t="shared" si="144"/>
        <v>0</v>
      </c>
      <c r="CV89" s="19">
        <f t="shared" si="144"/>
        <v>0</v>
      </c>
      <c r="CW89" s="19">
        <f t="shared" si="144"/>
        <v>0</v>
      </c>
      <c r="CX89" s="19">
        <f t="shared" si="144"/>
        <v>0</v>
      </c>
      <c r="CY89" s="19">
        <f t="shared" si="144"/>
        <v>0</v>
      </c>
      <c r="CZ89" s="19">
        <f t="shared" si="144"/>
        <v>0</v>
      </c>
      <c r="DA89" s="19">
        <f t="shared" si="144"/>
        <v>0</v>
      </c>
      <c r="DB89" s="19">
        <f t="shared" ref="DB89:DM89" si="145">DB87*DB44</f>
        <v>0</v>
      </c>
      <c r="DC89" s="19">
        <f t="shared" si="145"/>
        <v>0</v>
      </c>
      <c r="DD89" s="19">
        <f t="shared" si="145"/>
        <v>0</v>
      </c>
      <c r="DE89" s="19">
        <f t="shared" si="145"/>
        <v>0</v>
      </c>
      <c r="DF89" s="19">
        <f t="shared" si="145"/>
        <v>0</v>
      </c>
      <c r="DG89" s="19">
        <f t="shared" si="145"/>
        <v>0</v>
      </c>
      <c r="DH89" s="19">
        <f t="shared" si="145"/>
        <v>0</v>
      </c>
      <c r="DI89" s="19">
        <f t="shared" si="145"/>
        <v>0</v>
      </c>
      <c r="DJ89" s="19">
        <f t="shared" si="145"/>
        <v>0</v>
      </c>
      <c r="DK89" s="19">
        <f t="shared" si="145"/>
        <v>0</v>
      </c>
      <c r="DL89" s="19">
        <f t="shared" si="145"/>
        <v>0</v>
      </c>
      <c r="DM89" s="19">
        <f t="shared" si="145"/>
        <v>0</v>
      </c>
    </row>
    <row r="90" spans="1:117" outlineLevel="1" x14ac:dyDescent="0.15">
      <c r="C90" t="s">
        <v>82</v>
      </c>
      <c r="D90" s="5" t="s">
        <v>167</v>
      </c>
      <c r="I90" s="35">
        <f t="shared" si="140"/>
        <v>646957750</v>
      </c>
      <c r="J90" s="159">
        <f>SUM(J86,J89)</f>
        <v>0</v>
      </c>
      <c r="K90" s="38">
        <f t="shared" ref="K90:BV90" si="146">SUM(K86,K89)</f>
        <v>0</v>
      </c>
      <c r="L90" s="38">
        <f t="shared" si="146"/>
        <v>0</v>
      </c>
      <c r="M90" s="38">
        <f t="shared" si="146"/>
        <v>0</v>
      </c>
      <c r="N90" s="38">
        <f t="shared" si="146"/>
        <v>48530460</v>
      </c>
      <c r="O90" s="38">
        <f t="shared" si="146"/>
        <v>60014240</v>
      </c>
      <c r="P90" s="38">
        <f t="shared" si="146"/>
        <v>61729350</v>
      </c>
      <c r="Q90" s="38">
        <f t="shared" si="146"/>
        <v>61729350</v>
      </c>
      <c r="R90" s="38">
        <f t="shared" si="146"/>
        <v>61729350</v>
      </c>
      <c r="S90" s="38">
        <f t="shared" si="146"/>
        <v>61729350</v>
      </c>
      <c r="T90" s="38">
        <f t="shared" si="146"/>
        <v>61729350</v>
      </c>
      <c r="U90" s="38">
        <f t="shared" si="146"/>
        <v>61729350</v>
      </c>
      <c r="V90" s="38">
        <f t="shared" si="146"/>
        <v>61729350</v>
      </c>
      <c r="W90" s="38">
        <f t="shared" si="146"/>
        <v>58895690</v>
      </c>
      <c r="X90" s="38">
        <f t="shared" si="146"/>
        <v>47411910</v>
      </c>
      <c r="Y90" s="38">
        <f t="shared" si="146"/>
        <v>0</v>
      </c>
      <c r="Z90" s="38">
        <f t="shared" si="146"/>
        <v>0</v>
      </c>
      <c r="AA90" s="38">
        <f t="shared" si="146"/>
        <v>0</v>
      </c>
      <c r="AB90" s="38">
        <f t="shared" si="146"/>
        <v>0</v>
      </c>
      <c r="AC90" s="38">
        <f t="shared" si="146"/>
        <v>0</v>
      </c>
      <c r="AD90" s="38">
        <f t="shared" si="146"/>
        <v>0</v>
      </c>
      <c r="AE90" s="38">
        <f t="shared" si="146"/>
        <v>0</v>
      </c>
      <c r="AF90" s="38">
        <f t="shared" si="146"/>
        <v>0</v>
      </c>
      <c r="AG90" s="38">
        <f t="shared" si="146"/>
        <v>0</v>
      </c>
      <c r="AH90" s="38">
        <f t="shared" si="146"/>
        <v>0</v>
      </c>
      <c r="AI90" s="38">
        <f t="shared" si="146"/>
        <v>0</v>
      </c>
      <c r="AJ90" s="38">
        <f t="shared" si="146"/>
        <v>0</v>
      </c>
      <c r="AK90" s="38">
        <f t="shared" si="146"/>
        <v>0</v>
      </c>
      <c r="AL90" s="38">
        <f t="shared" si="146"/>
        <v>0</v>
      </c>
      <c r="AM90" s="38">
        <f t="shared" si="146"/>
        <v>0</v>
      </c>
      <c r="AN90" s="38">
        <f t="shared" si="146"/>
        <v>0</v>
      </c>
      <c r="AO90" s="38">
        <f t="shared" si="146"/>
        <v>0</v>
      </c>
      <c r="AP90" s="38">
        <f t="shared" si="146"/>
        <v>0</v>
      </c>
      <c r="AQ90" s="38">
        <f t="shared" si="146"/>
        <v>0</v>
      </c>
      <c r="AR90" s="38">
        <f t="shared" si="146"/>
        <v>0</v>
      </c>
      <c r="AS90" s="38">
        <f t="shared" si="146"/>
        <v>0</v>
      </c>
      <c r="AT90" s="38">
        <f t="shared" si="146"/>
        <v>0</v>
      </c>
      <c r="AU90" s="38">
        <f t="shared" si="146"/>
        <v>0</v>
      </c>
      <c r="AV90" s="38">
        <f t="shared" si="146"/>
        <v>0</v>
      </c>
      <c r="AW90" s="38">
        <f t="shared" si="146"/>
        <v>0</v>
      </c>
      <c r="AX90" s="38">
        <f t="shared" si="146"/>
        <v>0</v>
      </c>
      <c r="AY90" s="38">
        <f t="shared" si="146"/>
        <v>0</v>
      </c>
      <c r="AZ90" s="38">
        <f t="shared" si="146"/>
        <v>0</v>
      </c>
      <c r="BA90" s="38">
        <f t="shared" si="146"/>
        <v>0</v>
      </c>
      <c r="BB90" s="38">
        <f t="shared" si="146"/>
        <v>0</v>
      </c>
      <c r="BC90" s="38">
        <f t="shared" si="146"/>
        <v>0</v>
      </c>
      <c r="BD90" s="38">
        <f t="shared" si="146"/>
        <v>0</v>
      </c>
      <c r="BE90" s="38">
        <f t="shared" si="146"/>
        <v>0</v>
      </c>
      <c r="BF90" s="38">
        <f t="shared" si="146"/>
        <v>0</v>
      </c>
      <c r="BG90" s="38">
        <f t="shared" si="146"/>
        <v>0</v>
      </c>
      <c r="BH90" s="38">
        <f t="shared" si="146"/>
        <v>0</v>
      </c>
      <c r="BI90" s="38">
        <f t="shared" si="146"/>
        <v>0</v>
      </c>
      <c r="BJ90" s="38">
        <f t="shared" si="146"/>
        <v>0</v>
      </c>
      <c r="BK90" s="38">
        <f t="shared" si="146"/>
        <v>0</v>
      </c>
      <c r="BL90" s="38">
        <f t="shared" si="146"/>
        <v>0</v>
      </c>
      <c r="BM90" s="38">
        <f t="shared" si="146"/>
        <v>0</v>
      </c>
      <c r="BN90" s="38">
        <f t="shared" si="146"/>
        <v>0</v>
      </c>
      <c r="BO90" s="38">
        <f t="shared" si="146"/>
        <v>0</v>
      </c>
      <c r="BP90" s="38">
        <f t="shared" si="146"/>
        <v>0</v>
      </c>
      <c r="BQ90" s="38">
        <f t="shared" si="146"/>
        <v>0</v>
      </c>
      <c r="BR90" s="38">
        <f t="shared" si="146"/>
        <v>0</v>
      </c>
      <c r="BS90" s="38">
        <f t="shared" si="146"/>
        <v>0</v>
      </c>
      <c r="BT90" s="38">
        <f t="shared" si="146"/>
        <v>0</v>
      </c>
      <c r="BU90" s="38">
        <f t="shared" si="146"/>
        <v>0</v>
      </c>
      <c r="BV90" s="38">
        <f t="shared" si="146"/>
        <v>0</v>
      </c>
      <c r="BW90" s="38">
        <f t="shared" ref="BW90:DM90" si="147">SUM(BW86,BW89)</f>
        <v>0</v>
      </c>
      <c r="BX90" s="38">
        <f t="shared" si="147"/>
        <v>0</v>
      </c>
      <c r="BY90" s="38">
        <f t="shared" si="147"/>
        <v>0</v>
      </c>
      <c r="BZ90" s="38">
        <f t="shared" si="147"/>
        <v>0</v>
      </c>
      <c r="CA90" s="38">
        <f t="shared" si="147"/>
        <v>0</v>
      </c>
      <c r="CB90" s="38">
        <f t="shared" si="147"/>
        <v>0</v>
      </c>
      <c r="CC90" s="38">
        <f t="shared" si="147"/>
        <v>0</v>
      </c>
      <c r="CD90" s="38">
        <f t="shared" si="147"/>
        <v>0</v>
      </c>
      <c r="CE90" s="38">
        <f t="shared" si="147"/>
        <v>0</v>
      </c>
      <c r="CF90" s="38">
        <f t="shared" si="147"/>
        <v>0</v>
      </c>
      <c r="CG90" s="38">
        <f t="shared" si="147"/>
        <v>0</v>
      </c>
      <c r="CH90" s="38">
        <f t="shared" si="147"/>
        <v>0</v>
      </c>
      <c r="CI90" s="38">
        <f t="shared" si="147"/>
        <v>0</v>
      </c>
      <c r="CJ90" s="38">
        <f t="shared" si="147"/>
        <v>0</v>
      </c>
      <c r="CK90" s="38">
        <f t="shared" si="147"/>
        <v>0</v>
      </c>
      <c r="CL90" s="38">
        <f t="shared" si="147"/>
        <v>0</v>
      </c>
      <c r="CM90" s="38">
        <f t="shared" si="147"/>
        <v>0</v>
      </c>
      <c r="CN90" s="38">
        <f t="shared" si="147"/>
        <v>0</v>
      </c>
      <c r="CO90" s="38">
        <f t="shared" si="147"/>
        <v>0</v>
      </c>
      <c r="CP90" s="38">
        <f t="shared" si="147"/>
        <v>0</v>
      </c>
      <c r="CQ90" s="38">
        <f t="shared" si="147"/>
        <v>0</v>
      </c>
      <c r="CR90" s="38">
        <f t="shared" si="147"/>
        <v>0</v>
      </c>
      <c r="CS90" s="38">
        <f t="shared" si="147"/>
        <v>0</v>
      </c>
      <c r="CT90" s="38">
        <f t="shared" si="147"/>
        <v>0</v>
      </c>
      <c r="CU90" s="38">
        <f t="shared" si="147"/>
        <v>0</v>
      </c>
      <c r="CV90" s="38">
        <f t="shared" si="147"/>
        <v>0</v>
      </c>
      <c r="CW90" s="38">
        <f t="shared" si="147"/>
        <v>0</v>
      </c>
      <c r="CX90" s="38">
        <f t="shared" si="147"/>
        <v>0</v>
      </c>
      <c r="CY90" s="38">
        <f t="shared" si="147"/>
        <v>0</v>
      </c>
      <c r="CZ90" s="38">
        <f t="shared" si="147"/>
        <v>0</v>
      </c>
      <c r="DA90" s="38">
        <f t="shared" si="147"/>
        <v>0</v>
      </c>
      <c r="DB90" s="38">
        <f t="shared" si="147"/>
        <v>0</v>
      </c>
      <c r="DC90" s="38">
        <f t="shared" si="147"/>
        <v>0</v>
      </c>
      <c r="DD90" s="38">
        <f t="shared" si="147"/>
        <v>0</v>
      </c>
      <c r="DE90" s="38">
        <f t="shared" si="147"/>
        <v>0</v>
      </c>
      <c r="DF90" s="38">
        <f t="shared" si="147"/>
        <v>0</v>
      </c>
      <c r="DG90" s="38">
        <f t="shared" si="147"/>
        <v>0</v>
      </c>
      <c r="DH90" s="38">
        <f t="shared" si="147"/>
        <v>0</v>
      </c>
      <c r="DI90" s="38">
        <f t="shared" si="147"/>
        <v>0</v>
      </c>
      <c r="DJ90" s="38">
        <f t="shared" si="147"/>
        <v>0</v>
      </c>
      <c r="DK90" s="38">
        <f t="shared" si="147"/>
        <v>0</v>
      </c>
      <c r="DL90" s="38">
        <f t="shared" si="147"/>
        <v>0</v>
      </c>
      <c r="DM90" s="38">
        <f t="shared" si="147"/>
        <v>0</v>
      </c>
    </row>
    <row r="91" spans="1:117" outlineLevel="1" x14ac:dyDescent="0.15">
      <c r="D91" s="5"/>
    </row>
    <row r="92" spans="1:117" ht="14" outlineLevel="1" x14ac:dyDescent="0.15">
      <c r="C92" s="2" t="s">
        <v>152</v>
      </c>
      <c r="D92" s="5"/>
    </row>
    <row r="93" spans="1:117" outlineLevel="1" x14ac:dyDescent="0.15">
      <c r="C93" t="s">
        <v>305</v>
      </c>
      <c r="D93" s="5" t="s">
        <v>167</v>
      </c>
      <c r="E93" s="64">
        <f>(1+F93)*G93</f>
        <v>1254545.4545454544</v>
      </c>
      <c r="F93" s="85">
        <f>'Scenario Manager'!E17</f>
        <v>0</v>
      </c>
      <c r="G93" s="89">
        <f>(9.2+4.6)/11*1000000</f>
        <v>1254545.4545454544</v>
      </c>
      <c r="I93" s="35">
        <f t="shared" ref="I93" si="148">SUM(J93:DM93)</f>
        <v>13800000</v>
      </c>
      <c r="J93" s="166">
        <f>$E93*J$6*(1+J10)</f>
        <v>0</v>
      </c>
      <c r="K93" s="59">
        <f t="shared" ref="K93:AA93" si="149">$E93*K$6*(1+K10)</f>
        <v>0</v>
      </c>
      <c r="L93" s="59">
        <f t="shared" si="149"/>
        <v>0</v>
      </c>
      <c r="M93" s="59">
        <f t="shared" si="149"/>
        <v>0</v>
      </c>
      <c r="N93" s="59">
        <f t="shared" si="149"/>
        <v>1254545.4545454544</v>
      </c>
      <c r="O93" s="59">
        <f t="shared" si="149"/>
        <v>1254545.4545454544</v>
      </c>
      <c r="P93" s="59">
        <f>$E93*P$6*(1+P10)</f>
        <v>1254545.4545454544</v>
      </c>
      <c r="Q93" s="59">
        <f t="shared" si="149"/>
        <v>1254545.4545454544</v>
      </c>
      <c r="R93" s="59">
        <f t="shared" si="149"/>
        <v>1254545.4545454544</v>
      </c>
      <c r="S93" s="59">
        <f t="shared" si="149"/>
        <v>1254545.4545454544</v>
      </c>
      <c r="T93" s="59">
        <f t="shared" si="149"/>
        <v>1254545.4545454544</v>
      </c>
      <c r="U93" s="59">
        <f t="shared" si="149"/>
        <v>1254545.4545454544</v>
      </c>
      <c r="V93" s="59">
        <f>$E93*V$6*(1+V10)</f>
        <v>1254545.4545454544</v>
      </c>
      <c r="W93" s="59">
        <f t="shared" si="149"/>
        <v>1254545.4545454544</v>
      </c>
      <c r="X93" s="59">
        <f t="shared" si="149"/>
        <v>1254545.4545454544</v>
      </c>
      <c r="Y93" s="59">
        <f t="shared" si="149"/>
        <v>0</v>
      </c>
      <c r="Z93" s="59">
        <f t="shared" si="149"/>
        <v>0</v>
      </c>
      <c r="AA93" s="59">
        <f t="shared" si="149"/>
        <v>0</v>
      </c>
      <c r="AB93" s="59">
        <f>$E93*AB$6*(1+AB10)</f>
        <v>0</v>
      </c>
      <c r="AC93" s="59">
        <f t="shared" ref="J93:AO94" si="150">$E93*AC$6</f>
        <v>0</v>
      </c>
      <c r="AD93" s="59">
        <f t="shared" si="150"/>
        <v>0</v>
      </c>
      <c r="AE93" s="59">
        <f t="shared" si="150"/>
        <v>0</v>
      </c>
      <c r="AF93" s="59">
        <f t="shared" si="150"/>
        <v>0</v>
      </c>
      <c r="AG93" s="59">
        <f t="shared" si="150"/>
        <v>0</v>
      </c>
      <c r="AH93" s="59">
        <f t="shared" si="150"/>
        <v>0</v>
      </c>
      <c r="AI93" s="59">
        <f t="shared" si="150"/>
        <v>0</v>
      </c>
      <c r="AJ93" s="59">
        <f t="shared" si="150"/>
        <v>0</v>
      </c>
      <c r="AK93" s="59">
        <f t="shared" si="150"/>
        <v>0</v>
      </c>
      <c r="AL93" s="59">
        <f t="shared" si="150"/>
        <v>0</v>
      </c>
      <c r="AM93" s="59">
        <f t="shared" si="150"/>
        <v>0</v>
      </c>
      <c r="AN93" s="59">
        <f t="shared" si="150"/>
        <v>0</v>
      </c>
      <c r="AO93" s="59">
        <f t="shared" si="150"/>
        <v>0</v>
      </c>
      <c r="AP93" s="59">
        <f t="shared" ref="AP93:DA93" si="151">$E93*AP$6</f>
        <v>0</v>
      </c>
      <c r="AQ93" s="59">
        <f t="shared" si="151"/>
        <v>0</v>
      </c>
      <c r="AR93" s="59">
        <f t="shared" si="151"/>
        <v>0</v>
      </c>
      <c r="AS93" s="59">
        <f t="shared" si="151"/>
        <v>0</v>
      </c>
      <c r="AT93" s="59">
        <f t="shared" si="151"/>
        <v>0</v>
      </c>
      <c r="AU93" s="59">
        <f t="shared" si="151"/>
        <v>0</v>
      </c>
      <c r="AV93" s="59">
        <f t="shared" si="151"/>
        <v>0</v>
      </c>
      <c r="AW93" s="59">
        <f t="shared" si="151"/>
        <v>0</v>
      </c>
      <c r="AX93" s="59">
        <f t="shared" si="151"/>
        <v>0</v>
      </c>
      <c r="AY93" s="59">
        <f t="shared" si="151"/>
        <v>0</v>
      </c>
      <c r="AZ93" s="59">
        <f t="shared" si="151"/>
        <v>0</v>
      </c>
      <c r="BA93" s="59">
        <f t="shared" si="151"/>
        <v>0</v>
      </c>
      <c r="BB93" s="59">
        <f t="shared" si="151"/>
        <v>0</v>
      </c>
      <c r="BC93" s="59">
        <f t="shared" si="151"/>
        <v>0</v>
      </c>
      <c r="BD93" s="59">
        <f t="shared" si="151"/>
        <v>0</v>
      </c>
      <c r="BE93" s="59">
        <f t="shared" si="151"/>
        <v>0</v>
      </c>
      <c r="BF93" s="59">
        <f t="shared" si="151"/>
        <v>0</v>
      </c>
      <c r="BG93" s="59">
        <f t="shared" si="151"/>
        <v>0</v>
      </c>
      <c r="BH93" s="59">
        <f t="shared" si="151"/>
        <v>0</v>
      </c>
      <c r="BI93" s="59">
        <f t="shared" si="151"/>
        <v>0</v>
      </c>
      <c r="BJ93" s="59">
        <f t="shared" si="151"/>
        <v>0</v>
      </c>
      <c r="BK93" s="59">
        <f t="shared" si="151"/>
        <v>0</v>
      </c>
      <c r="BL93" s="59">
        <f t="shared" si="151"/>
        <v>0</v>
      </c>
      <c r="BM93" s="59">
        <f t="shared" si="151"/>
        <v>0</v>
      </c>
      <c r="BN93" s="59">
        <f t="shared" si="151"/>
        <v>0</v>
      </c>
      <c r="BO93" s="59">
        <f t="shared" si="151"/>
        <v>0</v>
      </c>
      <c r="BP93" s="59">
        <f t="shared" si="151"/>
        <v>0</v>
      </c>
      <c r="BQ93" s="59">
        <f t="shared" si="151"/>
        <v>0</v>
      </c>
      <c r="BR93" s="59">
        <f t="shared" si="151"/>
        <v>0</v>
      </c>
      <c r="BS93" s="59">
        <f t="shared" si="151"/>
        <v>0</v>
      </c>
      <c r="BT93" s="59">
        <f t="shared" si="151"/>
        <v>0</v>
      </c>
      <c r="BU93" s="59">
        <f t="shared" si="151"/>
        <v>0</v>
      </c>
      <c r="BV93" s="59">
        <f t="shared" si="151"/>
        <v>0</v>
      </c>
      <c r="BW93" s="59">
        <f t="shared" si="151"/>
        <v>0</v>
      </c>
      <c r="BX93" s="59">
        <f t="shared" si="151"/>
        <v>0</v>
      </c>
      <c r="BY93" s="59">
        <f t="shared" si="151"/>
        <v>0</v>
      </c>
      <c r="BZ93" s="59">
        <f t="shared" si="151"/>
        <v>0</v>
      </c>
      <c r="CA93" s="59">
        <f t="shared" si="151"/>
        <v>0</v>
      </c>
      <c r="CB93" s="59">
        <f t="shared" si="151"/>
        <v>0</v>
      </c>
      <c r="CC93" s="59">
        <f t="shared" si="151"/>
        <v>0</v>
      </c>
      <c r="CD93" s="59">
        <f t="shared" si="151"/>
        <v>0</v>
      </c>
      <c r="CE93" s="59">
        <f t="shared" si="151"/>
        <v>0</v>
      </c>
      <c r="CF93" s="59">
        <f t="shared" si="151"/>
        <v>0</v>
      </c>
      <c r="CG93" s="59">
        <f t="shared" si="151"/>
        <v>0</v>
      </c>
      <c r="CH93" s="59">
        <f t="shared" si="151"/>
        <v>0</v>
      </c>
      <c r="CI93" s="59">
        <f t="shared" si="151"/>
        <v>0</v>
      </c>
      <c r="CJ93" s="59">
        <f t="shared" si="151"/>
        <v>0</v>
      </c>
      <c r="CK93" s="59">
        <f t="shared" si="151"/>
        <v>0</v>
      </c>
      <c r="CL93" s="59">
        <f t="shared" si="151"/>
        <v>0</v>
      </c>
      <c r="CM93" s="59">
        <f t="shared" si="151"/>
        <v>0</v>
      </c>
      <c r="CN93" s="59">
        <f t="shared" si="151"/>
        <v>0</v>
      </c>
      <c r="CO93" s="59">
        <f t="shared" si="151"/>
        <v>0</v>
      </c>
      <c r="CP93" s="59">
        <f t="shared" si="151"/>
        <v>0</v>
      </c>
      <c r="CQ93" s="59">
        <f t="shared" si="151"/>
        <v>0</v>
      </c>
      <c r="CR93" s="59">
        <f t="shared" si="151"/>
        <v>0</v>
      </c>
      <c r="CS93" s="59">
        <f t="shared" si="151"/>
        <v>0</v>
      </c>
      <c r="CT93" s="59">
        <f t="shared" si="151"/>
        <v>0</v>
      </c>
      <c r="CU93" s="59">
        <f t="shared" si="151"/>
        <v>0</v>
      </c>
      <c r="CV93" s="59">
        <f t="shared" si="151"/>
        <v>0</v>
      </c>
      <c r="CW93" s="59">
        <f t="shared" si="151"/>
        <v>0</v>
      </c>
      <c r="CX93" s="59">
        <f t="shared" si="151"/>
        <v>0</v>
      </c>
      <c r="CY93" s="59">
        <f t="shared" si="151"/>
        <v>0</v>
      </c>
      <c r="CZ93" s="59">
        <f t="shared" si="151"/>
        <v>0</v>
      </c>
      <c r="DA93" s="59">
        <f t="shared" si="151"/>
        <v>0</v>
      </c>
      <c r="DB93" s="59">
        <f t="shared" ref="DB93:DM93" si="152">$E93*DB$6</f>
        <v>0</v>
      </c>
      <c r="DC93" s="59">
        <f t="shared" si="152"/>
        <v>0</v>
      </c>
      <c r="DD93" s="59">
        <f t="shared" si="152"/>
        <v>0</v>
      </c>
      <c r="DE93" s="59">
        <f t="shared" si="152"/>
        <v>0</v>
      </c>
      <c r="DF93" s="59">
        <f t="shared" si="152"/>
        <v>0</v>
      </c>
      <c r="DG93" s="59">
        <f t="shared" si="152"/>
        <v>0</v>
      </c>
      <c r="DH93" s="59">
        <f t="shared" si="152"/>
        <v>0</v>
      </c>
      <c r="DI93" s="59">
        <f t="shared" si="152"/>
        <v>0</v>
      </c>
      <c r="DJ93" s="59">
        <f t="shared" si="152"/>
        <v>0</v>
      </c>
      <c r="DK93" s="59">
        <f t="shared" si="152"/>
        <v>0</v>
      </c>
      <c r="DL93" s="59">
        <f t="shared" si="152"/>
        <v>0</v>
      </c>
      <c r="DM93" s="59">
        <f t="shared" si="152"/>
        <v>0</v>
      </c>
    </row>
    <row r="94" spans="1:117" outlineLevel="1" x14ac:dyDescent="0.15">
      <c r="C94" t="s">
        <v>153</v>
      </c>
      <c r="D94" s="5" t="s">
        <v>168</v>
      </c>
      <c r="E94" s="86">
        <f>(1+F94)*G94</f>
        <v>28.46</v>
      </c>
      <c r="F94" s="85">
        <f>'Scenario Manager'!E17</f>
        <v>0</v>
      </c>
      <c r="G94" s="22">
        <f>2.46+26</f>
        <v>28.46</v>
      </c>
      <c r="J94" s="163">
        <f t="shared" si="150"/>
        <v>0</v>
      </c>
      <c r="K94" s="14">
        <f t="shared" si="150"/>
        <v>0</v>
      </c>
      <c r="L94" s="14">
        <f t="shared" si="150"/>
        <v>0</v>
      </c>
      <c r="M94" s="14">
        <f t="shared" si="150"/>
        <v>0</v>
      </c>
      <c r="N94" s="14">
        <f t="shared" si="150"/>
        <v>28.46</v>
      </c>
      <c r="O94" s="14">
        <f t="shared" si="150"/>
        <v>28.46</v>
      </c>
      <c r="P94" s="14">
        <f t="shared" si="150"/>
        <v>28.46</v>
      </c>
      <c r="Q94" s="14">
        <f t="shared" si="150"/>
        <v>28.46</v>
      </c>
      <c r="R94" s="14">
        <f t="shared" si="150"/>
        <v>28.46</v>
      </c>
      <c r="S94" s="14">
        <f t="shared" si="150"/>
        <v>28.46</v>
      </c>
      <c r="T94" s="14">
        <f t="shared" si="150"/>
        <v>28.46</v>
      </c>
      <c r="U94" s="14">
        <f t="shared" si="150"/>
        <v>28.46</v>
      </c>
      <c r="V94" s="14">
        <f t="shared" si="150"/>
        <v>28.46</v>
      </c>
      <c r="W94" s="14">
        <f t="shared" si="150"/>
        <v>28.46</v>
      </c>
      <c r="X94" s="14">
        <f t="shared" si="150"/>
        <v>28.46</v>
      </c>
      <c r="Y94" s="14">
        <f t="shared" si="150"/>
        <v>0</v>
      </c>
      <c r="Z94" s="14">
        <f t="shared" si="150"/>
        <v>0</v>
      </c>
      <c r="AA94" s="14">
        <f t="shared" si="150"/>
        <v>0</v>
      </c>
      <c r="AB94" s="14">
        <f t="shared" si="150"/>
        <v>0</v>
      </c>
      <c r="AC94" s="14">
        <f t="shared" si="150"/>
        <v>0</v>
      </c>
      <c r="AD94" s="14">
        <f t="shared" si="150"/>
        <v>0</v>
      </c>
      <c r="AE94" s="14">
        <f t="shared" si="150"/>
        <v>0</v>
      </c>
      <c r="AF94" s="14">
        <f t="shared" si="150"/>
        <v>0</v>
      </c>
      <c r="AG94" s="14">
        <f t="shared" si="150"/>
        <v>0</v>
      </c>
      <c r="AH94" s="14">
        <f t="shared" si="150"/>
        <v>0</v>
      </c>
      <c r="AI94" s="14">
        <f t="shared" si="150"/>
        <v>0</v>
      </c>
      <c r="AJ94" s="14">
        <f t="shared" si="150"/>
        <v>0</v>
      </c>
      <c r="AK94" s="14">
        <f t="shared" si="150"/>
        <v>0</v>
      </c>
      <c r="AL94" s="14">
        <f t="shared" si="150"/>
        <v>0</v>
      </c>
      <c r="AM94" s="14">
        <f t="shared" si="150"/>
        <v>0</v>
      </c>
      <c r="AN94" s="14">
        <f t="shared" si="150"/>
        <v>0</v>
      </c>
      <c r="AO94" s="14">
        <f t="shared" si="150"/>
        <v>0</v>
      </c>
      <c r="AP94" s="14">
        <f t="shared" ref="AP94:BU94" si="153">$E94*AP$6</f>
        <v>0</v>
      </c>
      <c r="AQ94" s="14">
        <f t="shared" si="153"/>
        <v>0</v>
      </c>
      <c r="AR94" s="14">
        <f t="shared" si="153"/>
        <v>0</v>
      </c>
      <c r="AS94" s="14">
        <f t="shared" si="153"/>
        <v>0</v>
      </c>
      <c r="AT94" s="14">
        <f t="shared" si="153"/>
        <v>0</v>
      </c>
      <c r="AU94" s="14">
        <f t="shared" si="153"/>
        <v>0</v>
      </c>
      <c r="AV94" s="14">
        <f t="shared" si="153"/>
        <v>0</v>
      </c>
      <c r="AW94" s="14">
        <f t="shared" si="153"/>
        <v>0</v>
      </c>
      <c r="AX94" s="14">
        <f t="shared" si="153"/>
        <v>0</v>
      </c>
      <c r="AY94" s="14">
        <f t="shared" si="153"/>
        <v>0</v>
      </c>
      <c r="AZ94" s="14">
        <f t="shared" si="153"/>
        <v>0</v>
      </c>
      <c r="BA94" s="14">
        <f t="shared" si="153"/>
        <v>0</v>
      </c>
      <c r="BB94" s="14">
        <f t="shared" si="153"/>
        <v>0</v>
      </c>
      <c r="BC94" s="14">
        <f t="shared" si="153"/>
        <v>0</v>
      </c>
      <c r="BD94" s="14">
        <f t="shared" si="153"/>
        <v>0</v>
      </c>
      <c r="BE94" s="14">
        <f t="shared" si="153"/>
        <v>0</v>
      </c>
      <c r="BF94" s="14">
        <f t="shared" si="153"/>
        <v>0</v>
      </c>
      <c r="BG94" s="14">
        <f t="shared" si="153"/>
        <v>0</v>
      </c>
      <c r="BH94" s="14">
        <f t="shared" si="153"/>
        <v>0</v>
      </c>
      <c r="BI94" s="14">
        <f t="shared" si="153"/>
        <v>0</v>
      </c>
      <c r="BJ94" s="14">
        <f t="shared" si="153"/>
        <v>0</v>
      </c>
      <c r="BK94" s="14">
        <f t="shared" si="153"/>
        <v>0</v>
      </c>
      <c r="BL94" s="14">
        <f t="shared" si="153"/>
        <v>0</v>
      </c>
      <c r="BM94" s="14">
        <f t="shared" si="153"/>
        <v>0</v>
      </c>
      <c r="BN94" s="14">
        <f t="shared" si="153"/>
        <v>0</v>
      </c>
      <c r="BO94" s="14">
        <f t="shared" si="153"/>
        <v>0</v>
      </c>
      <c r="BP94" s="14">
        <f t="shared" si="153"/>
        <v>0</v>
      </c>
      <c r="BQ94" s="14">
        <f t="shared" si="153"/>
        <v>0</v>
      </c>
      <c r="BR94" s="14">
        <f t="shared" si="153"/>
        <v>0</v>
      </c>
      <c r="BS94" s="14">
        <f t="shared" si="153"/>
        <v>0</v>
      </c>
      <c r="BT94" s="14">
        <f t="shared" si="153"/>
        <v>0</v>
      </c>
      <c r="BU94" s="14">
        <f t="shared" si="153"/>
        <v>0</v>
      </c>
      <c r="BV94" s="14">
        <f t="shared" ref="BV94:DA94" si="154">$E94*BV$6</f>
        <v>0</v>
      </c>
      <c r="BW94" s="14">
        <f t="shared" si="154"/>
        <v>0</v>
      </c>
      <c r="BX94" s="14">
        <f t="shared" si="154"/>
        <v>0</v>
      </c>
      <c r="BY94" s="14">
        <f t="shared" si="154"/>
        <v>0</v>
      </c>
      <c r="BZ94" s="14">
        <f t="shared" si="154"/>
        <v>0</v>
      </c>
      <c r="CA94" s="14">
        <f t="shared" si="154"/>
        <v>0</v>
      </c>
      <c r="CB94" s="14">
        <f t="shared" si="154"/>
        <v>0</v>
      </c>
      <c r="CC94" s="14">
        <f t="shared" si="154"/>
        <v>0</v>
      </c>
      <c r="CD94" s="14">
        <f t="shared" si="154"/>
        <v>0</v>
      </c>
      <c r="CE94" s="14">
        <f t="shared" si="154"/>
        <v>0</v>
      </c>
      <c r="CF94" s="14">
        <f t="shared" si="154"/>
        <v>0</v>
      </c>
      <c r="CG94" s="14">
        <f t="shared" si="154"/>
        <v>0</v>
      </c>
      <c r="CH94" s="14">
        <f t="shared" si="154"/>
        <v>0</v>
      </c>
      <c r="CI94" s="14">
        <f t="shared" si="154"/>
        <v>0</v>
      </c>
      <c r="CJ94" s="14">
        <f t="shared" si="154"/>
        <v>0</v>
      </c>
      <c r="CK94" s="14">
        <f t="shared" si="154"/>
        <v>0</v>
      </c>
      <c r="CL94" s="14">
        <f t="shared" si="154"/>
        <v>0</v>
      </c>
      <c r="CM94" s="14">
        <f t="shared" si="154"/>
        <v>0</v>
      </c>
      <c r="CN94" s="14">
        <f t="shared" si="154"/>
        <v>0</v>
      </c>
      <c r="CO94" s="14">
        <f t="shared" si="154"/>
        <v>0</v>
      </c>
      <c r="CP94" s="14">
        <f t="shared" si="154"/>
        <v>0</v>
      </c>
      <c r="CQ94" s="14">
        <f t="shared" si="154"/>
        <v>0</v>
      </c>
      <c r="CR94" s="14">
        <f t="shared" si="154"/>
        <v>0</v>
      </c>
      <c r="CS94" s="14">
        <f t="shared" si="154"/>
        <v>0</v>
      </c>
      <c r="CT94" s="14">
        <f t="shared" si="154"/>
        <v>0</v>
      </c>
      <c r="CU94" s="14">
        <f t="shared" si="154"/>
        <v>0</v>
      </c>
      <c r="CV94" s="14">
        <f t="shared" si="154"/>
        <v>0</v>
      </c>
      <c r="CW94" s="14">
        <f t="shared" si="154"/>
        <v>0</v>
      </c>
      <c r="CX94" s="14">
        <f t="shared" si="154"/>
        <v>0</v>
      </c>
      <c r="CY94" s="14">
        <f t="shared" si="154"/>
        <v>0</v>
      </c>
      <c r="CZ94" s="14">
        <f t="shared" si="154"/>
        <v>0</v>
      </c>
      <c r="DA94" s="14">
        <f t="shared" si="154"/>
        <v>0</v>
      </c>
      <c r="DB94" s="14">
        <f t="shared" ref="DB94:DM94" si="155">$E94*DB$6</f>
        <v>0</v>
      </c>
      <c r="DC94" s="14">
        <f t="shared" si="155"/>
        <v>0</v>
      </c>
      <c r="DD94" s="14">
        <f t="shared" si="155"/>
        <v>0</v>
      </c>
      <c r="DE94" s="14">
        <f t="shared" si="155"/>
        <v>0</v>
      </c>
      <c r="DF94" s="14">
        <f t="shared" si="155"/>
        <v>0</v>
      </c>
      <c r="DG94" s="14">
        <f t="shared" si="155"/>
        <v>0</v>
      </c>
      <c r="DH94" s="14">
        <f t="shared" si="155"/>
        <v>0</v>
      </c>
      <c r="DI94" s="14">
        <f t="shared" si="155"/>
        <v>0</v>
      </c>
      <c r="DJ94" s="14">
        <f t="shared" si="155"/>
        <v>0</v>
      </c>
      <c r="DK94" s="14">
        <f t="shared" si="155"/>
        <v>0</v>
      </c>
      <c r="DL94" s="14">
        <f t="shared" si="155"/>
        <v>0</v>
      </c>
      <c r="DM94" s="14">
        <f t="shared" si="155"/>
        <v>0</v>
      </c>
    </row>
    <row r="95" spans="1:117" outlineLevel="1" x14ac:dyDescent="0.15">
      <c r="D95" s="5"/>
    </row>
    <row r="96" spans="1:117" outlineLevel="1" x14ac:dyDescent="0.15">
      <c r="C96" t="s">
        <v>153</v>
      </c>
      <c r="D96" s="5" t="s">
        <v>167</v>
      </c>
      <c r="I96" s="35">
        <f t="shared" ref="I96:I97" si="156">SUM(J96:DM96)</f>
        <v>130204500</v>
      </c>
      <c r="J96" s="150">
        <f>J94*(J44)*(1+J10)</f>
        <v>0</v>
      </c>
      <c r="K96" s="37">
        <f t="shared" ref="K96:AA96" si="157">K94*(K44)*(1+K10)</f>
        <v>0</v>
      </c>
      <c r="L96" s="37">
        <f t="shared" si="157"/>
        <v>0</v>
      </c>
      <c r="M96" s="37">
        <f t="shared" si="157"/>
        <v>0</v>
      </c>
      <c r="N96" s="37">
        <f t="shared" si="157"/>
        <v>7911880</v>
      </c>
      <c r="O96" s="37">
        <f t="shared" si="157"/>
        <v>12294720</v>
      </c>
      <c r="P96" s="37">
        <f t="shared" si="157"/>
        <v>12949300</v>
      </c>
      <c r="Q96" s="37">
        <f>Q94*(Q44)*(1+Q10)</f>
        <v>12949300</v>
      </c>
      <c r="R96" s="37">
        <f t="shared" si="157"/>
        <v>12949300</v>
      </c>
      <c r="S96" s="37">
        <f t="shared" si="157"/>
        <v>12949300</v>
      </c>
      <c r="T96" s="37">
        <f t="shared" si="157"/>
        <v>12949300</v>
      </c>
      <c r="U96" s="37">
        <f t="shared" si="157"/>
        <v>12949300</v>
      </c>
      <c r="V96" s="37">
        <f>V94*(V44)*(1+V10)</f>
        <v>12949300</v>
      </c>
      <c r="W96" s="37">
        <f t="shared" si="157"/>
        <v>11867820</v>
      </c>
      <c r="X96" s="37">
        <f t="shared" si="157"/>
        <v>7484980</v>
      </c>
      <c r="Y96" s="37">
        <f t="shared" si="157"/>
        <v>0</v>
      </c>
      <c r="Z96" s="37">
        <f t="shared" si="157"/>
        <v>0</v>
      </c>
      <c r="AA96" s="37">
        <f t="shared" si="157"/>
        <v>0</v>
      </c>
      <c r="AB96" s="37">
        <f t="shared" ref="AB96:AO96" si="158">AB94*(AB44)</f>
        <v>0</v>
      </c>
      <c r="AC96" s="37">
        <f t="shared" si="158"/>
        <v>0</v>
      </c>
      <c r="AD96" s="37">
        <f t="shared" si="158"/>
        <v>0</v>
      </c>
      <c r="AE96" s="37">
        <f t="shared" si="158"/>
        <v>0</v>
      </c>
      <c r="AF96" s="37">
        <f t="shared" si="158"/>
        <v>0</v>
      </c>
      <c r="AG96" s="37">
        <f t="shared" si="158"/>
        <v>0</v>
      </c>
      <c r="AH96" s="37">
        <f t="shared" si="158"/>
        <v>0</v>
      </c>
      <c r="AI96" s="37">
        <f t="shared" si="158"/>
        <v>0</v>
      </c>
      <c r="AJ96" s="37">
        <f t="shared" si="158"/>
        <v>0</v>
      </c>
      <c r="AK96" s="37">
        <f t="shared" si="158"/>
        <v>0</v>
      </c>
      <c r="AL96" s="37">
        <f t="shared" si="158"/>
        <v>0</v>
      </c>
      <c r="AM96" s="37">
        <f t="shared" si="158"/>
        <v>0</v>
      </c>
      <c r="AN96" s="37">
        <f t="shared" si="158"/>
        <v>0</v>
      </c>
      <c r="AO96" s="37">
        <f t="shared" si="158"/>
        <v>0</v>
      </c>
      <c r="AP96" s="37">
        <f t="shared" ref="AP96:BU96" si="159">AP94*(AP44)</f>
        <v>0</v>
      </c>
      <c r="AQ96" s="37">
        <f t="shared" si="159"/>
        <v>0</v>
      </c>
      <c r="AR96" s="37">
        <f t="shared" si="159"/>
        <v>0</v>
      </c>
      <c r="AS96" s="37">
        <f t="shared" si="159"/>
        <v>0</v>
      </c>
      <c r="AT96" s="37">
        <f t="shared" si="159"/>
        <v>0</v>
      </c>
      <c r="AU96" s="37">
        <f t="shared" si="159"/>
        <v>0</v>
      </c>
      <c r="AV96" s="37">
        <f t="shared" si="159"/>
        <v>0</v>
      </c>
      <c r="AW96" s="37">
        <f t="shared" si="159"/>
        <v>0</v>
      </c>
      <c r="AX96" s="37">
        <f t="shared" si="159"/>
        <v>0</v>
      </c>
      <c r="AY96" s="37">
        <f t="shared" si="159"/>
        <v>0</v>
      </c>
      <c r="AZ96" s="37">
        <f t="shared" si="159"/>
        <v>0</v>
      </c>
      <c r="BA96" s="37">
        <f t="shared" si="159"/>
        <v>0</v>
      </c>
      <c r="BB96" s="37">
        <f t="shared" si="159"/>
        <v>0</v>
      </c>
      <c r="BC96" s="37">
        <f t="shared" si="159"/>
        <v>0</v>
      </c>
      <c r="BD96" s="37">
        <f t="shared" si="159"/>
        <v>0</v>
      </c>
      <c r="BE96" s="37">
        <f t="shared" si="159"/>
        <v>0</v>
      </c>
      <c r="BF96" s="37">
        <f t="shared" si="159"/>
        <v>0</v>
      </c>
      <c r="BG96" s="37">
        <f t="shared" si="159"/>
        <v>0</v>
      </c>
      <c r="BH96" s="37">
        <f t="shared" si="159"/>
        <v>0</v>
      </c>
      <c r="BI96" s="37">
        <f t="shared" si="159"/>
        <v>0</v>
      </c>
      <c r="BJ96" s="37">
        <f t="shared" si="159"/>
        <v>0</v>
      </c>
      <c r="BK96" s="37">
        <f t="shared" si="159"/>
        <v>0</v>
      </c>
      <c r="BL96" s="37">
        <f t="shared" si="159"/>
        <v>0</v>
      </c>
      <c r="BM96" s="37">
        <f t="shared" si="159"/>
        <v>0</v>
      </c>
      <c r="BN96" s="37">
        <f t="shared" si="159"/>
        <v>0</v>
      </c>
      <c r="BO96" s="37">
        <f t="shared" si="159"/>
        <v>0</v>
      </c>
      <c r="BP96" s="37">
        <f t="shared" si="159"/>
        <v>0</v>
      </c>
      <c r="BQ96" s="37">
        <f t="shared" si="159"/>
        <v>0</v>
      </c>
      <c r="BR96" s="37">
        <f t="shared" si="159"/>
        <v>0</v>
      </c>
      <c r="BS96" s="37">
        <f t="shared" si="159"/>
        <v>0</v>
      </c>
      <c r="BT96" s="37">
        <f t="shared" si="159"/>
        <v>0</v>
      </c>
      <c r="BU96" s="37">
        <f t="shared" si="159"/>
        <v>0</v>
      </c>
      <c r="BV96" s="37">
        <f t="shared" ref="BV96:DA96" si="160">BV94*(BV44)</f>
        <v>0</v>
      </c>
      <c r="BW96" s="37">
        <f t="shared" si="160"/>
        <v>0</v>
      </c>
      <c r="BX96" s="37">
        <f t="shared" si="160"/>
        <v>0</v>
      </c>
      <c r="BY96" s="37">
        <f t="shared" si="160"/>
        <v>0</v>
      </c>
      <c r="BZ96" s="37">
        <f t="shared" si="160"/>
        <v>0</v>
      </c>
      <c r="CA96" s="37">
        <f t="shared" si="160"/>
        <v>0</v>
      </c>
      <c r="CB96" s="37">
        <f t="shared" si="160"/>
        <v>0</v>
      </c>
      <c r="CC96" s="37">
        <f t="shared" si="160"/>
        <v>0</v>
      </c>
      <c r="CD96" s="37">
        <f t="shared" si="160"/>
        <v>0</v>
      </c>
      <c r="CE96" s="37">
        <f t="shared" si="160"/>
        <v>0</v>
      </c>
      <c r="CF96" s="37">
        <f t="shared" si="160"/>
        <v>0</v>
      </c>
      <c r="CG96" s="37">
        <f t="shared" si="160"/>
        <v>0</v>
      </c>
      <c r="CH96" s="37">
        <f t="shared" si="160"/>
        <v>0</v>
      </c>
      <c r="CI96" s="37">
        <f t="shared" si="160"/>
        <v>0</v>
      </c>
      <c r="CJ96" s="37">
        <f t="shared" si="160"/>
        <v>0</v>
      </c>
      <c r="CK96" s="37">
        <f t="shared" si="160"/>
        <v>0</v>
      </c>
      <c r="CL96" s="37">
        <f t="shared" si="160"/>
        <v>0</v>
      </c>
      <c r="CM96" s="37">
        <f t="shared" si="160"/>
        <v>0</v>
      </c>
      <c r="CN96" s="37">
        <f t="shared" si="160"/>
        <v>0</v>
      </c>
      <c r="CO96" s="37">
        <f t="shared" si="160"/>
        <v>0</v>
      </c>
      <c r="CP96" s="37">
        <f t="shared" si="160"/>
        <v>0</v>
      </c>
      <c r="CQ96" s="37">
        <f t="shared" si="160"/>
        <v>0</v>
      </c>
      <c r="CR96" s="37">
        <f t="shared" si="160"/>
        <v>0</v>
      </c>
      <c r="CS96" s="37">
        <f t="shared" si="160"/>
        <v>0</v>
      </c>
      <c r="CT96" s="37">
        <f t="shared" si="160"/>
        <v>0</v>
      </c>
      <c r="CU96" s="37">
        <f t="shared" si="160"/>
        <v>0</v>
      </c>
      <c r="CV96" s="37">
        <f t="shared" si="160"/>
        <v>0</v>
      </c>
      <c r="CW96" s="37">
        <f t="shared" si="160"/>
        <v>0</v>
      </c>
      <c r="CX96" s="37">
        <f t="shared" si="160"/>
        <v>0</v>
      </c>
      <c r="CY96" s="37">
        <f t="shared" si="160"/>
        <v>0</v>
      </c>
      <c r="CZ96" s="37">
        <f t="shared" si="160"/>
        <v>0</v>
      </c>
      <c r="DA96" s="37">
        <f t="shared" si="160"/>
        <v>0</v>
      </c>
      <c r="DB96" s="37">
        <f t="shared" ref="DB96:DM96" si="161">DB94*(DB44)</f>
        <v>0</v>
      </c>
      <c r="DC96" s="37">
        <f t="shared" si="161"/>
        <v>0</v>
      </c>
      <c r="DD96" s="37">
        <f t="shared" si="161"/>
        <v>0</v>
      </c>
      <c r="DE96" s="37">
        <f t="shared" si="161"/>
        <v>0</v>
      </c>
      <c r="DF96" s="37">
        <f t="shared" si="161"/>
        <v>0</v>
      </c>
      <c r="DG96" s="37">
        <f t="shared" si="161"/>
        <v>0</v>
      </c>
      <c r="DH96" s="37">
        <f t="shared" si="161"/>
        <v>0</v>
      </c>
      <c r="DI96" s="37">
        <f t="shared" si="161"/>
        <v>0</v>
      </c>
      <c r="DJ96" s="37">
        <f t="shared" si="161"/>
        <v>0</v>
      </c>
      <c r="DK96" s="37">
        <f t="shared" si="161"/>
        <v>0</v>
      </c>
      <c r="DL96" s="37">
        <f t="shared" si="161"/>
        <v>0</v>
      </c>
      <c r="DM96" s="37">
        <f t="shared" si="161"/>
        <v>0</v>
      </c>
    </row>
    <row r="97" spans="3:117" outlineLevel="1" x14ac:dyDescent="0.15">
      <c r="C97" t="s">
        <v>154</v>
      </c>
      <c r="D97" s="5" t="s">
        <v>167</v>
      </c>
      <c r="I97" s="35">
        <f t="shared" si="156"/>
        <v>144004500.00000003</v>
      </c>
      <c r="J97" s="159">
        <f>SUM(J93,J96)</f>
        <v>0</v>
      </c>
      <c r="K97" s="38">
        <f t="shared" ref="K97:BV97" si="162">SUM(K93,K96)</f>
        <v>0</v>
      </c>
      <c r="L97" s="38">
        <f t="shared" si="162"/>
        <v>0</v>
      </c>
      <c r="M97" s="38">
        <f t="shared" si="162"/>
        <v>0</v>
      </c>
      <c r="N97" s="38">
        <f t="shared" si="162"/>
        <v>9166425.4545454551</v>
      </c>
      <c r="O97" s="38">
        <f t="shared" si="162"/>
        <v>13549265.454545455</v>
      </c>
      <c r="P97" s="38">
        <f t="shared" si="162"/>
        <v>14203845.454545455</v>
      </c>
      <c r="Q97" s="38">
        <f t="shared" si="162"/>
        <v>14203845.454545455</v>
      </c>
      <c r="R97" s="38">
        <f t="shared" si="162"/>
        <v>14203845.454545455</v>
      </c>
      <c r="S97" s="38">
        <f t="shared" si="162"/>
        <v>14203845.454545455</v>
      </c>
      <c r="T97" s="38">
        <f t="shared" si="162"/>
        <v>14203845.454545455</v>
      </c>
      <c r="U97" s="38">
        <f t="shared" si="162"/>
        <v>14203845.454545455</v>
      </c>
      <c r="V97" s="38">
        <f t="shared" si="162"/>
        <v>14203845.454545455</v>
      </c>
      <c r="W97" s="38">
        <f t="shared" si="162"/>
        <v>13122365.454545455</v>
      </c>
      <c r="X97" s="38">
        <f t="shared" si="162"/>
        <v>8739525.4545454551</v>
      </c>
      <c r="Y97" s="38">
        <f t="shared" si="162"/>
        <v>0</v>
      </c>
      <c r="Z97" s="38">
        <f t="shared" si="162"/>
        <v>0</v>
      </c>
      <c r="AA97" s="38">
        <f t="shared" si="162"/>
        <v>0</v>
      </c>
      <c r="AB97" s="38">
        <f t="shared" si="162"/>
        <v>0</v>
      </c>
      <c r="AC97" s="38">
        <f t="shared" si="162"/>
        <v>0</v>
      </c>
      <c r="AD97" s="38">
        <f t="shared" si="162"/>
        <v>0</v>
      </c>
      <c r="AE97" s="38">
        <f t="shared" si="162"/>
        <v>0</v>
      </c>
      <c r="AF97" s="38">
        <f t="shared" si="162"/>
        <v>0</v>
      </c>
      <c r="AG97" s="38">
        <f t="shared" si="162"/>
        <v>0</v>
      </c>
      <c r="AH97" s="38">
        <f t="shared" si="162"/>
        <v>0</v>
      </c>
      <c r="AI97" s="38">
        <f t="shared" si="162"/>
        <v>0</v>
      </c>
      <c r="AJ97" s="38">
        <f t="shared" si="162"/>
        <v>0</v>
      </c>
      <c r="AK97" s="38">
        <f t="shared" si="162"/>
        <v>0</v>
      </c>
      <c r="AL97" s="38">
        <f t="shared" si="162"/>
        <v>0</v>
      </c>
      <c r="AM97" s="38">
        <f t="shared" si="162"/>
        <v>0</v>
      </c>
      <c r="AN97" s="38">
        <f t="shared" si="162"/>
        <v>0</v>
      </c>
      <c r="AO97" s="38">
        <f t="shared" si="162"/>
        <v>0</v>
      </c>
      <c r="AP97" s="38">
        <f t="shared" si="162"/>
        <v>0</v>
      </c>
      <c r="AQ97" s="38">
        <f t="shared" si="162"/>
        <v>0</v>
      </c>
      <c r="AR97" s="38">
        <f t="shared" si="162"/>
        <v>0</v>
      </c>
      <c r="AS97" s="38">
        <f t="shared" si="162"/>
        <v>0</v>
      </c>
      <c r="AT97" s="38">
        <f t="shared" si="162"/>
        <v>0</v>
      </c>
      <c r="AU97" s="38">
        <f t="shared" si="162"/>
        <v>0</v>
      </c>
      <c r="AV97" s="38">
        <f t="shared" si="162"/>
        <v>0</v>
      </c>
      <c r="AW97" s="38">
        <f t="shared" si="162"/>
        <v>0</v>
      </c>
      <c r="AX97" s="38">
        <f t="shared" si="162"/>
        <v>0</v>
      </c>
      <c r="AY97" s="38">
        <f t="shared" si="162"/>
        <v>0</v>
      </c>
      <c r="AZ97" s="38">
        <f t="shared" si="162"/>
        <v>0</v>
      </c>
      <c r="BA97" s="38">
        <f t="shared" si="162"/>
        <v>0</v>
      </c>
      <c r="BB97" s="38">
        <f t="shared" si="162"/>
        <v>0</v>
      </c>
      <c r="BC97" s="38">
        <f t="shared" si="162"/>
        <v>0</v>
      </c>
      <c r="BD97" s="38">
        <f t="shared" si="162"/>
        <v>0</v>
      </c>
      <c r="BE97" s="38">
        <f t="shared" si="162"/>
        <v>0</v>
      </c>
      <c r="BF97" s="38">
        <f t="shared" si="162"/>
        <v>0</v>
      </c>
      <c r="BG97" s="38">
        <f t="shared" si="162"/>
        <v>0</v>
      </c>
      <c r="BH97" s="38">
        <f t="shared" si="162"/>
        <v>0</v>
      </c>
      <c r="BI97" s="38">
        <f t="shared" si="162"/>
        <v>0</v>
      </c>
      <c r="BJ97" s="38">
        <f t="shared" si="162"/>
        <v>0</v>
      </c>
      <c r="BK97" s="38">
        <f t="shared" si="162"/>
        <v>0</v>
      </c>
      <c r="BL97" s="38">
        <f t="shared" si="162"/>
        <v>0</v>
      </c>
      <c r="BM97" s="38">
        <f t="shared" si="162"/>
        <v>0</v>
      </c>
      <c r="BN97" s="38">
        <f t="shared" si="162"/>
        <v>0</v>
      </c>
      <c r="BO97" s="38">
        <f t="shared" si="162"/>
        <v>0</v>
      </c>
      <c r="BP97" s="38">
        <f t="shared" si="162"/>
        <v>0</v>
      </c>
      <c r="BQ97" s="38">
        <f t="shared" si="162"/>
        <v>0</v>
      </c>
      <c r="BR97" s="38">
        <f t="shared" si="162"/>
        <v>0</v>
      </c>
      <c r="BS97" s="38">
        <f t="shared" si="162"/>
        <v>0</v>
      </c>
      <c r="BT97" s="38">
        <f t="shared" si="162"/>
        <v>0</v>
      </c>
      <c r="BU97" s="38">
        <f t="shared" si="162"/>
        <v>0</v>
      </c>
      <c r="BV97" s="38">
        <f t="shared" si="162"/>
        <v>0</v>
      </c>
      <c r="BW97" s="38">
        <f t="shared" ref="BW97:DM97" si="163">SUM(BW93,BW96)</f>
        <v>0</v>
      </c>
      <c r="BX97" s="38">
        <f t="shared" si="163"/>
        <v>0</v>
      </c>
      <c r="BY97" s="38">
        <f t="shared" si="163"/>
        <v>0</v>
      </c>
      <c r="BZ97" s="38">
        <f t="shared" si="163"/>
        <v>0</v>
      </c>
      <c r="CA97" s="38">
        <f t="shared" si="163"/>
        <v>0</v>
      </c>
      <c r="CB97" s="38">
        <f t="shared" si="163"/>
        <v>0</v>
      </c>
      <c r="CC97" s="38">
        <f t="shared" si="163"/>
        <v>0</v>
      </c>
      <c r="CD97" s="38">
        <f t="shared" si="163"/>
        <v>0</v>
      </c>
      <c r="CE97" s="38">
        <f t="shared" si="163"/>
        <v>0</v>
      </c>
      <c r="CF97" s="38">
        <f t="shared" si="163"/>
        <v>0</v>
      </c>
      <c r="CG97" s="38">
        <f t="shared" si="163"/>
        <v>0</v>
      </c>
      <c r="CH97" s="38">
        <f t="shared" si="163"/>
        <v>0</v>
      </c>
      <c r="CI97" s="38">
        <f t="shared" si="163"/>
        <v>0</v>
      </c>
      <c r="CJ97" s="38">
        <f t="shared" si="163"/>
        <v>0</v>
      </c>
      <c r="CK97" s="38">
        <f t="shared" si="163"/>
        <v>0</v>
      </c>
      <c r="CL97" s="38">
        <f t="shared" si="163"/>
        <v>0</v>
      </c>
      <c r="CM97" s="38">
        <f t="shared" si="163"/>
        <v>0</v>
      </c>
      <c r="CN97" s="38">
        <f t="shared" si="163"/>
        <v>0</v>
      </c>
      <c r="CO97" s="38">
        <f t="shared" si="163"/>
        <v>0</v>
      </c>
      <c r="CP97" s="38">
        <f t="shared" si="163"/>
        <v>0</v>
      </c>
      <c r="CQ97" s="38">
        <f t="shared" si="163"/>
        <v>0</v>
      </c>
      <c r="CR97" s="38">
        <f t="shared" si="163"/>
        <v>0</v>
      </c>
      <c r="CS97" s="38">
        <f t="shared" si="163"/>
        <v>0</v>
      </c>
      <c r="CT97" s="38">
        <f t="shared" si="163"/>
        <v>0</v>
      </c>
      <c r="CU97" s="38">
        <f t="shared" si="163"/>
        <v>0</v>
      </c>
      <c r="CV97" s="38">
        <f t="shared" si="163"/>
        <v>0</v>
      </c>
      <c r="CW97" s="38">
        <f t="shared" si="163"/>
        <v>0</v>
      </c>
      <c r="CX97" s="38">
        <f t="shared" si="163"/>
        <v>0</v>
      </c>
      <c r="CY97" s="38">
        <f t="shared" si="163"/>
        <v>0</v>
      </c>
      <c r="CZ97" s="38">
        <f t="shared" si="163"/>
        <v>0</v>
      </c>
      <c r="DA97" s="38">
        <f t="shared" si="163"/>
        <v>0</v>
      </c>
      <c r="DB97" s="38">
        <f t="shared" si="163"/>
        <v>0</v>
      </c>
      <c r="DC97" s="38">
        <f t="shared" si="163"/>
        <v>0</v>
      </c>
      <c r="DD97" s="38">
        <f t="shared" si="163"/>
        <v>0</v>
      </c>
      <c r="DE97" s="38">
        <f t="shared" si="163"/>
        <v>0</v>
      </c>
      <c r="DF97" s="38">
        <f t="shared" si="163"/>
        <v>0</v>
      </c>
      <c r="DG97" s="38">
        <f t="shared" si="163"/>
        <v>0</v>
      </c>
      <c r="DH97" s="38">
        <f t="shared" si="163"/>
        <v>0</v>
      </c>
      <c r="DI97" s="38">
        <f t="shared" si="163"/>
        <v>0</v>
      </c>
      <c r="DJ97" s="38">
        <f t="shared" si="163"/>
        <v>0</v>
      </c>
      <c r="DK97" s="38">
        <f t="shared" si="163"/>
        <v>0</v>
      </c>
      <c r="DL97" s="38">
        <f t="shared" si="163"/>
        <v>0</v>
      </c>
      <c r="DM97" s="38">
        <f t="shared" si="163"/>
        <v>0</v>
      </c>
    </row>
    <row r="98" spans="3:117" outlineLevel="1" x14ac:dyDescent="0.15">
      <c r="D98" s="5"/>
    </row>
    <row r="99" spans="3:117" ht="14" outlineLevel="1" x14ac:dyDescent="0.15">
      <c r="C99" s="2" t="s">
        <v>92</v>
      </c>
      <c r="D99" s="5"/>
    </row>
    <row r="100" spans="3:117" outlineLevel="1" x14ac:dyDescent="0.15">
      <c r="C100" t="s">
        <v>93</v>
      </c>
      <c r="D100" s="5" t="s">
        <v>169</v>
      </c>
      <c r="I100" s="35">
        <f t="shared" ref="I100" si="164">SUM(J100:DM100)</f>
        <v>287000000</v>
      </c>
      <c r="J100" s="160"/>
      <c r="K100" s="21"/>
      <c r="L100" s="21"/>
      <c r="M100" s="21"/>
      <c r="N100" s="21">
        <v>28000000</v>
      </c>
      <c r="O100" s="21">
        <v>28000000</v>
      </c>
      <c r="P100" s="21">
        <v>28000000</v>
      </c>
      <c r="Q100" s="21">
        <v>25000000</v>
      </c>
      <c r="R100" s="21">
        <v>27000000</v>
      </c>
      <c r="S100" s="21">
        <v>27000000</v>
      </c>
      <c r="T100" s="21">
        <v>27000000</v>
      </c>
      <c r="U100" s="21">
        <v>26000000</v>
      </c>
      <c r="V100" s="21">
        <v>26000000</v>
      </c>
      <c r="W100" s="21">
        <v>26000000</v>
      </c>
      <c r="X100" s="21">
        <v>19000000</v>
      </c>
      <c r="Y100" s="104">
        <f t="shared" ref="Y100:BD100" si="165">AVERAGE($N$100:$R$100)*Y6</f>
        <v>0</v>
      </c>
      <c r="Z100" s="104">
        <f t="shared" si="165"/>
        <v>0</v>
      </c>
      <c r="AA100" s="104">
        <f t="shared" si="165"/>
        <v>0</v>
      </c>
      <c r="AB100" s="104">
        <f t="shared" si="165"/>
        <v>0</v>
      </c>
      <c r="AC100" s="104">
        <f t="shared" si="165"/>
        <v>0</v>
      </c>
      <c r="AD100" s="104">
        <f t="shared" si="165"/>
        <v>0</v>
      </c>
      <c r="AE100" s="104">
        <f t="shared" si="165"/>
        <v>0</v>
      </c>
      <c r="AF100" s="104">
        <f t="shared" si="165"/>
        <v>0</v>
      </c>
      <c r="AG100" s="104">
        <f t="shared" si="165"/>
        <v>0</v>
      </c>
      <c r="AH100" s="104">
        <f t="shared" si="165"/>
        <v>0</v>
      </c>
      <c r="AI100" s="104">
        <f t="shared" si="165"/>
        <v>0</v>
      </c>
      <c r="AJ100" s="104">
        <f t="shared" si="165"/>
        <v>0</v>
      </c>
      <c r="AK100" s="104">
        <f t="shared" si="165"/>
        <v>0</v>
      </c>
      <c r="AL100" s="104">
        <f t="shared" si="165"/>
        <v>0</v>
      </c>
      <c r="AM100" s="104">
        <f t="shared" si="165"/>
        <v>0</v>
      </c>
      <c r="AN100" s="104">
        <f t="shared" si="165"/>
        <v>0</v>
      </c>
      <c r="AO100" s="104">
        <f t="shared" si="165"/>
        <v>0</v>
      </c>
      <c r="AP100" s="104">
        <f t="shared" si="165"/>
        <v>0</v>
      </c>
      <c r="AQ100" s="104">
        <f t="shared" si="165"/>
        <v>0</v>
      </c>
      <c r="AR100" s="104">
        <f t="shared" si="165"/>
        <v>0</v>
      </c>
      <c r="AS100" s="104">
        <f t="shared" si="165"/>
        <v>0</v>
      </c>
      <c r="AT100" s="104">
        <f t="shared" si="165"/>
        <v>0</v>
      </c>
      <c r="AU100" s="104">
        <f t="shared" si="165"/>
        <v>0</v>
      </c>
      <c r="AV100" s="104">
        <f t="shared" si="165"/>
        <v>0</v>
      </c>
      <c r="AW100" s="104">
        <f t="shared" si="165"/>
        <v>0</v>
      </c>
      <c r="AX100" s="104">
        <f t="shared" si="165"/>
        <v>0</v>
      </c>
      <c r="AY100" s="104">
        <f t="shared" si="165"/>
        <v>0</v>
      </c>
      <c r="AZ100" s="104">
        <f t="shared" si="165"/>
        <v>0</v>
      </c>
      <c r="BA100" s="104">
        <f t="shared" si="165"/>
        <v>0</v>
      </c>
      <c r="BB100" s="104">
        <f t="shared" si="165"/>
        <v>0</v>
      </c>
      <c r="BC100" s="104">
        <f t="shared" si="165"/>
        <v>0</v>
      </c>
      <c r="BD100" s="104">
        <f t="shared" si="165"/>
        <v>0</v>
      </c>
      <c r="BE100" s="104">
        <f t="shared" ref="BE100:CJ100" si="166">AVERAGE($N$100:$R$100)*BE6</f>
        <v>0</v>
      </c>
      <c r="BF100" s="104">
        <f t="shared" si="166"/>
        <v>0</v>
      </c>
      <c r="BG100" s="104">
        <f t="shared" si="166"/>
        <v>0</v>
      </c>
      <c r="BH100" s="104">
        <f t="shared" si="166"/>
        <v>0</v>
      </c>
      <c r="BI100" s="104">
        <f t="shared" si="166"/>
        <v>0</v>
      </c>
      <c r="BJ100" s="104">
        <f t="shared" si="166"/>
        <v>0</v>
      </c>
      <c r="BK100" s="104">
        <f t="shared" si="166"/>
        <v>0</v>
      </c>
      <c r="BL100" s="104">
        <f t="shared" si="166"/>
        <v>0</v>
      </c>
      <c r="BM100" s="104">
        <f t="shared" si="166"/>
        <v>0</v>
      </c>
      <c r="BN100" s="104">
        <f t="shared" si="166"/>
        <v>0</v>
      </c>
      <c r="BO100" s="104">
        <f t="shared" si="166"/>
        <v>0</v>
      </c>
      <c r="BP100" s="104">
        <f t="shared" si="166"/>
        <v>0</v>
      </c>
      <c r="BQ100" s="104">
        <f t="shared" si="166"/>
        <v>0</v>
      </c>
      <c r="BR100" s="104">
        <f t="shared" si="166"/>
        <v>0</v>
      </c>
      <c r="BS100" s="104">
        <f t="shared" si="166"/>
        <v>0</v>
      </c>
      <c r="BT100" s="104">
        <f t="shared" si="166"/>
        <v>0</v>
      </c>
      <c r="BU100" s="104">
        <f t="shared" si="166"/>
        <v>0</v>
      </c>
      <c r="BV100" s="104">
        <f t="shared" si="166"/>
        <v>0</v>
      </c>
      <c r="BW100" s="104">
        <f t="shared" si="166"/>
        <v>0</v>
      </c>
      <c r="BX100" s="104">
        <f t="shared" si="166"/>
        <v>0</v>
      </c>
      <c r="BY100" s="104">
        <f t="shared" si="166"/>
        <v>0</v>
      </c>
      <c r="BZ100" s="104">
        <f t="shared" si="166"/>
        <v>0</v>
      </c>
      <c r="CA100" s="104">
        <f t="shared" si="166"/>
        <v>0</v>
      </c>
      <c r="CB100" s="104">
        <f t="shared" si="166"/>
        <v>0</v>
      </c>
      <c r="CC100" s="104">
        <f t="shared" si="166"/>
        <v>0</v>
      </c>
      <c r="CD100" s="104">
        <f t="shared" si="166"/>
        <v>0</v>
      </c>
      <c r="CE100" s="104">
        <f t="shared" si="166"/>
        <v>0</v>
      </c>
      <c r="CF100" s="104">
        <f t="shared" si="166"/>
        <v>0</v>
      </c>
      <c r="CG100" s="104">
        <f t="shared" si="166"/>
        <v>0</v>
      </c>
      <c r="CH100" s="104">
        <f t="shared" si="166"/>
        <v>0</v>
      </c>
      <c r="CI100" s="104">
        <f t="shared" si="166"/>
        <v>0</v>
      </c>
      <c r="CJ100" s="104">
        <f t="shared" si="166"/>
        <v>0</v>
      </c>
      <c r="CK100" s="104">
        <f t="shared" ref="CK100:DM100" si="167">AVERAGE($N$100:$R$100)*CK6</f>
        <v>0</v>
      </c>
      <c r="CL100" s="104">
        <f t="shared" si="167"/>
        <v>0</v>
      </c>
      <c r="CM100" s="104">
        <f t="shared" si="167"/>
        <v>0</v>
      </c>
      <c r="CN100" s="104">
        <f t="shared" si="167"/>
        <v>0</v>
      </c>
      <c r="CO100" s="104">
        <f t="shared" si="167"/>
        <v>0</v>
      </c>
      <c r="CP100" s="104">
        <f t="shared" si="167"/>
        <v>0</v>
      </c>
      <c r="CQ100" s="104">
        <f t="shared" si="167"/>
        <v>0</v>
      </c>
      <c r="CR100" s="104">
        <f t="shared" si="167"/>
        <v>0</v>
      </c>
      <c r="CS100" s="104">
        <f t="shared" si="167"/>
        <v>0</v>
      </c>
      <c r="CT100" s="104">
        <f t="shared" si="167"/>
        <v>0</v>
      </c>
      <c r="CU100" s="104">
        <f t="shared" si="167"/>
        <v>0</v>
      </c>
      <c r="CV100" s="104">
        <f t="shared" si="167"/>
        <v>0</v>
      </c>
      <c r="CW100" s="104">
        <f t="shared" si="167"/>
        <v>0</v>
      </c>
      <c r="CX100" s="104">
        <f t="shared" si="167"/>
        <v>0</v>
      </c>
      <c r="CY100" s="104">
        <f t="shared" si="167"/>
        <v>0</v>
      </c>
      <c r="CZ100" s="104">
        <f t="shared" si="167"/>
        <v>0</v>
      </c>
      <c r="DA100" s="104">
        <f t="shared" si="167"/>
        <v>0</v>
      </c>
      <c r="DB100" s="104">
        <f t="shared" si="167"/>
        <v>0</v>
      </c>
      <c r="DC100" s="104">
        <f t="shared" si="167"/>
        <v>0</v>
      </c>
      <c r="DD100" s="104">
        <f t="shared" si="167"/>
        <v>0</v>
      </c>
      <c r="DE100" s="104">
        <f t="shared" si="167"/>
        <v>0</v>
      </c>
      <c r="DF100" s="104">
        <f t="shared" si="167"/>
        <v>0</v>
      </c>
      <c r="DG100" s="104">
        <f t="shared" si="167"/>
        <v>0</v>
      </c>
      <c r="DH100" s="104">
        <f t="shared" si="167"/>
        <v>0</v>
      </c>
      <c r="DI100" s="104">
        <f t="shared" si="167"/>
        <v>0</v>
      </c>
      <c r="DJ100" s="104">
        <f t="shared" si="167"/>
        <v>0</v>
      </c>
      <c r="DK100" s="104">
        <f t="shared" si="167"/>
        <v>0</v>
      </c>
      <c r="DL100" s="104">
        <f t="shared" si="167"/>
        <v>0</v>
      </c>
      <c r="DM100" s="104">
        <f t="shared" si="167"/>
        <v>0</v>
      </c>
    </row>
    <row r="101" spans="3:117" outlineLevel="1" x14ac:dyDescent="0.15">
      <c r="C101" t="s">
        <v>291</v>
      </c>
      <c r="D101" s="5" t="s">
        <v>169</v>
      </c>
      <c r="F101" s="85">
        <f>'Scenario Manager'!E18</f>
        <v>0</v>
      </c>
    </row>
    <row r="102" spans="3:117" outlineLevel="1" x14ac:dyDescent="0.15">
      <c r="C102" t="s">
        <v>93</v>
      </c>
      <c r="D102" s="5" t="s">
        <v>169</v>
      </c>
      <c r="J102" s="167">
        <f>(1+$F$101)*J100</f>
        <v>0</v>
      </c>
      <c r="K102" s="64">
        <f t="shared" ref="K102:BV102" si="168">(1+$F$101)*K100</f>
        <v>0</v>
      </c>
      <c r="L102" s="64">
        <f t="shared" si="168"/>
        <v>0</v>
      </c>
      <c r="M102" s="64">
        <f t="shared" si="168"/>
        <v>0</v>
      </c>
      <c r="N102" s="64">
        <f t="shared" si="168"/>
        <v>28000000</v>
      </c>
      <c r="O102" s="64">
        <f t="shared" si="168"/>
        <v>28000000</v>
      </c>
      <c r="P102" s="64">
        <f t="shared" si="168"/>
        <v>28000000</v>
      </c>
      <c r="Q102" s="64">
        <f t="shared" si="168"/>
        <v>25000000</v>
      </c>
      <c r="R102" s="64">
        <f t="shared" si="168"/>
        <v>27000000</v>
      </c>
      <c r="S102" s="64">
        <f t="shared" si="168"/>
        <v>27000000</v>
      </c>
      <c r="T102" s="64">
        <f t="shared" si="168"/>
        <v>27000000</v>
      </c>
      <c r="U102" s="64">
        <f t="shared" si="168"/>
        <v>26000000</v>
      </c>
      <c r="V102" s="64">
        <f t="shared" si="168"/>
        <v>26000000</v>
      </c>
      <c r="W102" s="64">
        <f t="shared" si="168"/>
        <v>26000000</v>
      </c>
      <c r="X102" s="64">
        <f t="shared" si="168"/>
        <v>19000000</v>
      </c>
      <c r="Y102" s="64">
        <f t="shared" si="168"/>
        <v>0</v>
      </c>
      <c r="Z102" s="64">
        <f t="shared" si="168"/>
        <v>0</v>
      </c>
      <c r="AA102" s="64">
        <f t="shared" si="168"/>
        <v>0</v>
      </c>
      <c r="AB102" s="64">
        <f t="shared" si="168"/>
        <v>0</v>
      </c>
      <c r="AC102" s="64">
        <f t="shared" si="168"/>
        <v>0</v>
      </c>
      <c r="AD102" s="64">
        <f t="shared" si="168"/>
        <v>0</v>
      </c>
      <c r="AE102" s="64">
        <f t="shared" si="168"/>
        <v>0</v>
      </c>
      <c r="AF102" s="64">
        <f t="shared" si="168"/>
        <v>0</v>
      </c>
      <c r="AG102" s="64">
        <f t="shared" si="168"/>
        <v>0</v>
      </c>
      <c r="AH102" s="64">
        <f t="shared" si="168"/>
        <v>0</v>
      </c>
      <c r="AI102" s="64">
        <f t="shared" si="168"/>
        <v>0</v>
      </c>
      <c r="AJ102" s="64">
        <f t="shared" si="168"/>
        <v>0</v>
      </c>
      <c r="AK102" s="64">
        <f t="shared" si="168"/>
        <v>0</v>
      </c>
      <c r="AL102" s="64">
        <f t="shared" si="168"/>
        <v>0</v>
      </c>
      <c r="AM102" s="64">
        <f t="shared" si="168"/>
        <v>0</v>
      </c>
      <c r="AN102" s="64">
        <f t="shared" si="168"/>
        <v>0</v>
      </c>
      <c r="AO102" s="64">
        <f t="shared" si="168"/>
        <v>0</v>
      </c>
      <c r="AP102" s="64">
        <f t="shared" si="168"/>
        <v>0</v>
      </c>
      <c r="AQ102" s="64">
        <f t="shared" si="168"/>
        <v>0</v>
      </c>
      <c r="AR102" s="64">
        <f t="shared" si="168"/>
        <v>0</v>
      </c>
      <c r="AS102" s="64">
        <f t="shared" si="168"/>
        <v>0</v>
      </c>
      <c r="AT102" s="64">
        <f t="shared" si="168"/>
        <v>0</v>
      </c>
      <c r="AU102" s="64">
        <f t="shared" si="168"/>
        <v>0</v>
      </c>
      <c r="AV102" s="64">
        <f t="shared" si="168"/>
        <v>0</v>
      </c>
      <c r="AW102" s="64">
        <f t="shared" si="168"/>
        <v>0</v>
      </c>
      <c r="AX102" s="64">
        <f t="shared" si="168"/>
        <v>0</v>
      </c>
      <c r="AY102" s="64">
        <f t="shared" si="168"/>
        <v>0</v>
      </c>
      <c r="AZ102" s="64">
        <f t="shared" si="168"/>
        <v>0</v>
      </c>
      <c r="BA102" s="64">
        <f t="shared" si="168"/>
        <v>0</v>
      </c>
      <c r="BB102" s="64">
        <f t="shared" si="168"/>
        <v>0</v>
      </c>
      <c r="BC102" s="64">
        <f t="shared" si="168"/>
        <v>0</v>
      </c>
      <c r="BD102" s="64">
        <f t="shared" si="168"/>
        <v>0</v>
      </c>
      <c r="BE102" s="64">
        <f t="shared" si="168"/>
        <v>0</v>
      </c>
      <c r="BF102" s="64">
        <f t="shared" si="168"/>
        <v>0</v>
      </c>
      <c r="BG102" s="64">
        <f t="shared" si="168"/>
        <v>0</v>
      </c>
      <c r="BH102" s="64">
        <f t="shared" si="168"/>
        <v>0</v>
      </c>
      <c r="BI102" s="64">
        <f t="shared" si="168"/>
        <v>0</v>
      </c>
      <c r="BJ102" s="64">
        <f t="shared" si="168"/>
        <v>0</v>
      </c>
      <c r="BK102" s="64">
        <f t="shared" si="168"/>
        <v>0</v>
      </c>
      <c r="BL102" s="64">
        <f t="shared" si="168"/>
        <v>0</v>
      </c>
      <c r="BM102" s="64">
        <f t="shared" si="168"/>
        <v>0</v>
      </c>
      <c r="BN102" s="64">
        <f t="shared" si="168"/>
        <v>0</v>
      </c>
      <c r="BO102" s="64">
        <f t="shared" si="168"/>
        <v>0</v>
      </c>
      <c r="BP102" s="64">
        <f t="shared" si="168"/>
        <v>0</v>
      </c>
      <c r="BQ102" s="64">
        <f t="shared" si="168"/>
        <v>0</v>
      </c>
      <c r="BR102" s="64">
        <f t="shared" si="168"/>
        <v>0</v>
      </c>
      <c r="BS102" s="64">
        <f t="shared" si="168"/>
        <v>0</v>
      </c>
      <c r="BT102" s="64">
        <f t="shared" si="168"/>
        <v>0</v>
      </c>
      <c r="BU102" s="64">
        <f t="shared" si="168"/>
        <v>0</v>
      </c>
      <c r="BV102" s="64">
        <f t="shared" si="168"/>
        <v>0</v>
      </c>
      <c r="BW102" s="64">
        <f t="shared" ref="BW102:DM102" si="169">(1+$F$101)*BW100</f>
        <v>0</v>
      </c>
      <c r="BX102" s="64">
        <f t="shared" si="169"/>
        <v>0</v>
      </c>
      <c r="BY102" s="64">
        <f t="shared" si="169"/>
        <v>0</v>
      </c>
      <c r="BZ102" s="64">
        <f t="shared" si="169"/>
        <v>0</v>
      </c>
      <c r="CA102" s="64">
        <f t="shared" si="169"/>
        <v>0</v>
      </c>
      <c r="CB102" s="64">
        <f t="shared" si="169"/>
        <v>0</v>
      </c>
      <c r="CC102" s="64">
        <f t="shared" si="169"/>
        <v>0</v>
      </c>
      <c r="CD102" s="64">
        <f t="shared" si="169"/>
        <v>0</v>
      </c>
      <c r="CE102" s="64">
        <f t="shared" si="169"/>
        <v>0</v>
      </c>
      <c r="CF102" s="64">
        <f t="shared" si="169"/>
        <v>0</v>
      </c>
      <c r="CG102" s="64">
        <f t="shared" si="169"/>
        <v>0</v>
      </c>
      <c r="CH102" s="64">
        <f t="shared" si="169"/>
        <v>0</v>
      </c>
      <c r="CI102" s="64">
        <f t="shared" si="169"/>
        <v>0</v>
      </c>
      <c r="CJ102" s="64">
        <f t="shared" si="169"/>
        <v>0</v>
      </c>
      <c r="CK102" s="64">
        <f t="shared" si="169"/>
        <v>0</v>
      </c>
      <c r="CL102" s="64">
        <f t="shared" si="169"/>
        <v>0</v>
      </c>
      <c r="CM102" s="64">
        <f t="shared" si="169"/>
        <v>0</v>
      </c>
      <c r="CN102" s="64">
        <f t="shared" si="169"/>
        <v>0</v>
      </c>
      <c r="CO102" s="64">
        <f t="shared" si="169"/>
        <v>0</v>
      </c>
      <c r="CP102" s="64">
        <f t="shared" si="169"/>
        <v>0</v>
      </c>
      <c r="CQ102" s="64">
        <f t="shared" si="169"/>
        <v>0</v>
      </c>
      <c r="CR102" s="64">
        <f t="shared" si="169"/>
        <v>0</v>
      </c>
      <c r="CS102" s="64">
        <f t="shared" si="169"/>
        <v>0</v>
      </c>
      <c r="CT102" s="64">
        <f t="shared" si="169"/>
        <v>0</v>
      </c>
      <c r="CU102" s="64">
        <f t="shared" si="169"/>
        <v>0</v>
      </c>
      <c r="CV102" s="64">
        <f t="shared" si="169"/>
        <v>0</v>
      </c>
      <c r="CW102" s="64">
        <f t="shared" si="169"/>
        <v>0</v>
      </c>
      <c r="CX102" s="64">
        <f t="shared" si="169"/>
        <v>0</v>
      </c>
      <c r="CY102" s="64">
        <f t="shared" si="169"/>
        <v>0</v>
      </c>
      <c r="CZ102" s="64">
        <f t="shared" si="169"/>
        <v>0</v>
      </c>
      <c r="DA102" s="64">
        <f t="shared" si="169"/>
        <v>0</v>
      </c>
      <c r="DB102" s="64">
        <f t="shared" si="169"/>
        <v>0</v>
      </c>
      <c r="DC102" s="64">
        <f t="shared" si="169"/>
        <v>0</v>
      </c>
      <c r="DD102" s="64">
        <f t="shared" si="169"/>
        <v>0</v>
      </c>
      <c r="DE102" s="64">
        <f t="shared" si="169"/>
        <v>0</v>
      </c>
      <c r="DF102" s="64">
        <f t="shared" si="169"/>
        <v>0</v>
      </c>
      <c r="DG102" s="64">
        <f t="shared" si="169"/>
        <v>0</v>
      </c>
      <c r="DH102" s="64">
        <f t="shared" si="169"/>
        <v>0</v>
      </c>
      <c r="DI102" s="64">
        <f t="shared" si="169"/>
        <v>0</v>
      </c>
      <c r="DJ102" s="64">
        <f t="shared" si="169"/>
        <v>0</v>
      </c>
      <c r="DK102" s="64">
        <f t="shared" si="169"/>
        <v>0</v>
      </c>
      <c r="DL102" s="64">
        <f t="shared" si="169"/>
        <v>0</v>
      </c>
      <c r="DM102" s="64">
        <f t="shared" si="169"/>
        <v>0</v>
      </c>
    </row>
    <row r="103" spans="3:117" outlineLevel="1" x14ac:dyDescent="0.15">
      <c r="D103" s="5"/>
    </row>
    <row r="104" spans="3:117" outlineLevel="1" x14ac:dyDescent="0.15">
      <c r="C104" t="s">
        <v>94</v>
      </c>
      <c r="D104" s="5" t="s">
        <v>167</v>
      </c>
      <c r="I104" s="35">
        <f t="shared" ref="I104" si="170">SUM(J104:DM104)</f>
        <v>287000000</v>
      </c>
      <c r="J104" s="150">
        <f>J102*(1+J10)</f>
        <v>0</v>
      </c>
      <c r="K104" s="37">
        <f t="shared" ref="K104:AD104" si="171">K102*(1+K10)</f>
        <v>0</v>
      </c>
      <c r="L104" s="37">
        <f t="shared" si="171"/>
        <v>0</v>
      </c>
      <c r="M104" s="37">
        <f t="shared" si="171"/>
        <v>0</v>
      </c>
      <c r="N104" s="37">
        <f t="shared" si="171"/>
        <v>28000000</v>
      </c>
      <c r="O104" s="37">
        <f t="shared" si="171"/>
        <v>28000000</v>
      </c>
      <c r="P104" s="37">
        <f t="shared" si="171"/>
        <v>28000000</v>
      </c>
      <c r="Q104" s="37">
        <f>Q102*(1+Q10)</f>
        <v>25000000</v>
      </c>
      <c r="R104" s="37">
        <f t="shared" si="171"/>
        <v>27000000</v>
      </c>
      <c r="S104" s="37">
        <f t="shared" si="171"/>
        <v>27000000</v>
      </c>
      <c r="T104" s="37">
        <f t="shared" si="171"/>
        <v>27000000</v>
      </c>
      <c r="U104" s="37">
        <f>U102*(1+U10)</f>
        <v>26000000</v>
      </c>
      <c r="V104" s="37">
        <f t="shared" si="171"/>
        <v>26000000</v>
      </c>
      <c r="W104" s="37">
        <f t="shared" si="171"/>
        <v>26000000</v>
      </c>
      <c r="X104" s="37">
        <f t="shared" si="171"/>
        <v>19000000</v>
      </c>
      <c r="Y104" s="37">
        <f t="shared" si="171"/>
        <v>0</v>
      </c>
      <c r="Z104" s="37">
        <f t="shared" si="171"/>
        <v>0</v>
      </c>
      <c r="AA104" s="37">
        <f>AA102*(1+AA10)</f>
        <v>0</v>
      </c>
      <c r="AB104" s="37">
        <f t="shared" si="171"/>
        <v>0</v>
      </c>
      <c r="AC104" s="37">
        <f t="shared" si="171"/>
        <v>0</v>
      </c>
      <c r="AD104" s="37">
        <f t="shared" si="171"/>
        <v>0</v>
      </c>
      <c r="AE104" s="37">
        <f t="shared" ref="AE104:BV104" si="172">AE102</f>
        <v>0</v>
      </c>
      <c r="AF104" s="37">
        <f t="shared" si="172"/>
        <v>0</v>
      </c>
      <c r="AG104" s="37">
        <f t="shared" si="172"/>
        <v>0</v>
      </c>
      <c r="AH104" s="37">
        <f t="shared" si="172"/>
        <v>0</v>
      </c>
      <c r="AI104" s="37">
        <f t="shared" si="172"/>
        <v>0</v>
      </c>
      <c r="AJ104" s="37">
        <f t="shared" si="172"/>
        <v>0</v>
      </c>
      <c r="AK104" s="37">
        <f t="shared" si="172"/>
        <v>0</v>
      </c>
      <c r="AL104" s="37">
        <f t="shared" si="172"/>
        <v>0</v>
      </c>
      <c r="AM104" s="37">
        <f t="shared" si="172"/>
        <v>0</v>
      </c>
      <c r="AN104" s="37">
        <f t="shared" si="172"/>
        <v>0</v>
      </c>
      <c r="AO104" s="37">
        <f t="shared" si="172"/>
        <v>0</v>
      </c>
      <c r="AP104" s="37">
        <f t="shared" si="172"/>
        <v>0</v>
      </c>
      <c r="AQ104" s="37">
        <f t="shared" si="172"/>
        <v>0</v>
      </c>
      <c r="AR104" s="37">
        <f t="shared" si="172"/>
        <v>0</v>
      </c>
      <c r="AS104" s="37">
        <f t="shared" si="172"/>
        <v>0</v>
      </c>
      <c r="AT104" s="37">
        <f t="shared" si="172"/>
        <v>0</v>
      </c>
      <c r="AU104" s="37">
        <f t="shared" si="172"/>
        <v>0</v>
      </c>
      <c r="AV104" s="37">
        <f t="shared" si="172"/>
        <v>0</v>
      </c>
      <c r="AW104" s="37">
        <f t="shared" si="172"/>
        <v>0</v>
      </c>
      <c r="AX104" s="37">
        <f t="shared" si="172"/>
        <v>0</v>
      </c>
      <c r="AY104" s="37">
        <f t="shared" si="172"/>
        <v>0</v>
      </c>
      <c r="AZ104" s="37">
        <f t="shared" si="172"/>
        <v>0</v>
      </c>
      <c r="BA104" s="37">
        <f t="shared" si="172"/>
        <v>0</v>
      </c>
      <c r="BB104" s="37">
        <f t="shared" si="172"/>
        <v>0</v>
      </c>
      <c r="BC104" s="37">
        <f t="shared" si="172"/>
        <v>0</v>
      </c>
      <c r="BD104" s="37">
        <f t="shared" si="172"/>
        <v>0</v>
      </c>
      <c r="BE104" s="37">
        <f t="shared" si="172"/>
        <v>0</v>
      </c>
      <c r="BF104" s="37">
        <f t="shared" si="172"/>
        <v>0</v>
      </c>
      <c r="BG104" s="37">
        <f t="shared" si="172"/>
        <v>0</v>
      </c>
      <c r="BH104" s="37">
        <f t="shared" si="172"/>
        <v>0</v>
      </c>
      <c r="BI104" s="37">
        <f t="shared" si="172"/>
        <v>0</v>
      </c>
      <c r="BJ104" s="37">
        <f t="shared" si="172"/>
        <v>0</v>
      </c>
      <c r="BK104" s="37">
        <f t="shared" si="172"/>
        <v>0</v>
      </c>
      <c r="BL104" s="37">
        <f t="shared" si="172"/>
        <v>0</v>
      </c>
      <c r="BM104" s="37">
        <f t="shared" si="172"/>
        <v>0</v>
      </c>
      <c r="BN104" s="37">
        <f t="shared" si="172"/>
        <v>0</v>
      </c>
      <c r="BO104" s="37">
        <f t="shared" si="172"/>
        <v>0</v>
      </c>
      <c r="BP104" s="37">
        <f t="shared" si="172"/>
        <v>0</v>
      </c>
      <c r="BQ104" s="37">
        <f t="shared" si="172"/>
        <v>0</v>
      </c>
      <c r="BR104" s="37">
        <f t="shared" si="172"/>
        <v>0</v>
      </c>
      <c r="BS104" s="37">
        <f t="shared" si="172"/>
        <v>0</v>
      </c>
      <c r="BT104" s="37">
        <f t="shared" si="172"/>
        <v>0</v>
      </c>
      <c r="BU104" s="37">
        <f t="shared" si="172"/>
        <v>0</v>
      </c>
      <c r="BV104" s="37">
        <f t="shared" si="172"/>
        <v>0</v>
      </c>
      <c r="BW104" s="37">
        <f t="shared" ref="BW104:DM104" si="173">BW102</f>
        <v>0</v>
      </c>
      <c r="BX104" s="37">
        <f t="shared" si="173"/>
        <v>0</v>
      </c>
      <c r="BY104" s="37">
        <f t="shared" si="173"/>
        <v>0</v>
      </c>
      <c r="BZ104" s="37">
        <f t="shared" si="173"/>
        <v>0</v>
      </c>
      <c r="CA104" s="37">
        <f t="shared" si="173"/>
        <v>0</v>
      </c>
      <c r="CB104" s="37">
        <f t="shared" si="173"/>
        <v>0</v>
      </c>
      <c r="CC104" s="37">
        <f t="shared" si="173"/>
        <v>0</v>
      </c>
      <c r="CD104" s="37">
        <f t="shared" si="173"/>
        <v>0</v>
      </c>
      <c r="CE104" s="37">
        <f t="shared" si="173"/>
        <v>0</v>
      </c>
      <c r="CF104" s="37">
        <f t="shared" si="173"/>
        <v>0</v>
      </c>
      <c r="CG104" s="37">
        <f t="shared" si="173"/>
        <v>0</v>
      </c>
      <c r="CH104" s="37">
        <f t="shared" si="173"/>
        <v>0</v>
      </c>
      <c r="CI104" s="37">
        <f t="shared" si="173"/>
        <v>0</v>
      </c>
      <c r="CJ104" s="37">
        <f t="shared" si="173"/>
        <v>0</v>
      </c>
      <c r="CK104" s="37">
        <f t="shared" si="173"/>
        <v>0</v>
      </c>
      <c r="CL104" s="37">
        <f t="shared" si="173"/>
        <v>0</v>
      </c>
      <c r="CM104" s="37">
        <f t="shared" si="173"/>
        <v>0</v>
      </c>
      <c r="CN104" s="37">
        <f t="shared" si="173"/>
        <v>0</v>
      </c>
      <c r="CO104" s="37">
        <f t="shared" si="173"/>
        <v>0</v>
      </c>
      <c r="CP104" s="37">
        <f t="shared" si="173"/>
        <v>0</v>
      </c>
      <c r="CQ104" s="37">
        <f t="shared" si="173"/>
        <v>0</v>
      </c>
      <c r="CR104" s="37">
        <f t="shared" si="173"/>
        <v>0</v>
      </c>
      <c r="CS104" s="37">
        <f t="shared" si="173"/>
        <v>0</v>
      </c>
      <c r="CT104" s="37">
        <f t="shared" si="173"/>
        <v>0</v>
      </c>
      <c r="CU104" s="37">
        <f t="shared" si="173"/>
        <v>0</v>
      </c>
      <c r="CV104" s="37">
        <f t="shared" si="173"/>
        <v>0</v>
      </c>
      <c r="CW104" s="37">
        <f t="shared" si="173"/>
        <v>0</v>
      </c>
      <c r="CX104" s="37">
        <f t="shared" si="173"/>
        <v>0</v>
      </c>
      <c r="CY104" s="37">
        <f t="shared" si="173"/>
        <v>0</v>
      </c>
      <c r="CZ104" s="37">
        <f t="shared" si="173"/>
        <v>0</v>
      </c>
      <c r="DA104" s="37">
        <f t="shared" si="173"/>
        <v>0</v>
      </c>
      <c r="DB104" s="37">
        <f t="shared" si="173"/>
        <v>0</v>
      </c>
      <c r="DC104" s="37">
        <f t="shared" si="173"/>
        <v>0</v>
      </c>
      <c r="DD104" s="37">
        <f t="shared" si="173"/>
        <v>0</v>
      </c>
      <c r="DE104" s="37">
        <f t="shared" si="173"/>
        <v>0</v>
      </c>
      <c r="DF104" s="37">
        <f t="shared" si="173"/>
        <v>0</v>
      </c>
      <c r="DG104" s="37">
        <f t="shared" si="173"/>
        <v>0</v>
      </c>
      <c r="DH104" s="37">
        <f t="shared" si="173"/>
        <v>0</v>
      </c>
      <c r="DI104" s="37">
        <f t="shared" si="173"/>
        <v>0</v>
      </c>
      <c r="DJ104" s="37">
        <f t="shared" si="173"/>
        <v>0</v>
      </c>
      <c r="DK104" s="37">
        <f t="shared" si="173"/>
        <v>0</v>
      </c>
      <c r="DL104" s="37">
        <f t="shared" si="173"/>
        <v>0</v>
      </c>
      <c r="DM104" s="37">
        <f t="shared" si="173"/>
        <v>0</v>
      </c>
    </row>
    <row r="105" spans="3:117" outlineLevel="1" x14ac:dyDescent="0.15">
      <c r="D105" s="5"/>
    </row>
    <row r="106" spans="3:117" ht="14" outlineLevel="1" x14ac:dyDescent="0.15">
      <c r="C106" s="2" t="s">
        <v>95</v>
      </c>
      <c r="D106" s="5"/>
    </row>
    <row r="107" spans="3:117" outlineLevel="1" x14ac:dyDescent="0.15">
      <c r="C107" t="s">
        <v>96</v>
      </c>
      <c r="D107" s="5" t="s">
        <v>167</v>
      </c>
      <c r="I107" s="35">
        <f t="shared" ref="I107:I110" si="174">SUM(J107:DM107)</f>
        <v>1026400000.0000004</v>
      </c>
      <c r="J107" s="150">
        <f t="shared" ref="J107:AO107" si="175">J102+J93+J86+J78</f>
        <v>0</v>
      </c>
      <c r="K107" s="37">
        <f t="shared" si="175"/>
        <v>0</v>
      </c>
      <c r="L107" s="37">
        <f t="shared" si="175"/>
        <v>0</v>
      </c>
      <c r="M107" s="37">
        <f t="shared" si="175"/>
        <v>0</v>
      </c>
      <c r="N107" s="37">
        <f t="shared" si="175"/>
        <v>95218181.818181828</v>
      </c>
      <c r="O107" s="37">
        <f t="shared" si="175"/>
        <v>95218181.818181828</v>
      </c>
      <c r="P107" s="37">
        <f t="shared" si="175"/>
        <v>95218181.818181828</v>
      </c>
      <c r="Q107" s="37">
        <f t="shared" si="175"/>
        <v>92218181.818181828</v>
      </c>
      <c r="R107" s="37">
        <f t="shared" si="175"/>
        <v>94218181.818181828</v>
      </c>
      <c r="S107" s="37">
        <f t="shared" si="175"/>
        <v>94218181.818181828</v>
      </c>
      <c r="T107" s="37">
        <f t="shared" si="175"/>
        <v>94218181.818181828</v>
      </c>
      <c r="U107" s="37">
        <f t="shared" si="175"/>
        <v>93218181.818181828</v>
      </c>
      <c r="V107" s="37">
        <f t="shared" si="175"/>
        <v>93218181.818181828</v>
      </c>
      <c r="W107" s="37">
        <f t="shared" si="175"/>
        <v>93218181.818181828</v>
      </c>
      <c r="X107" s="37">
        <f t="shared" si="175"/>
        <v>86218181.818181828</v>
      </c>
      <c r="Y107" s="37">
        <f t="shared" si="175"/>
        <v>0</v>
      </c>
      <c r="Z107" s="37">
        <f t="shared" si="175"/>
        <v>0</v>
      </c>
      <c r="AA107" s="37">
        <f t="shared" si="175"/>
        <v>0</v>
      </c>
      <c r="AB107" s="37">
        <f t="shared" si="175"/>
        <v>0</v>
      </c>
      <c r="AC107" s="37">
        <f t="shared" si="175"/>
        <v>0</v>
      </c>
      <c r="AD107" s="37">
        <f t="shared" si="175"/>
        <v>0</v>
      </c>
      <c r="AE107" s="37">
        <f t="shared" si="175"/>
        <v>0</v>
      </c>
      <c r="AF107" s="37">
        <f t="shared" si="175"/>
        <v>0</v>
      </c>
      <c r="AG107" s="37">
        <f t="shared" si="175"/>
        <v>0</v>
      </c>
      <c r="AH107" s="37">
        <f t="shared" si="175"/>
        <v>0</v>
      </c>
      <c r="AI107" s="37">
        <f t="shared" si="175"/>
        <v>0</v>
      </c>
      <c r="AJ107" s="37">
        <f t="shared" si="175"/>
        <v>0</v>
      </c>
      <c r="AK107" s="37">
        <f t="shared" si="175"/>
        <v>0</v>
      </c>
      <c r="AL107" s="37">
        <f t="shared" si="175"/>
        <v>0</v>
      </c>
      <c r="AM107" s="37">
        <f t="shared" si="175"/>
        <v>0</v>
      </c>
      <c r="AN107" s="37">
        <f t="shared" si="175"/>
        <v>0</v>
      </c>
      <c r="AO107" s="37">
        <f t="shared" si="175"/>
        <v>0</v>
      </c>
      <c r="AP107" s="37">
        <f t="shared" ref="AP107:BU107" si="176">AP102+AP93+AP86+AP78</f>
        <v>0</v>
      </c>
      <c r="AQ107" s="37">
        <f t="shared" si="176"/>
        <v>0</v>
      </c>
      <c r="AR107" s="37">
        <f t="shared" si="176"/>
        <v>0</v>
      </c>
      <c r="AS107" s="37">
        <f t="shared" si="176"/>
        <v>0</v>
      </c>
      <c r="AT107" s="37">
        <f t="shared" si="176"/>
        <v>0</v>
      </c>
      <c r="AU107" s="37">
        <f t="shared" si="176"/>
        <v>0</v>
      </c>
      <c r="AV107" s="37">
        <f t="shared" si="176"/>
        <v>0</v>
      </c>
      <c r="AW107" s="37">
        <f t="shared" si="176"/>
        <v>0</v>
      </c>
      <c r="AX107" s="37">
        <f t="shared" si="176"/>
        <v>0</v>
      </c>
      <c r="AY107" s="37">
        <f t="shared" si="176"/>
        <v>0</v>
      </c>
      <c r="AZ107" s="37">
        <f t="shared" si="176"/>
        <v>0</v>
      </c>
      <c r="BA107" s="37">
        <f t="shared" si="176"/>
        <v>0</v>
      </c>
      <c r="BB107" s="37">
        <f t="shared" si="176"/>
        <v>0</v>
      </c>
      <c r="BC107" s="37">
        <f t="shared" si="176"/>
        <v>0</v>
      </c>
      <c r="BD107" s="37">
        <f t="shared" si="176"/>
        <v>0</v>
      </c>
      <c r="BE107" s="37">
        <f t="shared" si="176"/>
        <v>0</v>
      </c>
      <c r="BF107" s="37">
        <f t="shared" si="176"/>
        <v>0</v>
      </c>
      <c r="BG107" s="37">
        <f t="shared" si="176"/>
        <v>0</v>
      </c>
      <c r="BH107" s="37">
        <f t="shared" si="176"/>
        <v>0</v>
      </c>
      <c r="BI107" s="37">
        <f t="shared" si="176"/>
        <v>0</v>
      </c>
      <c r="BJ107" s="37">
        <f t="shared" si="176"/>
        <v>0</v>
      </c>
      <c r="BK107" s="37">
        <f t="shared" si="176"/>
        <v>0</v>
      </c>
      <c r="BL107" s="37">
        <f t="shared" si="176"/>
        <v>0</v>
      </c>
      <c r="BM107" s="37">
        <f t="shared" si="176"/>
        <v>0</v>
      </c>
      <c r="BN107" s="37">
        <f t="shared" si="176"/>
        <v>0</v>
      </c>
      <c r="BO107" s="37">
        <f t="shared" si="176"/>
        <v>0</v>
      </c>
      <c r="BP107" s="37">
        <f t="shared" si="176"/>
        <v>0</v>
      </c>
      <c r="BQ107" s="37">
        <f t="shared" si="176"/>
        <v>0</v>
      </c>
      <c r="BR107" s="37">
        <f t="shared" si="176"/>
        <v>0</v>
      </c>
      <c r="BS107" s="37">
        <f t="shared" si="176"/>
        <v>0</v>
      </c>
      <c r="BT107" s="37">
        <f t="shared" si="176"/>
        <v>0</v>
      </c>
      <c r="BU107" s="37">
        <f t="shared" si="176"/>
        <v>0</v>
      </c>
      <c r="BV107" s="37">
        <f t="shared" ref="BV107:DA107" si="177">BV102+BV93+BV86+BV78</f>
        <v>0</v>
      </c>
      <c r="BW107" s="37">
        <f t="shared" si="177"/>
        <v>0</v>
      </c>
      <c r="BX107" s="37">
        <f t="shared" si="177"/>
        <v>0</v>
      </c>
      <c r="BY107" s="37">
        <f t="shared" si="177"/>
        <v>0</v>
      </c>
      <c r="BZ107" s="37">
        <f t="shared" si="177"/>
        <v>0</v>
      </c>
      <c r="CA107" s="37">
        <f t="shared" si="177"/>
        <v>0</v>
      </c>
      <c r="CB107" s="37">
        <f t="shared" si="177"/>
        <v>0</v>
      </c>
      <c r="CC107" s="37">
        <f t="shared" si="177"/>
        <v>0</v>
      </c>
      <c r="CD107" s="37">
        <f t="shared" si="177"/>
        <v>0</v>
      </c>
      <c r="CE107" s="37">
        <f t="shared" si="177"/>
        <v>0</v>
      </c>
      <c r="CF107" s="37">
        <f t="shared" si="177"/>
        <v>0</v>
      </c>
      <c r="CG107" s="37">
        <f t="shared" si="177"/>
        <v>0</v>
      </c>
      <c r="CH107" s="37">
        <f t="shared" si="177"/>
        <v>0</v>
      </c>
      <c r="CI107" s="37">
        <f t="shared" si="177"/>
        <v>0</v>
      </c>
      <c r="CJ107" s="37">
        <f t="shared" si="177"/>
        <v>0</v>
      </c>
      <c r="CK107" s="37">
        <f t="shared" si="177"/>
        <v>0</v>
      </c>
      <c r="CL107" s="37">
        <f t="shared" si="177"/>
        <v>0</v>
      </c>
      <c r="CM107" s="37">
        <f t="shared" si="177"/>
        <v>0</v>
      </c>
      <c r="CN107" s="37">
        <f t="shared" si="177"/>
        <v>0</v>
      </c>
      <c r="CO107" s="37">
        <f t="shared" si="177"/>
        <v>0</v>
      </c>
      <c r="CP107" s="37">
        <f t="shared" si="177"/>
        <v>0</v>
      </c>
      <c r="CQ107" s="37">
        <f t="shared" si="177"/>
        <v>0</v>
      </c>
      <c r="CR107" s="37">
        <f t="shared" si="177"/>
        <v>0</v>
      </c>
      <c r="CS107" s="37">
        <f t="shared" si="177"/>
        <v>0</v>
      </c>
      <c r="CT107" s="37">
        <f t="shared" si="177"/>
        <v>0</v>
      </c>
      <c r="CU107" s="37">
        <f t="shared" si="177"/>
        <v>0</v>
      </c>
      <c r="CV107" s="37">
        <f t="shared" si="177"/>
        <v>0</v>
      </c>
      <c r="CW107" s="37">
        <f t="shared" si="177"/>
        <v>0</v>
      </c>
      <c r="CX107" s="37">
        <f t="shared" si="177"/>
        <v>0</v>
      </c>
      <c r="CY107" s="37">
        <f t="shared" si="177"/>
        <v>0</v>
      </c>
      <c r="CZ107" s="37">
        <f t="shared" si="177"/>
        <v>0</v>
      </c>
      <c r="DA107" s="37">
        <f t="shared" si="177"/>
        <v>0</v>
      </c>
      <c r="DB107" s="37">
        <f t="shared" ref="DB107:DM107" si="178">DB102+DB93+DB86+DB78</f>
        <v>0</v>
      </c>
      <c r="DC107" s="37">
        <f t="shared" si="178"/>
        <v>0</v>
      </c>
      <c r="DD107" s="37">
        <f t="shared" si="178"/>
        <v>0</v>
      </c>
      <c r="DE107" s="37">
        <f t="shared" si="178"/>
        <v>0</v>
      </c>
      <c r="DF107" s="37">
        <f t="shared" si="178"/>
        <v>0</v>
      </c>
      <c r="DG107" s="37">
        <f t="shared" si="178"/>
        <v>0</v>
      </c>
      <c r="DH107" s="37">
        <f t="shared" si="178"/>
        <v>0</v>
      </c>
      <c r="DI107" s="37">
        <f t="shared" si="178"/>
        <v>0</v>
      </c>
      <c r="DJ107" s="37">
        <f t="shared" si="178"/>
        <v>0</v>
      </c>
      <c r="DK107" s="37">
        <f t="shared" si="178"/>
        <v>0</v>
      </c>
      <c r="DL107" s="37">
        <f t="shared" si="178"/>
        <v>0</v>
      </c>
      <c r="DM107" s="37">
        <f t="shared" si="178"/>
        <v>0</v>
      </c>
    </row>
    <row r="108" spans="3:117" outlineLevel="1" x14ac:dyDescent="0.15">
      <c r="C108" t="s">
        <v>97</v>
      </c>
      <c r="D108" s="5" t="s">
        <v>167</v>
      </c>
      <c r="I108" s="35">
        <f t="shared" si="174"/>
        <v>742762250.00000012</v>
      </c>
      <c r="J108" s="150">
        <f>J89+J82+J96</f>
        <v>0</v>
      </c>
      <c r="K108" s="37">
        <f t="shared" ref="K108:BV108" si="179">K89+K82+K96</f>
        <v>0</v>
      </c>
      <c r="L108" s="37">
        <f t="shared" si="179"/>
        <v>0</v>
      </c>
      <c r="M108" s="37">
        <f t="shared" si="179"/>
        <v>0</v>
      </c>
      <c r="N108" s="37">
        <f t="shared" si="179"/>
        <v>55152416.432227761</v>
      </c>
      <c r="O108" s="37">
        <f t="shared" si="179"/>
        <v>78612374.907790482</v>
      </c>
      <c r="P108" s="37">
        <f t="shared" si="179"/>
        <v>75558251.710959956</v>
      </c>
      <c r="Q108" s="37">
        <f t="shared" si="179"/>
        <v>72970046.115279436</v>
      </c>
      <c r="R108" s="37">
        <f t="shared" si="179"/>
        <v>76300457.727368355</v>
      </c>
      <c r="S108" s="37">
        <f t="shared" si="179"/>
        <v>72665551.339317024</v>
      </c>
      <c r="T108" s="37">
        <f t="shared" si="179"/>
        <v>69925098.355655283</v>
      </c>
      <c r="U108" s="37">
        <f t="shared" si="179"/>
        <v>69639634.503190517</v>
      </c>
      <c r="V108" s="37">
        <f t="shared" si="179"/>
        <v>66708872.284552276</v>
      </c>
      <c r="W108" s="37">
        <f t="shared" si="179"/>
        <v>63669154.765444219</v>
      </c>
      <c r="X108" s="37">
        <f t="shared" si="179"/>
        <v>41560391.858214714</v>
      </c>
      <c r="Y108" s="37">
        <f t="shared" si="179"/>
        <v>0</v>
      </c>
      <c r="Z108" s="37">
        <f t="shared" si="179"/>
        <v>0</v>
      </c>
      <c r="AA108" s="37">
        <f t="shared" si="179"/>
        <v>0</v>
      </c>
      <c r="AB108" s="37">
        <f t="shared" si="179"/>
        <v>0</v>
      </c>
      <c r="AC108" s="37">
        <f t="shared" si="179"/>
        <v>0</v>
      </c>
      <c r="AD108" s="37">
        <f t="shared" si="179"/>
        <v>0</v>
      </c>
      <c r="AE108" s="37">
        <f t="shared" si="179"/>
        <v>0</v>
      </c>
      <c r="AF108" s="37">
        <f t="shared" si="179"/>
        <v>0</v>
      </c>
      <c r="AG108" s="37">
        <f t="shared" si="179"/>
        <v>0</v>
      </c>
      <c r="AH108" s="37">
        <f t="shared" si="179"/>
        <v>0</v>
      </c>
      <c r="AI108" s="37">
        <f t="shared" si="179"/>
        <v>0</v>
      </c>
      <c r="AJ108" s="37">
        <f t="shared" si="179"/>
        <v>0</v>
      </c>
      <c r="AK108" s="37">
        <f t="shared" si="179"/>
        <v>0</v>
      </c>
      <c r="AL108" s="37">
        <f t="shared" si="179"/>
        <v>0</v>
      </c>
      <c r="AM108" s="37">
        <f t="shared" si="179"/>
        <v>0</v>
      </c>
      <c r="AN108" s="37">
        <f t="shared" si="179"/>
        <v>0</v>
      </c>
      <c r="AO108" s="37">
        <f t="shared" si="179"/>
        <v>0</v>
      </c>
      <c r="AP108" s="37">
        <f t="shared" si="179"/>
        <v>0</v>
      </c>
      <c r="AQ108" s="37">
        <f t="shared" si="179"/>
        <v>0</v>
      </c>
      <c r="AR108" s="37">
        <f t="shared" si="179"/>
        <v>0</v>
      </c>
      <c r="AS108" s="37">
        <f t="shared" si="179"/>
        <v>0</v>
      </c>
      <c r="AT108" s="37">
        <f t="shared" si="179"/>
        <v>0</v>
      </c>
      <c r="AU108" s="37">
        <f t="shared" si="179"/>
        <v>0</v>
      </c>
      <c r="AV108" s="37">
        <f t="shared" si="179"/>
        <v>0</v>
      </c>
      <c r="AW108" s="37">
        <f t="shared" si="179"/>
        <v>0</v>
      </c>
      <c r="AX108" s="37">
        <f t="shared" si="179"/>
        <v>0</v>
      </c>
      <c r="AY108" s="37">
        <f t="shared" si="179"/>
        <v>0</v>
      </c>
      <c r="AZ108" s="37">
        <f t="shared" si="179"/>
        <v>0</v>
      </c>
      <c r="BA108" s="37">
        <f t="shared" si="179"/>
        <v>0</v>
      </c>
      <c r="BB108" s="37">
        <f t="shared" si="179"/>
        <v>0</v>
      </c>
      <c r="BC108" s="37">
        <f t="shared" si="179"/>
        <v>0</v>
      </c>
      <c r="BD108" s="37">
        <f t="shared" si="179"/>
        <v>0</v>
      </c>
      <c r="BE108" s="37">
        <f t="shared" si="179"/>
        <v>0</v>
      </c>
      <c r="BF108" s="37">
        <f t="shared" si="179"/>
        <v>0</v>
      </c>
      <c r="BG108" s="37">
        <f t="shared" si="179"/>
        <v>0</v>
      </c>
      <c r="BH108" s="37">
        <f t="shared" si="179"/>
        <v>0</v>
      </c>
      <c r="BI108" s="37">
        <f t="shared" si="179"/>
        <v>0</v>
      </c>
      <c r="BJ108" s="37">
        <f t="shared" si="179"/>
        <v>0</v>
      </c>
      <c r="BK108" s="37">
        <f t="shared" si="179"/>
        <v>0</v>
      </c>
      <c r="BL108" s="37">
        <f t="shared" si="179"/>
        <v>0</v>
      </c>
      <c r="BM108" s="37">
        <f t="shared" si="179"/>
        <v>0</v>
      </c>
      <c r="BN108" s="37">
        <f t="shared" si="179"/>
        <v>0</v>
      </c>
      <c r="BO108" s="37">
        <f t="shared" si="179"/>
        <v>0</v>
      </c>
      <c r="BP108" s="37">
        <f t="shared" si="179"/>
        <v>0</v>
      </c>
      <c r="BQ108" s="37">
        <f t="shared" si="179"/>
        <v>0</v>
      </c>
      <c r="BR108" s="37">
        <f t="shared" si="179"/>
        <v>0</v>
      </c>
      <c r="BS108" s="37">
        <f t="shared" si="179"/>
        <v>0</v>
      </c>
      <c r="BT108" s="37">
        <f t="shared" si="179"/>
        <v>0</v>
      </c>
      <c r="BU108" s="37">
        <f t="shared" si="179"/>
        <v>0</v>
      </c>
      <c r="BV108" s="37">
        <f t="shared" si="179"/>
        <v>0</v>
      </c>
      <c r="BW108" s="37">
        <f t="shared" ref="BW108:DM108" si="180">BW89+BW82+BW96</f>
        <v>0</v>
      </c>
      <c r="BX108" s="37">
        <f t="shared" si="180"/>
        <v>0</v>
      </c>
      <c r="BY108" s="37">
        <f t="shared" si="180"/>
        <v>0</v>
      </c>
      <c r="BZ108" s="37">
        <f t="shared" si="180"/>
        <v>0</v>
      </c>
      <c r="CA108" s="37">
        <f t="shared" si="180"/>
        <v>0</v>
      </c>
      <c r="CB108" s="37">
        <f t="shared" si="180"/>
        <v>0</v>
      </c>
      <c r="CC108" s="37">
        <f t="shared" si="180"/>
        <v>0</v>
      </c>
      <c r="CD108" s="37">
        <f t="shared" si="180"/>
        <v>0</v>
      </c>
      <c r="CE108" s="37">
        <f t="shared" si="180"/>
        <v>0</v>
      </c>
      <c r="CF108" s="37">
        <f t="shared" si="180"/>
        <v>0</v>
      </c>
      <c r="CG108" s="37">
        <f t="shared" si="180"/>
        <v>0</v>
      </c>
      <c r="CH108" s="37">
        <f t="shared" si="180"/>
        <v>0</v>
      </c>
      <c r="CI108" s="37">
        <f t="shared" si="180"/>
        <v>0</v>
      </c>
      <c r="CJ108" s="37">
        <f t="shared" si="180"/>
        <v>0</v>
      </c>
      <c r="CK108" s="37">
        <f t="shared" si="180"/>
        <v>0</v>
      </c>
      <c r="CL108" s="37">
        <f t="shared" si="180"/>
        <v>0</v>
      </c>
      <c r="CM108" s="37">
        <f t="shared" si="180"/>
        <v>0</v>
      </c>
      <c r="CN108" s="37">
        <f t="shared" si="180"/>
        <v>0</v>
      </c>
      <c r="CO108" s="37">
        <f t="shared" si="180"/>
        <v>0</v>
      </c>
      <c r="CP108" s="37">
        <f t="shared" si="180"/>
        <v>0</v>
      </c>
      <c r="CQ108" s="37">
        <f t="shared" si="180"/>
        <v>0</v>
      </c>
      <c r="CR108" s="37">
        <f t="shared" si="180"/>
        <v>0</v>
      </c>
      <c r="CS108" s="37">
        <f t="shared" si="180"/>
        <v>0</v>
      </c>
      <c r="CT108" s="37">
        <f t="shared" si="180"/>
        <v>0</v>
      </c>
      <c r="CU108" s="37">
        <f t="shared" si="180"/>
        <v>0</v>
      </c>
      <c r="CV108" s="37">
        <f t="shared" si="180"/>
        <v>0</v>
      </c>
      <c r="CW108" s="37">
        <f t="shared" si="180"/>
        <v>0</v>
      </c>
      <c r="CX108" s="37">
        <f t="shared" si="180"/>
        <v>0</v>
      </c>
      <c r="CY108" s="37">
        <f t="shared" si="180"/>
        <v>0</v>
      </c>
      <c r="CZ108" s="37">
        <f t="shared" si="180"/>
        <v>0</v>
      </c>
      <c r="DA108" s="37">
        <f t="shared" si="180"/>
        <v>0</v>
      </c>
      <c r="DB108" s="37">
        <f t="shared" si="180"/>
        <v>0</v>
      </c>
      <c r="DC108" s="37">
        <f t="shared" si="180"/>
        <v>0</v>
      </c>
      <c r="DD108" s="37">
        <f t="shared" si="180"/>
        <v>0</v>
      </c>
      <c r="DE108" s="37">
        <f t="shared" si="180"/>
        <v>0</v>
      </c>
      <c r="DF108" s="37">
        <f t="shared" si="180"/>
        <v>0</v>
      </c>
      <c r="DG108" s="37">
        <f t="shared" si="180"/>
        <v>0</v>
      </c>
      <c r="DH108" s="37">
        <f t="shared" si="180"/>
        <v>0</v>
      </c>
      <c r="DI108" s="37">
        <f t="shared" si="180"/>
        <v>0</v>
      </c>
      <c r="DJ108" s="37">
        <f t="shared" si="180"/>
        <v>0</v>
      </c>
      <c r="DK108" s="37">
        <f t="shared" si="180"/>
        <v>0</v>
      </c>
      <c r="DL108" s="37">
        <f t="shared" si="180"/>
        <v>0</v>
      </c>
      <c r="DM108" s="37">
        <f t="shared" si="180"/>
        <v>0</v>
      </c>
    </row>
    <row r="109" spans="3:117" outlineLevel="1" x14ac:dyDescent="0.15">
      <c r="C109" t="s">
        <v>307</v>
      </c>
      <c r="D109" s="5" t="s">
        <v>167</v>
      </c>
      <c r="I109" s="35">
        <f t="shared" si="174"/>
        <v>1769162250</v>
      </c>
      <c r="J109" s="150">
        <f>SUM(J107:J108)</f>
        <v>0</v>
      </c>
      <c r="K109" s="37">
        <f t="shared" ref="K109:BV109" si="181">SUM(K107:K108)</f>
        <v>0</v>
      </c>
      <c r="L109" s="37">
        <f t="shared" si="181"/>
        <v>0</v>
      </c>
      <c r="M109" s="37">
        <f t="shared" si="181"/>
        <v>0</v>
      </c>
      <c r="N109" s="37">
        <f t="shared" si="181"/>
        <v>150370598.2504096</v>
      </c>
      <c r="O109" s="37">
        <f t="shared" si="181"/>
        <v>173830556.72597229</v>
      </c>
      <c r="P109" s="37">
        <f t="shared" si="181"/>
        <v>170776433.52914178</v>
      </c>
      <c r="Q109" s="37">
        <f t="shared" si="181"/>
        <v>165188227.93346125</v>
      </c>
      <c r="R109" s="37">
        <f t="shared" si="181"/>
        <v>170518639.54555017</v>
      </c>
      <c r="S109" s="37">
        <f t="shared" si="181"/>
        <v>166883733.15749884</v>
      </c>
      <c r="T109" s="37">
        <f t="shared" si="181"/>
        <v>164143280.17383713</v>
      </c>
      <c r="U109" s="37">
        <f t="shared" si="181"/>
        <v>162857816.32137233</v>
      </c>
      <c r="V109" s="37">
        <f t="shared" si="181"/>
        <v>159927054.10273409</v>
      </c>
      <c r="W109" s="37">
        <f t="shared" si="181"/>
        <v>156887336.58362603</v>
      </c>
      <c r="X109" s="37">
        <f t="shared" si="181"/>
        <v>127778573.67639655</v>
      </c>
      <c r="Y109" s="37">
        <f t="shared" si="181"/>
        <v>0</v>
      </c>
      <c r="Z109" s="37">
        <f t="shared" si="181"/>
        <v>0</v>
      </c>
      <c r="AA109" s="37">
        <f t="shared" si="181"/>
        <v>0</v>
      </c>
      <c r="AB109" s="37">
        <f t="shared" si="181"/>
        <v>0</v>
      </c>
      <c r="AC109" s="37">
        <f t="shared" si="181"/>
        <v>0</v>
      </c>
      <c r="AD109" s="37">
        <f t="shared" si="181"/>
        <v>0</v>
      </c>
      <c r="AE109" s="37">
        <f t="shared" si="181"/>
        <v>0</v>
      </c>
      <c r="AF109" s="37">
        <f t="shared" si="181"/>
        <v>0</v>
      </c>
      <c r="AG109" s="37">
        <f t="shared" si="181"/>
        <v>0</v>
      </c>
      <c r="AH109" s="37">
        <f t="shared" si="181"/>
        <v>0</v>
      </c>
      <c r="AI109" s="37">
        <f t="shared" si="181"/>
        <v>0</v>
      </c>
      <c r="AJ109" s="37">
        <f t="shared" si="181"/>
        <v>0</v>
      </c>
      <c r="AK109" s="37">
        <f t="shared" si="181"/>
        <v>0</v>
      </c>
      <c r="AL109" s="37">
        <f t="shared" si="181"/>
        <v>0</v>
      </c>
      <c r="AM109" s="37">
        <f t="shared" si="181"/>
        <v>0</v>
      </c>
      <c r="AN109" s="37">
        <f t="shared" si="181"/>
        <v>0</v>
      </c>
      <c r="AO109" s="37">
        <f t="shared" si="181"/>
        <v>0</v>
      </c>
      <c r="AP109" s="37">
        <f t="shared" si="181"/>
        <v>0</v>
      </c>
      <c r="AQ109" s="37">
        <f t="shared" si="181"/>
        <v>0</v>
      </c>
      <c r="AR109" s="37">
        <f t="shared" si="181"/>
        <v>0</v>
      </c>
      <c r="AS109" s="37">
        <f t="shared" si="181"/>
        <v>0</v>
      </c>
      <c r="AT109" s="37">
        <f t="shared" si="181"/>
        <v>0</v>
      </c>
      <c r="AU109" s="37">
        <f t="shared" si="181"/>
        <v>0</v>
      </c>
      <c r="AV109" s="37">
        <f t="shared" si="181"/>
        <v>0</v>
      </c>
      <c r="AW109" s="37">
        <f t="shared" si="181"/>
        <v>0</v>
      </c>
      <c r="AX109" s="37">
        <f t="shared" si="181"/>
        <v>0</v>
      </c>
      <c r="AY109" s="37">
        <f t="shared" si="181"/>
        <v>0</v>
      </c>
      <c r="AZ109" s="37">
        <f t="shared" si="181"/>
        <v>0</v>
      </c>
      <c r="BA109" s="37">
        <f t="shared" si="181"/>
        <v>0</v>
      </c>
      <c r="BB109" s="37">
        <f t="shared" si="181"/>
        <v>0</v>
      </c>
      <c r="BC109" s="37">
        <f t="shared" si="181"/>
        <v>0</v>
      </c>
      <c r="BD109" s="37">
        <f t="shared" si="181"/>
        <v>0</v>
      </c>
      <c r="BE109" s="37">
        <f t="shared" si="181"/>
        <v>0</v>
      </c>
      <c r="BF109" s="37">
        <f t="shared" si="181"/>
        <v>0</v>
      </c>
      <c r="BG109" s="37">
        <f t="shared" si="181"/>
        <v>0</v>
      </c>
      <c r="BH109" s="37">
        <f t="shared" si="181"/>
        <v>0</v>
      </c>
      <c r="BI109" s="37">
        <f t="shared" si="181"/>
        <v>0</v>
      </c>
      <c r="BJ109" s="37">
        <f t="shared" si="181"/>
        <v>0</v>
      </c>
      <c r="BK109" s="37">
        <f t="shared" si="181"/>
        <v>0</v>
      </c>
      <c r="BL109" s="37">
        <f t="shared" si="181"/>
        <v>0</v>
      </c>
      <c r="BM109" s="37">
        <f t="shared" si="181"/>
        <v>0</v>
      </c>
      <c r="BN109" s="37">
        <f t="shared" si="181"/>
        <v>0</v>
      </c>
      <c r="BO109" s="37">
        <f t="shared" si="181"/>
        <v>0</v>
      </c>
      <c r="BP109" s="37">
        <f t="shared" si="181"/>
        <v>0</v>
      </c>
      <c r="BQ109" s="37">
        <f t="shared" si="181"/>
        <v>0</v>
      </c>
      <c r="BR109" s="37">
        <f t="shared" si="181"/>
        <v>0</v>
      </c>
      <c r="BS109" s="37">
        <f t="shared" si="181"/>
        <v>0</v>
      </c>
      <c r="BT109" s="37">
        <f t="shared" si="181"/>
        <v>0</v>
      </c>
      <c r="BU109" s="37">
        <f t="shared" si="181"/>
        <v>0</v>
      </c>
      <c r="BV109" s="37">
        <f t="shared" si="181"/>
        <v>0</v>
      </c>
      <c r="BW109" s="37">
        <f t="shared" ref="BW109:DM109" si="182">SUM(BW107:BW108)</f>
        <v>0</v>
      </c>
      <c r="BX109" s="37">
        <f t="shared" si="182"/>
        <v>0</v>
      </c>
      <c r="BY109" s="37">
        <f t="shared" si="182"/>
        <v>0</v>
      </c>
      <c r="BZ109" s="37">
        <f t="shared" si="182"/>
        <v>0</v>
      </c>
      <c r="CA109" s="37">
        <f t="shared" si="182"/>
        <v>0</v>
      </c>
      <c r="CB109" s="37">
        <f t="shared" si="182"/>
        <v>0</v>
      </c>
      <c r="CC109" s="37">
        <f t="shared" si="182"/>
        <v>0</v>
      </c>
      <c r="CD109" s="37">
        <f t="shared" si="182"/>
        <v>0</v>
      </c>
      <c r="CE109" s="37">
        <f t="shared" si="182"/>
        <v>0</v>
      </c>
      <c r="CF109" s="37">
        <f t="shared" si="182"/>
        <v>0</v>
      </c>
      <c r="CG109" s="37">
        <f t="shared" si="182"/>
        <v>0</v>
      </c>
      <c r="CH109" s="37">
        <f t="shared" si="182"/>
        <v>0</v>
      </c>
      <c r="CI109" s="37">
        <f t="shared" si="182"/>
        <v>0</v>
      </c>
      <c r="CJ109" s="37">
        <f t="shared" si="182"/>
        <v>0</v>
      </c>
      <c r="CK109" s="37">
        <f t="shared" si="182"/>
        <v>0</v>
      </c>
      <c r="CL109" s="37">
        <f t="shared" si="182"/>
        <v>0</v>
      </c>
      <c r="CM109" s="37">
        <f t="shared" si="182"/>
        <v>0</v>
      </c>
      <c r="CN109" s="37">
        <f t="shared" si="182"/>
        <v>0</v>
      </c>
      <c r="CO109" s="37">
        <f t="shared" si="182"/>
        <v>0</v>
      </c>
      <c r="CP109" s="37">
        <f t="shared" si="182"/>
        <v>0</v>
      </c>
      <c r="CQ109" s="37">
        <f t="shared" si="182"/>
        <v>0</v>
      </c>
      <c r="CR109" s="37">
        <f t="shared" si="182"/>
        <v>0</v>
      </c>
      <c r="CS109" s="37">
        <f t="shared" si="182"/>
        <v>0</v>
      </c>
      <c r="CT109" s="37">
        <f t="shared" si="182"/>
        <v>0</v>
      </c>
      <c r="CU109" s="37">
        <f t="shared" si="182"/>
        <v>0</v>
      </c>
      <c r="CV109" s="37">
        <f t="shared" si="182"/>
        <v>0</v>
      </c>
      <c r="CW109" s="37">
        <f t="shared" si="182"/>
        <v>0</v>
      </c>
      <c r="CX109" s="37">
        <f t="shared" si="182"/>
        <v>0</v>
      </c>
      <c r="CY109" s="37">
        <f t="shared" si="182"/>
        <v>0</v>
      </c>
      <c r="CZ109" s="37">
        <f t="shared" si="182"/>
        <v>0</v>
      </c>
      <c r="DA109" s="37">
        <f t="shared" si="182"/>
        <v>0</v>
      </c>
      <c r="DB109" s="37">
        <f t="shared" si="182"/>
        <v>0</v>
      </c>
      <c r="DC109" s="37">
        <f t="shared" si="182"/>
        <v>0</v>
      </c>
      <c r="DD109" s="37">
        <f t="shared" si="182"/>
        <v>0</v>
      </c>
      <c r="DE109" s="37">
        <f t="shared" si="182"/>
        <v>0</v>
      </c>
      <c r="DF109" s="37">
        <f t="shared" si="182"/>
        <v>0</v>
      </c>
      <c r="DG109" s="37">
        <f t="shared" si="182"/>
        <v>0</v>
      </c>
      <c r="DH109" s="37">
        <f t="shared" si="182"/>
        <v>0</v>
      </c>
      <c r="DI109" s="37">
        <f t="shared" si="182"/>
        <v>0</v>
      </c>
      <c r="DJ109" s="37">
        <f t="shared" si="182"/>
        <v>0</v>
      </c>
      <c r="DK109" s="37">
        <f t="shared" si="182"/>
        <v>0</v>
      </c>
      <c r="DL109" s="37">
        <f t="shared" si="182"/>
        <v>0</v>
      </c>
      <c r="DM109" s="37">
        <f t="shared" si="182"/>
        <v>0</v>
      </c>
    </row>
    <row r="110" spans="3:117" outlineLevel="1" x14ac:dyDescent="0.15">
      <c r="C110" s="108" t="s">
        <v>308</v>
      </c>
      <c r="D110" s="5" t="s">
        <v>167</v>
      </c>
      <c r="F110" s="85">
        <v>0.83</v>
      </c>
      <c r="I110" s="35">
        <f t="shared" si="174"/>
        <v>3237566917.5</v>
      </c>
      <c r="J110" s="159">
        <f>J109*(1+$F$110)</f>
        <v>0</v>
      </c>
      <c r="K110" s="38">
        <f t="shared" ref="K110:BV110" si="183">K109*(1+$F$110)</f>
        <v>0</v>
      </c>
      <c r="L110" s="38">
        <f t="shared" si="183"/>
        <v>0</v>
      </c>
      <c r="M110" s="38">
        <f t="shared" si="183"/>
        <v>0</v>
      </c>
      <c r="N110" s="38">
        <f t="shared" si="183"/>
        <v>275178194.7982496</v>
      </c>
      <c r="O110" s="38">
        <f t="shared" si="183"/>
        <v>318109918.80852932</v>
      </c>
      <c r="P110" s="38">
        <f t="shared" si="183"/>
        <v>312520873.35832947</v>
      </c>
      <c r="Q110" s="38">
        <f t="shared" si="183"/>
        <v>302294457.1182341</v>
      </c>
      <c r="R110" s="38">
        <f t="shared" si="183"/>
        <v>312049110.36835682</v>
      </c>
      <c r="S110" s="38">
        <f t="shared" si="183"/>
        <v>305397231.67822289</v>
      </c>
      <c r="T110" s="38">
        <f t="shared" si="183"/>
        <v>300382202.71812195</v>
      </c>
      <c r="U110" s="38">
        <f t="shared" si="183"/>
        <v>298029803.86811137</v>
      </c>
      <c r="V110" s="38">
        <f t="shared" si="183"/>
        <v>292666509.00800341</v>
      </c>
      <c r="W110" s="38">
        <f t="shared" si="183"/>
        <v>287103825.94803566</v>
      </c>
      <c r="X110" s="38">
        <f t="shared" si="183"/>
        <v>233834789.8278057</v>
      </c>
      <c r="Y110" s="38">
        <f t="shared" si="183"/>
        <v>0</v>
      </c>
      <c r="Z110" s="38">
        <f t="shared" si="183"/>
        <v>0</v>
      </c>
      <c r="AA110" s="38">
        <f t="shared" si="183"/>
        <v>0</v>
      </c>
      <c r="AB110" s="38">
        <f t="shared" si="183"/>
        <v>0</v>
      </c>
      <c r="AC110" s="38">
        <f t="shared" si="183"/>
        <v>0</v>
      </c>
      <c r="AD110" s="38">
        <f t="shared" si="183"/>
        <v>0</v>
      </c>
      <c r="AE110" s="38">
        <f t="shared" si="183"/>
        <v>0</v>
      </c>
      <c r="AF110" s="38">
        <f t="shared" si="183"/>
        <v>0</v>
      </c>
      <c r="AG110" s="38">
        <f t="shared" si="183"/>
        <v>0</v>
      </c>
      <c r="AH110" s="38">
        <f t="shared" si="183"/>
        <v>0</v>
      </c>
      <c r="AI110" s="38">
        <f t="shared" si="183"/>
        <v>0</v>
      </c>
      <c r="AJ110" s="38">
        <f t="shared" si="183"/>
        <v>0</v>
      </c>
      <c r="AK110" s="38">
        <f t="shared" si="183"/>
        <v>0</v>
      </c>
      <c r="AL110" s="38">
        <f t="shared" si="183"/>
        <v>0</v>
      </c>
      <c r="AM110" s="38">
        <f t="shared" si="183"/>
        <v>0</v>
      </c>
      <c r="AN110" s="38">
        <f t="shared" si="183"/>
        <v>0</v>
      </c>
      <c r="AO110" s="38">
        <f t="shared" si="183"/>
        <v>0</v>
      </c>
      <c r="AP110" s="38">
        <f t="shared" si="183"/>
        <v>0</v>
      </c>
      <c r="AQ110" s="38">
        <f t="shared" si="183"/>
        <v>0</v>
      </c>
      <c r="AR110" s="38">
        <f t="shared" si="183"/>
        <v>0</v>
      </c>
      <c r="AS110" s="38">
        <f t="shared" si="183"/>
        <v>0</v>
      </c>
      <c r="AT110" s="38">
        <f t="shared" si="183"/>
        <v>0</v>
      </c>
      <c r="AU110" s="38">
        <f t="shared" si="183"/>
        <v>0</v>
      </c>
      <c r="AV110" s="38">
        <f t="shared" si="183"/>
        <v>0</v>
      </c>
      <c r="AW110" s="38">
        <f t="shared" si="183"/>
        <v>0</v>
      </c>
      <c r="AX110" s="38">
        <f t="shared" si="183"/>
        <v>0</v>
      </c>
      <c r="AY110" s="38">
        <f t="shared" si="183"/>
        <v>0</v>
      </c>
      <c r="AZ110" s="38">
        <f t="shared" si="183"/>
        <v>0</v>
      </c>
      <c r="BA110" s="38">
        <f t="shared" si="183"/>
        <v>0</v>
      </c>
      <c r="BB110" s="38">
        <f t="shared" si="183"/>
        <v>0</v>
      </c>
      <c r="BC110" s="38">
        <f t="shared" si="183"/>
        <v>0</v>
      </c>
      <c r="BD110" s="38">
        <f t="shared" si="183"/>
        <v>0</v>
      </c>
      <c r="BE110" s="38">
        <f t="shared" si="183"/>
        <v>0</v>
      </c>
      <c r="BF110" s="38">
        <f t="shared" si="183"/>
        <v>0</v>
      </c>
      <c r="BG110" s="38">
        <f t="shared" si="183"/>
        <v>0</v>
      </c>
      <c r="BH110" s="38">
        <f t="shared" si="183"/>
        <v>0</v>
      </c>
      <c r="BI110" s="38">
        <f t="shared" si="183"/>
        <v>0</v>
      </c>
      <c r="BJ110" s="38">
        <f t="shared" si="183"/>
        <v>0</v>
      </c>
      <c r="BK110" s="38">
        <f t="shared" si="183"/>
        <v>0</v>
      </c>
      <c r="BL110" s="38">
        <f t="shared" si="183"/>
        <v>0</v>
      </c>
      <c r="BM110" s="38">
        <f t="shared" si="183"/>
        <v>0</v>
      </c>
      <c r="BN110" s="38">
        <f t="shared" si="183"/>
        <v>0</v>
      </c>
      <c r="BO110" s="38">
        <f t="shared" si="183"/>
        <v>0</v>
      </c>
      <c r="BP110" s="38">
        <f t="shared" si="183"/>
        <v>0</v>
      </c>
      <c r="BQ110" s="38">
        <f t="shared" si="183"/>
        <v>0</v>
      </c>
      <c r="BR110" s="38">
        <f t="shared" si="183"/>
        <v>0</v>
      </c>
      <c r="BS110" s="38">
        <f t="shared" si="183"/>
        <v>0</v>
      </c>
      <c r="BT110" s="38">
        <f t="shared" si="183"/>
        <v>0</v>
      </c>
      <c r="BU110" s="38">
        <f t="shared" si="183"/>
        <v>0</v>
      </c>
      <c r="BV110" s="38">
        <f t="shared" si="183"/>
        <v>0</v>
      </c>
      <c r="BW110" s="38">
        <f t="shared" ref="BW110:DM110" si="184">BW109*(1+$F$110)</f>
        <v>0</v>
      </c>
      <c r="BX110" s="38">
        <f t="shared" si="184"/>
        <v>0</v>
      </c>
      <c r="BY110" s="38">
        <f t="shared" si="184"/>
        <v>0</v>
      </c>
      <c r="BZ110" s="38">
        <f t="shared" si="184"/>
        <v>0</v>
      </c>
      <c r="CA110" s="38">
        <f t="shared" si="184"/>
        <v>0</v>
      </c>
      <c r="CB110" s="38">
        <f t="shared" si="184"/>
        <v>0</v>
      </c>
      <c r="CC110" s="38">
        <f t="shared" si="184"/>
        <v>0</v>
      </c>
      <c r="CD110" s="38">
        <f t="shared" si="184"/>
        <v>0</v>
      </c>
      <c r="CE110" s="38">
        <f t="shared" si="184"/>
        <v>0</v>
      </c>
      <c r="CF110" s="38">
        <f t="shared" si="184"/>
        <v>0</v>
      </c>
      <c r="CG110" s="38">
        <f t="shared" si="184"/>
        <v>0</v>
      </c>
      <c r="CH110" s="38">
        <f t="shared" si="184"/>
        <v>0</v>
      </c>
      <c r="CI110" s="38">
        <f t="shared" si="184"/>
        <v>0</v>
      </c>
      <c r="CJ110" s="38">
        <f t="shared" si="184"/>
        <v>0</v>
      </c>
      <c r="CK110" s="38">
        <f t="shared" si="184"/>
        <v>0</v>
      </c>
      <c r="CL110" s="38">
        <f t="shared" si="184"/>
        <v>0</v>
      </c>
      <c r="CM110" s="38">
        <f t="shared" si="184"/>
        <v>0</v>
      </c>
      <c r="CN110" s="38">
        <f t="shared" si="184"/>
        <v>0</v>
      </c>
      <c r="CO110" s="38">
        <f t="shared" si="184"/>
        <v>0</v>
      </c>
      <c r="CP110" s="38">
        <f t="shared" si="184"/>
        <v>0</v>
      </c>
      <c r="CQ110" s="38">
        <f t="shared" si="184"/>
        <v>0</v>
      </c>
      <c r="CR110" s="38">
        <f t="shared" si="184"/>
        <v>0</v>
      </c>
      <c r="CS110" s="38">
        <f t="shared" si="184"/>
        <v>0</v>
      </c>
      <c r="CT110" s="38">
        <f t="shared" si="184"/>
        <v>0</v>
      </c>
      <c r="CU110" s="38">
        <f t="shared" si="184"/>
        <v>0</v>
      </c>
      <c r="CV110" s="38">
        <f t="shared" si="184"/>
        <v>0</v>
      </c>
      <c r="CW110" s="38">
        <f t="shared" si="184"/>
        <v>0</v>
      </c>
      <c r="CX110" s="38">
        <f t="shared" si="184"/>
        <v>0</v>
      </c>
      <c r="CY110" s="38">
        <f t="shared" si="184"/>
        <v>0</v>
      </c>
      <c r="CZ110" s="38">
        <f t="shared" si="184"/>
        <v>0</v>
      </c>
      <c r="DA110" s="38">
        <f t="shared" si="184"/>
        <v>0</v>
      </c>
      <c r="DB110" s="38">
        <f t="shared" si="184"/>
        <v>0</v>
      </c>
      <c r="DC110" s="38">
        <f t="shared" si="184"/>
        <v>0</v>
      </c>
      <c r="DD110" s="38">
        <f t="shared" si="184"/>
        <v>0</v>
      </c>
      <c r="DE110" s="38">
        <f t="shared" si="184"/>
        <v>0</v>
      </c>
      <c r="DF110" s="38">
        <f t="shared" si="184"/>
        <v>0</v>
      </c>
      <c r="DG110" s="38">
        <f t="shared" si="184"/>
        <v>0</v>
      </c>
      <c r="DH110" s="38">
        <f t="shared" si="184"/>
        <v>0</v>
      </c>
      <c r="DI110" s="38">
        <f t="shared" si="184"/>
        <v>0</v>
      </c>
      <c r="DJ110" s="38">
        <f t="shared" si="184"/>
        <v>0</v>
      </c>
      <c r="DK110" s="38">
        <f t="shared" si="184"/>
        <v>0</v>
      </c>
      <c r="DL110" s="38">
        <f t="shared" si="184"/>
        <v>0</v>
      </c>
      <c r="DM110" s="38">
        <f t="shared" si="184"/>
        <v>0</v>
      </c>
    </row>
    <row r="111" spans="3:117" x14ac:dyDescent="0.15">
      <c r="C111" s="109" t="s">
        <v>367</v>
      </c>
      <c r="D111" s="5"/>
      <c r="N111" s="110" t="s">
        <v>368</v>
      </c>
      <c r="O111" s="103">
        <f>(N109/O109)-1</f>
        <v>-0.1349587720215677</v>
      </c>
      <c r="P111" s="103">
        <f t="shared" ref="P111:X111" si="185">(O109/P109)-1</f>
        <v>1.7883750900028916E-2</v>
      </c>
      <c r="Q111" s="103">
        <f t="shared" si="185"/>
        <v>3.3829321045392602E-2</v>
      </c>
      <c r="R111" s="103">
        <f t="shared" si="185"/>
        <v>-3.1259993783055107E-2</v>
      </c>
      <c r="S111" s="103">
        <f t="shared" si="185"/>
        <v>2.1781070684827153E-2</v>
      </c>
      <c r="T111" s="103">
        <f t="shared" si="185"/>
        <v>1.6695492990997929E-2</v>
      </c>
      <c r="U111" s="103">
        <f>(T109/U109)-1</f>
        <v>7.8931664534180879E-3</v>
      </c>
      <c r="V111" s="103">
        <f t="shared" si="185"/>
        <v>1.8325618733373128E-2</v>
      </c>
      <c r="W111" s="103">
        <f t="shared" si="185"/>
        <v>1.9375161726248091E-2</v>
      </c>
      <c r="X111" s="103">
        <f t="shared" si="185"/>
        <v>0.22780629075535286</v>
      </c>
    </row>
    <row r="112" spans="3:117" ht="20" x14ac:dyDescent="0.2">
      <c r="C112" s="4" t="s">
        <v>71</v>
      </c>
      <c r="D112" s="5"/>
    </row>
    <row r="113" spans="3:117" outlineLevel="1" x14ac:dyDescent="0.15">
      <c r="C113" t="s">
        <v>155</v>
      </c>
      <c r="D113" s="5" t="s">
        <v>167</v>
      </c>
      <c r="I113" s="35">
        <f t="shared" ref="I113:I118" si="186">SUM(J113:DM113)</f>
        <v>362000000</v>
      </c>
      <c r="J113" s="160"/>
      <c r="K113" s="21"/>
      <c r="L113" s="21"/>
      <c r="M113" s="21"/>
      <c r="N113" s="21">
        <f>72000000*(1+N10)</f>
        <v>72000000</v>
      </c>
      <c r="O113" s="21">
        <f>75000000*(1+O10)</f>
        <v>75000000</v>
      </c>
      <c r="P113" s="21">
        <f>66000000*(1+P10)</f>
        <v>66000000</v>
      </c>
      <c r="Q113" s="21">
        <v>57000000</v>
      </c>
      <c r="R113" s="21">
        <v>39000000</v>
      </c>
      <c r="S113" s="21">
        <f>9000000*(1+S10)</f>
        <v>9000000</v>
      </c>
      <c r="T113" s="21">
        <f>11000000*(1+T10)</f>
        <v>11000000</v>
      </c>
      <c r="U113" s="21">
        <f>5000000*(1+U10)</f>
        <v>5000000</v>
      </c>
      <c r="V113" s="21">
        <f>5000000*(1+U10)</f>
        <v>5000000</v>
      </c>
      <c r="W113" s="21">
        <v>0</v>
      </c>
      <c r="X113" s="21">
        <f>23000000*(1+U10)</f>
        <v>23000000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</row>
    <row r="114" spans="3:117" outlineLevel="1" x14ac:dyDescent="0.15">
      <c r="C114" t="s">
        <v>170</v>
      </c>
      <c r="D114" s="5" t="s">
        <v>167</v>
      </c>
      <c r="I114" s="35">
        <f t="shared" si="186"/>
        <v>62000000</v>
      </c>
      <c r="J114" s="160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>
        <f>24000000*(1+U10)</f>
        <v>24000000</v>
      </c>
      <c r="Z114" s="21">
        <f>20000000*(1+U10)</f>
        <v>20000000</v>
      </c>
      <c r="AA114" s="21">
        <f>2000000*(1+U10)</f>
        <v>2000000</v>
      </c>
      <c r="AB114" s="21">
        <f>8000000*(1+U10)</f>
        <v>8000000</v>
      </c>
      <c r="AC114" s="21">
        <f>8000000*(1+U10)</f>
        <v>8000000</v>
      </c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</row>
    <row r="115" spans="3:117" outlineLevel="1" x14ac:dyDescent="0.15">
      <c r="C115" t="s">
        <v>171</v>
      </c>
      <c r="D115" s="5" t="s">
        <v>167</v>
      </c>
      <c r="I115" s="35">
        <f t="shared" si="186"/>
        <v>-9000000</v>
      </c>
      <c r="J115" s="160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>
        <f>-9000000*(1+U10)</f>
        <v>-9000000</v>
      </c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</row>
    <row r="116" spans="3:117" outlineLevel="1" x14ac:dyDescent="0.15">
      <c r="C116" t="s">
        <v>309</v>
      </c>
      <c r="D116" s="5" t="s">
        <v>167</v>
      </c>
      <c r="F116" s="85">
        <v>1</v>
      </c>
      <c r="I116" s="35">
        <f t="shared" si="186"/>
        <v>724000000</v>
      </c>
      <c r="J116" s="168">
        <f t="shared" ref="J116:M116" si="187">J113*(1+$F116)</f>
        <v>0</v>
      </c>
      <c r="K116" s="104">
        <f t="shared" si="187"/>
        <v>0</v>
      </c>
      <c r="L116" s="104">
        <f t="shared" si="187"/>
        <v>0</v>
      </c>
      <c r="M116" s="104">
        <f t="shared" si="187"/>
        <v>0</v>
      </c>
      <c r="N116" s="104">
        <f>N113*(1+$F116)</f>
        <v>144000000</v>
      </c>
      <c r="O116" s="104">
        <f t="shared" ref="O116:X116" si="188">O113*(1+$F116)</f>
        <v>150000000</v>
      </c>
      <c r="P116" s="104">
        <f t="shared" si="188"/>
        <v>132000000</v>
      </c>
      <c r="Q116" s="104">
        <f t="shared" si="188"/>
        <v>114000000</v>
      </c>
      <c r="R116" s="104">
        <f t="shared" si="188"/>
        <v>78000000</v>
      </c>
      <c r="S116" s="104">
        <f t="shared" si="188"/>
        <v>18000000</v>
      </c>
      <c r="T116" s="104">
        <f t="shared" si="188"/>
        <v>22000000</v>
      </c>
      <c r="U116" s="104">
        <f t="shared" si="188"/>
        <v>10000000</v>
      </c>
      <c r="V116" s="104">
        <f t="shared" si="188"/>
        <v>10000000</v>
      </c>
      <c r="W116" s="104">
        <f t="shared" si="188"/>
        <v>0</v>
      </c>
      <c r="X116" s="104">
        <f t="shared" si="188"/>
        <v>46000000</v>
      </c>
      <c r="Y116" s="104">
        <f t="shared" ref="Y116:BD116" si="189">AVERAGE($J$116:$R$116)*Y6</f>
        <v>0</v>
      </c>
      <c r="Z116" s="104">
        <f t="shared" si="189"/>
        <v>0</v>
      </c>
      <c r="AA116" s="104">
        <f t="shared" si="189"/>
        <v>0</v>
      </c>
      <c r="AB116" s="104">
        <f t="shared" si="189"/>
        <v>0</v>
      </c>
      <c r="AC116" s="104">
        <f t="shared" si="189"/>
        <v>0</v>
      </c>
      <c r="AD116" s="104">
        <f t="shared" si="189"/>
        <v>0</v>
      </c>
      <c r="AE116" s="104">
        <f t="shared" si="189"/>
        <v>0</v>
      </c>
      <c r="AF116" s="104">
        <f t="shared" si="189"/>
        <v>0</v>
      </c>
      <c r="AG116" s="104">
        <f t="shared" si="189"/>
        <v>0</v>
      </c>
      <c r="AH116" s="104">
        <f t="shared" si="189"/>
        <v>0</v>
      </c>
      <c r="AI116" s="104">
        <f t="shared" si="189"/>
        <v>0</v>
      </c>
      <c r="AJ116" s="104">
        <f t="shared" si="189"/>
        <v>0</v>
      </c>
      <c r="AK116" s="104">
        <f t="shared" si="189"/>
        <v>0</v>
      </c>
      <c r="AL116" s="104">
        <f t="shared" si="189"/>
        <v>0</v>
      </c>
      <c r="AM116" s="104">
        <f t="shared" si="189"/>
        <v>0</v>
      </c>
      <c r="AN116" s="104">
        <f t="shared" si="189"/>
        <v>0</v>
      </c>
      <c r="AO116" s="104">
        <f t="shared" si="189"/>
        <v>0</v>
      </c>
      <c r="AP116" s="104">
        <f t="shared" si="189"/>
        <v>0</v>
      </c>
      <c r="AQ116" s="104">
        <f t="shared" si="189"/>
        <v>0</v>
      </c>
      <c r="AR116" s="104">
        <f t="shared" si="189"/>
        <v>0</v>
      </c>
      <c r="AS116" s="104">
        <f t="shared" si="189"/>
        <v>0</v>
      </c>
      <c r="AT116" s="104">
        <f t="shared" si="189"/>
        <v>0</v>
      </c>
      <c r="AU116" s="104">
        <f t="shared" si="189"/>
        <v>0</v>
      </c>
      <c r="AV116" s="104">
        <f t="shared" si="189"/>
        <v>0</v>
      </c>
      <c r="AW116" s="104">
        <f t="shared" si="189"/>
        <v>0</v>
      </c>
      <c r="AX116" s="104">
        <f t="shared" si="189"/>
        <v>0</v>
      </c>
      <c r="AY116" s="104">
        <f t="shared" si="189"/>
        <v>0</v>
      </c>
      <c r="AZ116" s="104">
        <f t="shared" si="189"/>
        <v>0</v>
      </c>
      <c r="BA116" s="104">
        <f t="shared" si="189"/>
        <v>0</v>
      </c>
      <c r="BB116" s="104">
        <f t="shared" si="189"/>
        <v>0</v>
      </c>
      <c r="BC116" s="104">
        <f t="shared" si="189"/>
        <v>0</v>
      </c>
      <c r="BD116" s="104">
        <f t="shared" si="189"/>
        <v>0</v>
      </c>
      <c r="BE116" s="104">
        <f t="shared" ref="BE116:CJ116" si="190">AVERAGE($J$116:$R$116)*BE6</f>
        <v>0</v>
      </c>
      <c r="BF116" s="104">
        <f t="shared" si="190"/>
        <v>0</v>
      </c>
      <c r="BG116" s="104">
        <f t="shared" si="190"/>
        <v>0</v>
      </c>
      <c r="BH116" s="104">
        <f t="shared" si="190"/>
        <v>0</v>
      </c>
      <c r="BI116" s="104">
        <f t="shared" si="190"/>
        <v>0</v>
      </c>
      <c r="BJ116" s="104">
        <f t="shared" si="190"/>
        <v>0</v>
      </c>
      <c r="BK116" s="104">
        <f t="shared" si="190"/>
        <v>0</v>
      </c>
      <c r="BL116" s="104">
        <f t="shared" si="190"/>
        <v>0</v>
      </c>
      <c r="BM116" s="104">
        <f t="shared" si="190"/>
        <v>0</v>
      </c>
      <c r="BN116" s="104">
        <f t="shared" si="190"/>
        <v>0</v>
      </c>
      <c r="BO116" s="104">
        <f t="shared" si="190"/>
        <v>0</v>
      </c>
      <c r="BP116" s="104">
        <f t="shared" si="190"/>
        <v>0</v>
      </c>
      <c r="BQ116" s="104">
        <f t="shared" si="190"/>
        <v>0</v>
      </c>
      <c r="BR116" s="104">
        <f t="shared" si="190"/>
        <v>0</v>
      </c>
      <c r="BS116" s="104">
        <f t="shared" si="190"/>
        <v>0</v>
      </c>
      <c r="BT116" s="104">
        <f t="shared" si="190"/>
        <v>0</v>
      </c>
      <c r="BU116" s="104">
        <f t="shared" si="190"/>
        <v>0</v>
      </c>
      <c r="BV116" s="104">
        <f t="shared" si="190"/>
        <v>0</v>
      </c>
      <c r="BW116" s="104">
        <f t="shared" si="190"/>
        <v>0</v>
      </c>
      <c r="BX116" s="104">
        <f t="shared" si="190"/>
        <v>0</v>
      </c>
      <c r="BY116" s="104">
        <f t="shared" si="190"/>
        <v>0</v>
      </c>
      <c r="BZ116" s="104">
        <f t="shared" si="190"/>
        <v>0</v>
      </c>
      <c r="CA116" s="104">
        <f t="shared" si="190"/>
        <v>0</v>
      </c>
      <c r="CB116" s="104">
        <f t="shared" si="190"/>
        <v>0</v>
      </c>
      <c r="CC116" s="104">
        <f t="shared" si="190"/>
        <v>0</v>
      </c>
      <c r="CD116" s="104">
        <f t="shared" si="190"/>
        <v>0</v>
      </c>
      <c r="CE116" s="104">
        <f t="shared" si="190"/>
        <v>0</v>
      </c>
      <c r="CF116" s="104">
        <f t="shared" si="190"/>
        <v>0</v>
      </c>
      <c r="CG116" s="104">
        <f t="shared" si="190"/>
        <v>0</v>
      </c>
      <c r="CH116" s="104">
        <f t="shared" si="190"/>
        <v>0</v>
      </c>
      <c r="CI116" s="104">
        <f t="shared" si="190"/>
        <v>0</v>
      </c>
      <c r="CJ116" s="104">
        <f t="shared" si="190"/>
        <v>0</v>
      </c>
      <c r="CK116" s="104">
        <f t="shared" ref="CK116:DM116" si="191">AVERAGE($J$116:$R$116)*CK6</f>
        <v>0</v>
      </c>
      <c r="CL116" s="104">
        <f t="shared" si="191"/>
        <v>0</v>
      </c>
      <c r="CM116" s="104">
        <f t="shared" si="191"/>
        <v>0</v>
      </c>
      <c r="CN116" s="104">
        <f t="shared" si="191"/>
        <v>0</v>
      </c>
      <c r="CO116" s="104">
        <f t="shared" si="191"/>
        <v>0</v>
      </c>
      <c r="CP116" s="104">
        <f t="shared" si="191"/>
        <v>0</v>
      </c>
      <c r="CQ116" s="104">
        <f t="shared" si="191"/>
        <v>0</v>
      </c>
      <c r="CR116" s="104">
        <f t="shared" si="191"/>
        <v>0</v>
      </c>
      <c r="CS116" s="104">
        <f t="shared" si="191"/>
        <v>0</v>
      </c>
      <c r="CT116" s="104">
        <f t="shared" si="191"/>
        <v>0</v>
      </c>
      <c r="CU116" s="104">
        <f t="shared" si="191"/>
        <v>0</v>
      </c>
      <c r="CV116" s="104">
        <f t="shared" si="191"/>
        <v>0</v>
      </c>
      <c r="CW116" s="104">
        <f t="shared" si="191"/>
        <v>0</v>
      </c>
      <c r="CX116" s="104">
        <f t="shared" si="191"/>
        <v>0</v>
      </c>
      <c r="CY116" s="104">
        <f t="shared" si="191"/>
        <v>0</v>
      </c>
      <c r="CZ116" s="104">
        <f t="shared" si="191"/>
        <v>0</v>
      </c>
      <c r="DA116" s="104">
        <f t="shared" si="191"/>
        <v>0</v>
      </c>
      <c r="DB116" s="104">
        <f t="shared" si="191"/>
        <v>0</v>
      </c>
      <c r="DC116" s="104">
        <f t="shared" si="191"/>
        <v>0</v>
      </c>
      <c r="DD116" s="104">
        <f t="shared" si="191"/>
        <v>0</v>
      </c>
      <c r="DE116" s="104">
        <f t="shared" si="191"/>
        <v>0</v>
      </c>
      <c r="DF116" s="104">
        <f t="shared" si="191"/>
        <v>0</v>
      </c>
      <c r="DG116" s="104">
        <f t="shared" si="191"/>
        <v>0</v>
      </c>
      <c r="DH116" s="104">
        <f t="shared" si="191"/>
        <v>0</v>
      </c>
      <c r="DI116" s="104">
        <f t="shared" si="191"/>
        <v>0</v>
      </c>
      <c r="DJ116" s="104">
        <f t="shared" si="191"/>
        <v>0</v>
      </c>
      <c r="DK116" s="104">
        <f t="shared" si="191"/>
        <v>0</v>
      </c>
      <c r="DL116" s="104">
        <f t="shared" si="191"/>
        <v>0</v>
      </c>
      <c r="DM116" s="104">
        <f t="shared" si="191"/>
        <v>0</v>
      </c>
    </row>
    <row r="117" spans="3:117" outlineLevel="1" x14ac:dyDescent="0.15">
      <c r="C117" t="s">
        <v>310</v>
      </c>
      <c r="D117" s="5" t="s">
        <v>167</v>
      </c>
      <c r="F117" s="85">
        <v>0.32</v>
      </c>
      <c r="I117" s="35">
        <f t="shared" si="186"/>
        <v>69960000</v>
      </c>
      <c r="J117" s="168"/>
      <c r="K117" s="104"/>
      <c r="L117" s="104"/>
      <c r="M117" s="104"/>
      <c r="N117" s="104"/>
      <c r="O117" s="104">
        <f t="shared" ref="O117:AT117" si="192">IF(O6+N6=1,SUM($J$114:$DM$115)*(1+$F117),0)</f>
        <v>0</v>
      </c>
      <c r="P117" s="104">
        <f t="shared" si="192"/>
        <v>0</v>
      </c>
      <c r="Q117" s="104">
        <f t="shared" si="192"/>
        <v>0</v>
      </c>
      <c r="R117" s="104">
        <f t="shared" si="192"/>
        <v>0</v>
      </c>
      <c r="S117" s="104">
        <f t="shared" si="192"/>
        <v>0</v>
      </c>
      <c r="T117" s="104">
        <f t="shared" si="192"/>
        <v>0</v>
      </c>
      <c r="U117" s="104">
        <f t="shared" si="192"/>
        <v>0</v>
      </c>
      <c r="V117" s="104">
        <f t="shared" si="192"/>
        <v>0</v>
      </c>
      <c r="W117" s="104">
        <f t="shared" si="192"/>
        <v>0</v>
      </c>
      <c r="X117" s="104">
        <f t="shared" si="192"/>
        <v>0</v>
      </c>
      <c r="Y117" s="104">
        <f t="shared" si="192"/>
        <v>69960000</v>
      </c>
      <c r="Z117" s="104">
        <f t="shared" si="192"/>
        <v>0</v>
      </c>
      <c r="AA117" s="104">
        <f t="shared" si="192"/>
        <v>0</v>
      </c>
      <c r="AB117" s="104">
        <f t="shared" si="192"/>
        <v>0</v>
      </c>
      <c r="AC117" s="104">
        <f t="shared" si="192"/>
        <v>0</v>
      </c>
      <c r="AD117" s="104">
        <f t="shared" si="192"/>
        <v>0</v>
      </c>
      <c r="AE117" s="104">
        <f t="shared" si="192"/>
        <v>0</v>
      </c>
      <c r="AF117" s="104">
        <f t="shared" si="192"/>
        <v>0</v>
      </c>
      <c r="AG117" s="104">
        <f t="shared" si="192"/>
        <v>0</v>
      </c>
      <c r="AH117" s="104">
        <f t="shared" si="192"/>
        <v>0</v>
      </c>
      <c r="AI117" s="104">
        <f t="shared" si="192"/>
        <v>0</v>
      </c>
      <c r="AJ117" s="104">
        <f t="shared" si="192"/>
        <v>0</v>
      </c>
      <c r="AK117" s="104">
        <f t="shared" si="192"/>
        <v>0</v>
      </c>
      <c r="AL117" s="104">
        <f t="shared" si="192"/>
        <v>0</v>
      </c>
      <c r="AM117" s="104">
        <f t="shared" si="192"/>
        <v>0</v>
      </c>
      <c r="AN117" s="104">
        <f t="shared" si="192"/>
        <v>0</v>
      </c>
      <c r="AO117" s="104">
        <f t="shared" si="192"/>
        <v>0</v>
      </c>
      <c r="AP117" s="104">
        <f t="shared" si="192"/>
        <v>0</v>
      </c>
      <c r="AQ117" s="104">
        <f t="shared" si="192"/>
        <v>0</v>
      </c>
      <c r="AR117" s="104">
        <f t="shared" si="192"/>
        <v>0</v>
      </c>
      <c r="AS117" s="104">
        <f t="shared" si="192"/>
        <v>0</v>
      </c>
      <c r="AT117" s="104">
        <f t="shared" si="192"/>
        <v>0</v>
      </c>
      <c r="AU117" s="104">
        <f t="shared" ref="AU117:BZ117" si="193">IF(AU6+AT6=1,SUM($J$114:$DM$115)*(1+$F117),0)</f>
        <v>0</v>
      </c>
      <c r="AV117" s="104">
        <f t="shared" si="193"/>
        <v>0</v>
      </c>
      <c r="AW117" s="104">
        <f t="shared" si="193"/>
        <v>0</v>
      </c>
      <c r="AX117" s="104">
        <f t="shared" si="193"/>
        <v>0</v>
      </c>
      <c r="AY117" s="104">
        <f t="shared" si="193"/>
        <v>0</v>
      </c>
      <c r="AZ117" s="104">
        <f t="shared" si="193"/>
        <v>0</v>
      </c>
      <c r="BA117" s="104">
        <f t="shared" si="193"/>
        <v>0</v>
      </c>
      <c r="BB117" s="104">
        <f t="shared" si="193"/>
        <v>0</v>
      </c>
      <c r="BC117" s="104">
        <f t="shared" si="193"/>
        <v>0</v>
      </c>
      <c r="BD117" s="104">
        <f t="shared" si="193"/>
        <v>0</v>
      </c>
      <c r="BE117" s="104">
        <f t="shared" si="193"/>
        <v>0</v>
      </c>
      <c r="BF117" s="104">
        <f t="shared" si="193"/>
        <v>0</v>
      </c>
      <c r="BG117" s="104">
        <f t="shared" si="193"/>
        <v>0</v>
      </c>
      <c r="BH117" s="104">
        <f t="shared" si="193"/>
        <v>0</v>
      </c>
      <c r="BI117" s="104">
        <f t="shared" si="193"/>
        <v>0</v>
      </c>
      <c r="BJ117" s="104">
        <f t="shared" si="193"/>
        <v>0</v>
      </c>
      <c r="BK117" s="104">
        <f t="shared" si="193"/>
        <v>0</v>
      </c>
      <c r="BL117" s="104">
        <f t="shared" si="193"/>
        <v>0</v>
      </c>
      <c r="BM117" s="104">
        <f t="shared" si="193"/>
        <v>0</v>
      </c>
      <c r="BN117" s="104">
        <f t="shared" si="193"/>
        <v>0</v>
      </c>
      <c r="BO117" s="104">
        <f t="shared" si="193"/>
        <v>0</v>
      </c>
      <c r="BP117" s="104">
        <f t="shared" si="193"/>
        <v>0</v>
      </c>
      <c r="BQ117" s="104">
        <f t="shared" si="193"/>
        <v>0</v>
      </c>
      <c r="BR117" s="104">
        <f t="shared" si="193"/>
        <v>0</v>
      </c>
      <c r="BS117" s="104">
        <f t="shared" si="193"/>
        <v>0</v>
      </c>
      <c r="BT117" s="104">
        <f t="shared" si="193"/>
        <v>0</v>
      </c>
      <c r="BU117" s="104">
        <f t="shared" si="193"/>
        <v>0</v>
      </c>
      <c r="BV117" s="104">
        <f t="shared" si="193"/>
        <v>0</v>
      </c>
      <c r="BW117" s="104">
        <f t="shared" si="193"/>
        <v>0</v>
      </c>
      <c r="BX117" s="104">
        <f t="shared" si="193"/>
        <v>0</v>
      </c>
      <c r="BY117" s="104">
        <f t="shared" si="193"/>
        <v>0</v>
      </c>
      <c r="BZ117" s="104">
        <f t="shared" si="193"/>
        <v>0</v>
      </c>
      <c r="CA117" s="104">
        <f t="shared" ref="CA117:DF117" si="194">IF(CA6+BZ6=1,SUM($J$114:$DM$115)*(1+$F117),0)</f>
        <v>0</v>
      </c>
      <c r="CB117" s="104">
        <f t="shared" si="194"/>
        <v>0</v>
      </c>
      <c r="CC117" s="104">
        <f t="shared" si="194"/>
        <v>0</v>
      </c>
      <c r="CD117" s="104">
        <f t="shared" si="194"/>
        <v>0</v>
      </c>
      <c r="CE117" s="104">
        <f t="shared" si="194"/>
        <v>0</v>
      </c>
      <c r="CF117" s="104">
        <f t="shared" si="194"/>
        <v>0</v>
      </c>
      <c r="CG117" s="104">
        <f t="shared" si="194"/>
        <v>0</v>
      </c>
      <c r="CH117" s="104">
        <f t="shared" si="194"/>
        <v>0</v>
      </c>
      <c r="CI117" s="104">
        <f t="shared" si="194"/>
        <v>0</v>
      </c>
      <c r="CJ117" s="104">
        <f t="shared" si="194"/>
        <v>0</v>
      </c>
      <c r="CK117" s="104">
        <f t="shared" si="194"/>
        <v>0</v>
      </c>
      <c r="CL117" s="104">
        <f t="shared" si="194"/>
        <v>0</v>
      </c>
      <c r="CM117" s="104">
        <f t="shared" si="194"/>
        <v>0</v>
      </c>
      <c r="CN117" s="104">
        <f t="shared" si="194"/>
        <v>0</v>
      </c>
      <c r="CO117" s="104">
        <f t="shared" si="194"/>
        <v>0</v>
      </c>
      <c r="CP117" s="104">
        <f t="shared" si="194"/>
        <v>0</v>
      </c>
      <c r="CQ117" s="104">
        <f t="shared" si="194"/>
        <v>0</v>
      </c>
      <c r="CR117" s="104">
        <f t="shared" si="194"/>
        <v>0</v>
      </c>
      <c r="CS117" s="104">
        <f t="shared" si="194"/>
        <v>0</v>
      </c>
      <c r="CT117" s="104">
        <f t="shared" si="194"/>
        <v>0</v>
      </c>
      <c r="CU117" s="104">
        <f t="shared" si="194"/>
        <v>0</v>
      </c>
      <c r="CV117" s="104">
        <f t="shared" si="194"/>
        <v>0</v>
      </c>
      <c r="CW117" s="104">
        <f t="shared" si="194"/>
        <v>0</v>
      </c>
      <c r="CX117" s="104">
        <f t="shared" si="194"/>
        <v>0</v>
      </c>
      <c r="CY117" s="104">
        <f t="shared" si="194"/>
        <v>0</v>
      </c>
      <c r="CZ117" s="104">
        <f t="shared" si="194"/>
        <v>0</v>
      </c>
      <c r="DA117" s="104">
        <f t="shared" si="194"/>
        <v>0</v>
      </c>
      <c r="DB117" s="104">
        <f t="shared" si="194"/>
        <v>0</v>
      </c>
      <c r="DC117" s="104">
        <f t="shared" si="194"/>
        <v>0</v>
      </c>
      <c r="DD117" s="104">
        <f t="shared" si="194"/>
        <v>0</v>
      </c>
      <c r="DE117" s="104">
        <f t="shared" si="194"/>
        <v>0</v>
      </c>
      <c r="DF117" s="104">
        <f t="shared" si="194"/>
        <v>0</v>
      </c>
      <c r="DG117" s="104">
        <f t="shared" ref="DG117:DM117" si="195">IF(DG6+DF6=1,SUM($J$114:$DM$115)*(1+$F117),0)</f>
        <v>0</v>
      </c>
      <c r="DH117" s="104">
        <f t="shared" si="195"/>
        <v>0</v>
      </c>
      <c r="DI117" s="104">
        <f t="shared" si="195"/>
        <v>0</v>
      </c>
      <c r="DJ117" s="104">
        <f t="shared" si="195"/>
        <v>0</v>
      </c>
      <c r="DK117" s="104">
        <f t="shared" si="195"/>
        <v>0</v>
      </c>
      <c r="DL117" s="104">
        <f t="shared" si="195"/>
        <v>0</v>
      </c>
      <c r="DM117" s="104">
        <f t="shared" si="195"/>
        <v>0</v>
      </c>
    </row>
    <row r="118" spans="3:117" outlineLevel="1" x14ac:dyDescent="0.15">
      <c r="C118" t="s">
        <v>125</v>
      </c>
      <c r="D118" s="5" t="s">
        <v>167</v>
      </c>
      <c r="I118" s="35">
        <f t="shared" si="186"/>
        <v>793960000</v>
      </c>
      <c r="J118" s="159">
        <f>SUM(J116:J117)</f>
        <v>0</v>
      </c>
      <c r="K118" s="38">
        <f t="shared" ref="K118:BV118" si="196">SUM(K116:K117)</f>
        <v>0</v>
      </c>
      <c r="L118" s="38">
        <f t="shared" si="196"/>
        <v>0</v>
      </c>
      <c r="M118" s="38">
        <f t="shared" si="196"/>
        <v>0</v>
      </c>
      <c r="N118" s="38">
        <f t="shared" si="196"/>
        <v>144000000</v>
      </c>
      <c r="O118" s="38">
        <f t="shared" si="196"/>
        <v>150000000</v>
      </c>
      <c r="P118" s="38">
        <f t="shared" si="196"/>
        <v>132000000</v>
      </c>
      <c r="Q118" s="38">
        <f t="shared" si="196"/>
        <v>114000000</v>
      </c>
      <c r="R118" s="38">
        <f t="shared" si="196"/>
        <v>78000000</v>
      </c>
      <c r="S118" s="38">
        <f t="shared" si="196"/>
        <v>18000000</v>
      </c>
      <c r="T118" s="38">
        <f t="shared" si="196"/>
        <v>22000000</v>
      </c>
      <c r="U118" s="38">
        <f t="shared" si="196"/>
        <v>10000000</v>
      </c>
      <c r="V118" s="38">
        <f t="shared" si="196"/>
        <v>10000000</v>
      </c>
      <c r="W118" s="38">
        <f t="shared" si="196"/>
        <v>0</v>
      </c>
      <c r="X118" s="38">
        <f t="shared" si="196"/>
        <v>46000000</v>
      </c>
      <c r="Y118" s="38">
        <f t="shared" si="196"/>
        <v>69960000</v>
      </c>
      <c r="Z118" s="38">
        <f t="shared" si="196"/>
        <v>0</v>
      </c>
      <c r="AA118" s="38">
        <f t="shared" si="196"/>
        <v>0</v>
      </c>
      <c r="AB118" s="38">
        <f t="shared" si="196"/>
        <v>0</v>
      </c>
      <c r="AC118" s="38">
        <f t="shared" si="196"/>
        <v>0</v>
      </c>
      <c r="AD118" s="38">
        <f t="shared" si="196"/>
        <v>0</v>
      </c>
      <c r="AE118" s="38">
        <f t="shared" si="196"/>
        <v>0</v>
      </c>
      <c r="AF118" s="38">
        <f t="shared" si="196"/>
        <v>0</v>
      </c>
      <c r="AG118" s="38">
        <f t="shared" si="196"/>
        <v>0</v>
      </c>
      <c r="AH118" s="38">
        <f t="shared" si="196"/>
        <v>0</v>
      </c>
      <c r="AI118" s="38">
        <f t="shared" si="196"/>
        <v>0</v>
      </c>
      <c r="AJ118" s="38">
        <f t="shared" si="196"/>
        <v>0</v>
      </c>
      <c r="AK118" s="38">
        <f t="shared" si="196"/>
        <v>0</v>
      </c>
      <c r="AL118" s="38">
        <f t="shared" si="196"/>
        <v>0</v>
      </c>
      <c r="AM118" s="38">
        <f t="shared" si="196"/>
        <v>0</v>
      </c>
      <c r="AN118" s="38">
        <f t="shared" si="196"/>
        <v>0</v>
      </c>
      <c r="AO118" s="38">
        <f t="shared" si="196"/>
        <v>0</v>
      </c>
      <c r="AP118" s="38">
        <f t="shared" si="196"/>
        <v>0</v>
      </c>
      <c r="AQ118" s="38">
        <f t="shared" si="196"/>
        <v>0</v>
      </c>
      <c r="AR118" s="38">
        <f t="shared" si="196"/>
        <v>0</v>
      </c>
      <c r="AS118" s="38">
        <f t="shared" si="196"/>
        <v>0</v>
      </c>
      <c r="AT118" s="38">
        <f t="shared" si="196"/>
        <v>0</v>
      </c>
      <c r="AU118" s="38">
        <f t="shared" si="196"/>
        <v>0</v>
      </c>
      <c r="AV118" s="38">
        <f t="shared" si="196"/>
        <v>0</v>
      </c>
      <c r="AW118" s="38">
        <f t="shared" si="196"/>
        <v>0</v>
      </c>
      <c r="AX118" s="38">
        <f t="shared" si="196"/>
        <v>0</v>
      </c>
      <c r="AY118" s="38">
        <f t="shared" si="196"/>
        <v>0</v>
      </c>
      <c r="AZ118" s="38">
        <f t="shared" si="196"/>
        <v>0</v>
      </c>
      <c r="BA118" s="38">
        <f t="shared" si="196"/>
        <v>0</v>
      </c>
      <c r="BB118" s="38">
        <f t="shared" si="196"/>
        <v>0</v>
      </c>
      <c r="BC118" s="38">
        <f t="shared" si="196"/>
        <v>0</v>
      </c>
      <c r="BD118" s="38">
        <f t="shared" si="196"/>
        <v>0</v>
      </c>
      <c r="BE118" s="38">
        <f t="shared" si="196"/>
        <v>0</v>
      </c>
      <c r="BF118" s="38">
        <f t="shared" si="196"/>
        <v>0</v>
      </c>
      <c r="BG118" s="38">
        <f t="shared" si="196"/>
        <v>0</v>
      </c>
      <c r="BH118" s="38">
        <f t="shared" si="196"/>
        <v>0</v>
      </c>
      <c r="BI118" s="38">
        <f t="shared" si="196"/>
        <v>0</v>
      </c>
      <c r="BJ118" s="38">
        <f t="shared" si="196"/>
        <v>0</v>
      </c>
      <c r="BK118" s="38">
        <f t="shared" si="196"/>
        <v>0</v>
      </c>
      <c r="BL118" s="38">
        <f t="shared" si="196"/>
        <v>0</v>
      </c>
      <c r="BM118" s="38">
        <f t="shared" si="196"/>
        <v>0</v>
      </c>
      <c r="BN118" s="38">
        <f t="shared" si="196"/>
        <v>0</v>
      </c>
      <c r="BO118" s="38">
        <f t="shared" si="196"/>
        <v>0</v>
      </c>
      <c r="BP118" s="38">
        <f t="shared" si="196"/>
        <v>0</v>
      </c>
      <c r="BQ118" s="38">
        <f t="shared" si="196"/>
        <v>0</v>
      </c>
      <c r="BR118" s="38">
        <f t="shared" si="196"/>
        <v>0</v>
      </c>
      <c r="BS118" s="38">
        <f t="shared" si="196"/>
        <v>0</v>
      </c>
      <c r="BT118" s="38">
        <f t="shared" si="196"/>
        <v>0</v>
      </c>
      <c r="BU118" s="38">
        <f t="shared" si="196"/>
        <v>0</v>
      </c>
      <c r="BV118" s="38">
        <f t="shared" si="196"/>
        <v>0</v>
      </c>
      <c r="BW118" s="38">
        <f t="shared" ref="BW118:DM118" si="197">SUM(BW116:BW117)</f>
        <v>0</v>
      </c>
      <c r="BX118" s="38">
        <f t="shared" si="197"/>
        <v>0</v>
      </c>
      <c r="BY118" s="38">
        <f t="shared" si="197"/>
        <v>0</v>
      </c>
      <c r="BZ118" s="38">
        <f t="shared" si="197"/>
        <v>0</v>
      </c>
      <c r="CA118" s="38">
        <f t="shared" si="197"/>
        <v>0</v>
      </c>
      <c r="CB118" s="38">
        <f t="shared" si="197"/>
        <v>0</v>
      </c>
      <c r="CC118" s="38">
        <f t="shared" si="197"/>
        <v>0</v>
      </c>
      <c r="CD118" s="38">
        <f t="shared" si="197"/>
        <v>0</v>
      </c>
      <c r="CE118" s="38">
        <f t="shared" si="197"/>
        <v>0</v>
      </c>
      <c r="CF118" s="38">
        <f t="shared" si="197"/>
        <v>0</v>
      </c>
      <c r="CG118" s="38">
        <f t="shared" si="197"/>
        <v>0</v>
      </c>
      <c r="CH118" s="38">
        <f t="shared" si="197"/>
        <v>0</v>
      </c>
      <c r="CI118" s="38">
        <f t="shared" si="197"/>
        <v>0</v>
      </c>
      <c r="CJ118" s="38">
        <f t="shared" si="197"/>
        <v>0</v>
      </c>
      <c r="CK118" s="38">
        <f t="shared" si="197"/>
        <v>0</v>
      </c>
      <c r="CL118" s="38">
        <f t="shared" si="197"/>
        <v>0</v>
      </c>
      <c r="CM118" s="38">
        <f t="shared" si="197"/>
        <v>0</v>
      </c>
      <c r="CN118" s="38">
        <f t="shared" si="197"/>
        <v>0</v>
      </c>
      <c r="CO118" s="38">
        <f t="shared" si="197"/>
        <v>0</v>
      </c>
      <c r="CP118" s="38">
        <f t="shared" si="197"/>
        <v>0</v>
      </c>
      <c r="CQ118" s="38">
        <f t="shared" si="197"/>
        <v>0</v>
      </c>
      <c r="CR118" s="38">
        <f t="shared" si="197"/>
        <v>0</v>
      </c>
      <c r="CS118" s="38">
        <f t="shared" si="197"/>
        <v>0</v>
      </c>
      <c r="CT118" s="38">
        <f t="shared" si="197"/>
        <v>0</v>
      </c>
      <c r="CU118" s="38">
        <f t="shared" si="197"/>
        <v>0</v>
      </c>
      <c r="CV118" s="38">
        <f t="shared" si="197"/>
        <v>0</v>
      </c>
      <c r="CW118" s="38">
        <f t="shared" si="197"/>
        <v>0</v>
      </c>
      <c r="CX118" s="38">
        <f t="shared" si="197"/>
        <v>0</v>
      </c>
      <c r="CY118" s="38">
        <f t="shared" si="197"/>
        <v>0</v>
      </c>
      <c r="CZ118" s="38">
        <f t="shared" si="197"/>
        <v>0</v>
      </c>
      <c r="DA118" s="38">
        <f t="shared" si="197"/>
        <v>0</v>
      </c>
      <c r="DB118" s="38">
        <f t="shared" si="197"/>
        <v>0</v>
      </c>
      <c r="DC118" s="38">
        <f t="shared" si="197"/>
        <v>0</v>
      </c>
      <c r="DD118" s="38">
        <f t="shared" si="197"/>
        <v>0</v>
      </c>
      <c r="DE118" s="38">
        <f t="shared" si="197"/>
        <v>0</v>
      </c>
      <c r="DF118" s="38">
        <f t="shared" si="197"/>
        <v>0</v>
      </c>
      <c r="DG118" s="38">
        <f t="shared" si="197"/>
        <v>0</v>
      </c>
      <c r="DH118" s="38">
        <f t="shared" si="197"/>
        <v>0</v>
      </c>
      <c r="DI118" s="38">
        <f t="shared" si="197"/>
        <v>0</v>
      </c>
      <c r="DJ118" s="38">
        <f t="shared" si="197"/>
        <v>0</v>
      </c>
      <c r="DK118" s="38">
        <f t="shared" si="197"/>
        <v>0</v>
      </c>
      <c r="DL118" s="38">
        <f t="shared" si="197"/>
        <v>0</v>
      </c>
      <c r="DM118" s="38">
        <f t="shared" si="197"/>
        <v>0</v>
      </c>
    </row>
  </sheetData>
  <phoneticPr fontId="39" type="noConversion"/>
  <conditionalFormatting sqref="J5:DM6">
    <cfRule type="cellIs" dxfId="19" priority="1" operator="equal">
      <formula>1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235D-E250-48DC-871A-7FC820B1103D}">
  <sheetPr codeName="Sheet3">
    <tabColor theme="9" tint="-0.249977111117893"/>
    <outlinePr summaryBelow="0"/>
  </sheetPr>
  <dimension ref="A1:EE175"/>
  <sheetViews>
    <sheetView tabSelected="1" zoomScaleNormal="100" workbookViewId="0">
      <pane xSplit="9" ySplit="1" topLeftCell="J2" activePane="bottomRight" state="frozen"/>
      <selection activeCell="I21" sqref="I21"/>
      <selection pane="topRight" activeCell="I21" sqref="I21"/>
      <selection pane="bottomLeft" activeCell="I21" sqref="I21"/>
      <selection pane="bottomRight" activeCell="E28" sqref="E28"/>
    </sheetView>
  </sheetViews>
  <sheetFormatPr baseColWidth="10" defaultColWidth="0" defaultRowHeight="13" outlineLevelRow="1" x14ac:dyDescent="0.15"/>
  <cols>
    <col min="1" max="2" width="2.6640625" customWidth="1"/>
    <col min="3" max="3" width="38.83203125" customWidth="1"/>
    <col min="4" max="4" width="9.1640625" customWidth="1"/>
    <col min="5" max="5" width="28.1640625" customWidth="1"/>
    <col min="6" max="8" width="1" customWidth="1"/>
    <col min="9" max="9" width="15.5" bestFit="1" customWidth="1"/>
    <col min="10" max="117" width="14.5" customWidth="1"/>
    <col min="118" max="118" width="3.5" customWidth="1"/>
    <col min="119" max="135" width="9.6640625" hidden="1" customWidth="1"/>
    <col min="136" max="16384" width="9.1640625" hidden="1"/>
  </cols>
  <sheetData>
    <row r="1" spans="1:117" ht="23" x14ac:dyDescent="0.25">
      <c r="A1" s="16" t="s">
        <v>126</v>
      </c>
    </row>
    <row r="3" spans="1:117" ht="20" x14ac:dyDescent="0.2">
      <c r="C3" s="4" t="s">
        <v>15</v>
      </c>
    </row>
    <row r="4" spans="1:117" ht="13.5" customHeight="1" outlineLevel="1" x14ac:dyDescent="0.15">
      <c r="C4" t="s">
        <v>85</v>
      </c>
      <c r="D4" s="5" t="s">
        <v>8</v>
      </c>
      <c r="E4" s="17" t="s">
        <v>91</v>
      </c>
      <c r="J4">
        <v>1</v>
      </c>
      <c r="K4">
        <f>J4+1</f>
        <v>2</v>
      </c>
      <c r="L4">
        <f t="shared" ref="L4:BW4" si="0">K4+1</f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>
        <f t="shared" si="0"/>
        <v>31</v>
      </c>
      <c r="AO4">
        <f t="shared" si="0"/>
        <v>32</v>
      </c>
      <c r="AP4">
        <f t="shared" si="0"/>
        <v>33</v>
      </c>
      <c r="AQ4">
        <f t="shared" si="0"/>
        <v>34</v>
      </c>
      <c r="AR4">
        <f t="shared" si="0"/>
        <v>35</v>
      </c>
      <c r="AS4">
        <f t="shared" si="0"/>
        <v>36</v>
      </c>
      <c r="AT4">
        <f t="shared" si="0"/>
        <v>37</v>
      </c>
      <c r="AU4">
        <f t="shared" si="0"/>
        <v>38</v>
      </c>
      <c r="AV4">
        <f t="shared" si="0"/>
        <v>39</v>
      </c>
      <c r="AW4">
        <f t="shared" si="0"/>
        <v>40</v>
      </c>
      <c r="AX4">
        <f t="shared" si="0"/>
        <v>41</v>
      </c>
      <c r="AY4">
        <f t="shared" si="0"/>
        <v>42</v>
      </c>
      <c r="AZ4">
        <f t="shared" si="0"/>
        <v>43</v>
      </c>
      <c r="BA4">
        <f t="shared" si="0"/>
        <v>44</v>
      </c>
      <c r="BB4">
        <f t="shared" si="0"/>
        <v>45</v>
      </c>
      <c r="BC4">
        <f t="shared" si="0"/>
        <v>46</v>
      </c>
      <c r="BD4">
        <f t="shared" si="0"/>
        <v>47</v>
      </c>
      <c r="BE4">
        <f t="shared" si="0"/>
        <v>48</v>
      </c>
      <c r="BF4">
        <f t="shared" si="0"/>
        <v>49</v>
      </c>
      <c r="BG4">
        <f t="shared" si="0"/>
        <v>50</v>
      </c>
      <c r="BH4">
        <f t="shared" si="0"/>
        <v>51</v>
      </c>
      <c r="BI4">
        <f t="shared" si="0"/>
        <v>52</v>
      </c>
      <c r="BJ4">
        <f t="shared" si="0"/>
        <v>53</v>
      </c>
      <c r="BK4">
        <f t="shared" si="0"/>
        <v>54</v>
      </c>
      <c r="BL4">
        <f t="shared" si="0"/>
        <v>55</v>
      </c>
      <c r="BM4">
        <f t="shared" si="0"/>
        <v>56</v>
      </c>
      <c r="BN4">
        <f t="shared" si="0"/>
        <v>57</v>
      </c>
      <c r="BO4">
        <f t="shared" si="0"/>
        <v>58</v>
      </c>
      <c r="BP4">
        <f t="shared" si="0"/>
        <v>59</v>
      </c>
      <c r="BQ4">
        <f t="shared" si="0"/>
        <v>60</v>
      </c>
      <c r="BR4">
        <f t="shared" si="0"/>
        <v>61</v>
      </c>
      <c r="BS4">
        <f t="shared" si="0"/>
        <v>62</v>
      </c>
      <c r="BT4">
        <f t="shared" si="0"/>
        <v>63</v>
      </c>
      <c r="BU4">
        <f t="shared" si="0"/>
        <v>64</v>
      </c>
      <c r="BV4">
        <f t="shared" si="0"/>
        <v>65</v>
      </c>
      <c r="BW4">
        <f t="shared" si="0"/>
        <v>66</v>
      </c>
      <c r="BX4">
        <f t="shared" ref="BX4:DM4" si="1">BW4+1</f>
        <v>67</v>
      </c>
      <c r="BY4">
        <f t="shared" si="1"/>
        <v>68</v>
      </c>
      <c r="BZ4">
        <f t="shared" si="1"/>
        <v>69</v>
      </c>
      <c r="CA4">
        <f t="shared" si="1"/>
        <v>70</v>
      </c>
      <c r="CB4">
        <f t="shared" si="1"/>
        <v>71</v>
      </c>
      <c r="CC4">
        <f t="shared" si="1"/>
        <v>72</v>
      </c>
      <c r="CD4">
        <f t="shared" si="1"/>
        <v>73</v>
      </c>
      <c r="CE4">
        <f t="shared" si="1"/>
        <v>74</v>
      </c>
      <c r="CF4">
        <f t="shared" si="1"/>
        <v>75</v>
      </c>
      <c r="CG4">
        <f t="shared" si="1"/>
        <v>76</v>
      </c>
      <c r="CH4">
        <f t="shared" si="1"/>
        <v>77</v>
      </c>
      <c r="CI4">
        <f t="shared" si="1"/>
        <v>78</v>
      </c>
      <c r="CJ4">
        <f t="shared" si="1"/>
        <v>79</v>
      </c>
      <c r="CK4">
        <f t="shared" si="1"/>
        <v>80</v>
      </c>
      <c r="CL4">
        <f t="shared" si="1"/>
        <v>81</v>
      </c>
      <c r="CM4">
        <f t="shared" si="1"/>
        <v>82</v>
      </c>
      <c r="CN4">
        <f t="shared" si="1"/>
        <v>83</v>
      </c>
      <c r="CO4">
        <f t="shared" si="1"/>
        <v>84</v>
      </c>
      <c r="CP4">
        <f t="shared" si="1"/>
        <v>85</v>
      </c>
      <c r="CQ4">
        <f t="shared" si="1"/>
        <v>86</v>
      </c>
      <c r="CR4">
        <f t="shared" si="1"/>
        <v>87</v>
      </c>
      <c r="CS4">
        <f t="shared" si="1"/>
        <v>88</v>
      </c>
      <c r="CT4">
        <f t="shared" si="1"/>
        <v>89</v>
      </c>
      <c r="CU4">
        <f t="shared" si="1"/>
        <v>90</v>
      </c>
      <c r="CV4">
        <f t="shared" si="1"/>
        <v>91</v>
      </c>
      <c r="CW4">
        <f t="shared" si="1"/>
        <v>92</v>
      </c>
      <c r="CX4">
        <f t="shared" si="1"/>
        <v>93</v>
      </c>
      <c r="CY4">
        <f t="shared" si="1"/>
        <v>94</v>
      </c>
      <c r="CZ4">
        <f t="shared" si="1"/>
        <v>95</v>
      </c>
      <c r="DA4">
        <f t="shared" si="1"/>
        <v>96</v>
      </c>
      <c r="DB4">
        <f t="shared" si="1"/>
        <v>97</v>
      </c>
      <c r="DC4">
        <f t="shared" si="1"/>
        <v>98</v>
      </c>
      <c r="DD4">
        <f t="shared" si="1"/>
        <v>99</v>
      </c>
      <c r="DE4">
        <f t="shared" si="1"/>
        <v>100</v>
      </c>
      <c r="DF4">
        <f t="shared" si="1"/>
        <v>101</v>
      </c>
      <c r="DG4">
        <f t="shared" si="1"/>
        <v>102</v>
      </c>
      <c r="DH4">
        <f t="shared" si="1"/>
        <v>103</v>
      </c>
      <c r="DI4">
        <f t="shared" si="1"/>
        <v>104</v>
      </c>
      <c r="DJ4">
        <f t="shared" si="1"/>
        <v>105</v>
      </c>
      <c r="DK4">
        <f t="shared" si="1"/>
        <v>106</v>
      </c>
      <c r="DL4">
        <f t="shared" si="1"/>
        <v>107</v>
      </c>
      <c r="DM4">
        <f t="shared" si="1"/>
        <v>108</v>
      </c>
    </row>
    <row r="5" spans="1:117" ht="13.5" customHeight="1" outlineLevel="1" x14ac:dyDescent="0.15">
      <c r="C5" t="s">
        <v>90</v>
      </c>
      <c r="D5" s="5" t="s">
        <v>22</v>
      </c>
      <c r="E5" s="8">
        <f>Operations!E5</f>
        <v>4</v>
      </c>
      <c r="J5" s="13">
        <f>IF(J4&lt;=$E$5,1,0)</f>
        <v>1</v>
      </c>
      <c r="K5" s="13">
        <f t="shared" ref="K5:BV5" si="2">IF(K4&lt;=$E$5,1,0)</f>
        <v>1</v>
      </c>
      <c r="L5" s="13">
        <f t="shared" si="2"/>
        <v>1</v>
      </c>
      <c r="M5" s="13">
        <f t="shared" si="2"/>
        <v>1</v>
      </c>
      <c r="N5" s="13">
        <f t="shared" si="2"/>
        <v>0</v>
      </c>
      <c r="O5" s="13">
        <f t="shared" si="2"/>
        <v>0</v>
      </c>
      <c r="P5" s="13">
        <f t="shared" si="2"/>
        <v>0</v>
      </c>
      <c r="Q5" s="13">
        <f t="shared" si="2"/>
        <v>0</v>
      </c>
      <c r="R5" s="13">
        <f t="shared" si="2"/>
        <v>0</v>
      </c>
      <c r="S5" s="13">
        <f t="shared" si="2"/>
        <v>0</v>
      </c>
      <c r="T5" s="13">
        <f t="shared" si="2"/>
        <v>0</v>
      </c>
      <c r="U5" s="13">
        <f t="shared" si="2"/>
        <v>0</v>
      </c>
      <c r="V5" s="13">
        <f t="shared" si="2"/>
        <v>0</v>
      </c>
      <c r="W5" s="13">
        <f t="shared" si="2"/>
        <v>0</v>
      </c>
      <c r="X5" s="13">
        <f t="shared" si="2"/>
        <v>0</v>
      </c>
      <c r="Y5" s="13">
        <f t="shared" si="2"/>
        <v>0</v>
      </c>
      <c r="Z5" s="13">
        <f t="shared" si="2"/>
        <v>0</v>
      </c>
      <c r="AA5" s="13">
        <f t="shared" si="2"/>
        <v>0</v>
      </c>
      <c r="AB5" s="13">
        <f t="shared" si="2"/>
        <v>0</v>
      </c>
      <c r="AC5" s="13">
        <f t="shared" si="2"/>
        <v>0</v>
      </c>
      <c r="AD5" s="13">
        <f t="shared" si="2"/>
        <v>0</v>
      </c>
      <c r="AE5" s="13">
        <f t="shared" si="2"/>
        <v>0</v>
      </c>
      <c r="AF5" s="13">
        <f t="shared" si="2"/>
        <v>0</v>
      </c>
      <c r="AG5" s="13">
        <f t="shared" si="2"/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  <c r="AM5" s="13">
        <f t="shared" si="2"/>
        <v>0</v>
      </c>
      <c r="AN5" s="13">
        <f t="shared" si="2"/>
        <v>0</v>
      </c>
      <c r="AO5" s="13">
        <f t="shared" si="2"/>
        <v>0</v>
      </c>
      <c r="AP5" s="13">
        <f t="shared" si="2"/>
        <v>0</v>
      </c>
      <c r="AQ5" s="13">
        <f t="shared" si="2"/>
        <v>0</v>
      </c>
      <c r="AR5" s="13">
        <f t="shared" si="2"/>
        <v>0</v>
      </c>
      <c r="AS5" s="13">
        <f t="shared" si="2"/>
        <v>0</v>
      </c>
      <c r="AT5" s="13">
        <f t="shared" si="2"/>
        <v>0</v>
      </c>
      <c r="AU5" s="13">
        <f t="shared" si="2"/>
        <v>0</v>
      </c>
      <c r="AV5" s="13">
        <f t="shared" si="2"/>
        <v>0</v>
      </c>
      <c r="AW5" s="13">
        <f t="shared" si="2"/>
        <v>0</v>
      </c>
      <c r="AX5" s="13">
        <f t="shared" si="2"/>
        <v>0</v>
      </c>
      <c r="AY5" s="13">
        <f t="shared" si="2"/>
        <v>0</v>
      </c>
      <c r="AZ5" s="13">
        <f t="shared" si="2"/>
        <v>0</v>
      </c>
      <c r="BA5" s="13">
        <f t="shared" si="2"/>
        <v>0</v>
      </c>
      <c r="BB5" s="13">
        <f t="shared" si="2"/>
        <v>0</v>
      </c>
      <c r="BC5" s="13">
        <f t="shared" si="2"/>
        <v>0</v>
      </c>
      <c r="BD5" s="13">
        <f t="shared" si="2"/>
        <v>0</v>
      </c>
      <c r="BE5" s="13">
        <f t="shared" si="2"/>
        <v>0</v>
      </c>
      <c r="BF5" s="13">
        <f t="shared" si="2"/>
        <v>0</v>
      </c>
      <c r="BG5" s="13">
        <f t="shared" si="2"/>
        <v>0</v>
      </c>
      <c r="BH5" s="13">
        <f t="shared" si="2"/>
        <v>0</v>
      </c>
      <c r="BI5" s="13">
        <f t="shared" si="2"/>
        <v>0</v>
      </c>
      <c r="BJ5" s="13">
        <f t="shared" si="2"/>
        <v>0</v>
      </c>
      <c r="BK5" s="13">
        <f t="shared" si="2"/>
        <v>0</v>
      </c>
      <c r="BL5" s="13">
        <f t="shared" si="2"/>
        <v>0</v>
      </c>
      <c r="BM5" s="13">
        <f t="shared" si="2"/>
        <v>0</v>
      </c>
      <c r="BN5" s="13">
        <f t="shared" si="2"/>
        <v>0</v>
      </c>
      <c r="BO5" s="13">
        <f t="shared" si="2"/>
        <v>0</v>
      </c>
      <c r="BP5" s="13">
        <f t="shared" si="2"/>
        <v>0</v>
      </c>
      <c r="BQ5" s="13">
        <f t="shared" si="2"/>
        <v>0</v>
      </c>
      <c r="BR5" s="13">
        <f t="shared" si="2"/>
        <v>0</v>
      </c>
      <c r="BS5" s="13">
        <f t="shared" si="2"/>
        <v>0</v>
      </c>
      <c r="BT5" s="13">
        <f t="shared" si="2"/>
        <v>0</v>
      </c>
      <c r="BU5" s="13">
        <f t="shared" si="2"/>
        <v>0</v>
      </c>
      <c r="BV5" s="13">
        <f t="shared" si="2"/>
        <v>0</v>
      </c>
      <c r="BW5" s="13">
        <f t="shared" ref="BW5:DM5" si="3">IF(BW4&lt;=$E$5,1,0)</f>
        <v>0</v>
      </c>
      <c r="BX5" s="13">
        <f t="shared" si="3"/>
        <v>0</v>
      </c>
      <c r="BY5" s="13">
        <f t="shared" si="3"/>
        <v>0</v>
      </c>
      <c r="BZ5" s="13">
        <f t="shared" si="3"/>
        <v>0</v>
      </c>
      <c r="CA5" s="13">
        <f t="shared" si="3"/>
        <v>0</v>
      </c>
      <c r="CB5" s="13">
        <f t="shared" si="3"/>
        <v>0</v>
      </c>
      <c r="CC5" s="13">
        <f t="shared" si="3"/>
        <v>0</v>
      </c>
      <c r="CD5" s="13">
        <f t="shared" si="3"/>
        <v>0</v>
      </c>
      <c r="CE5" s="13">
        <f t="shared" si="3"/>
        <v>0</v>
      </c>
      <c r="CF5" s="13">
        <f t="shared" si="3"/>
        <v>0</v>
      </c>
      <c r="CG5" s="13">
        <f t="shared" si="3"/>
        <v>0</v>
      </c>
      <c r="CH5" s="13">
        <f t="shared" si="3"/>
        <v>0</v>
      </c>
      <c r="CI5" s="13">
        <f t="shared" si="3"/>
        <v>0</v>
      </c>
      <c r="CJ5" s="13">
        <f t="shared" si="3"/>
        <v>0</v>
      </c>
      <c r="CK5" s="13">
        <f t="shared" si="3"/>
        <v>0</v>
      </c>
      <c r="CL5" s="13">
        <f t="shared" si="3"/>
        <v>0</v>
      </c>
      <c r="CM5" s="13">
        <f t="shared" si="3"/>
        <v>0</v>
      </c>
      <c r="CN5" s="13">
        <f t="shared" si="3"/>
        <v>0</v>
      </c>
      <c r="CO5" s="13">
        <f t="shared" si="3"/>
        <v>0</v>
      </c>
      <c r="CP5" s="13">
        <f t="shared" si="3"/>
        <v>0</v>
      </c>
      <c r="CQ5" s="13">
        <f t="shared" si="3"/>
        <v>0</v>
      </c>
      <c r="CR5" s="13">
        <f t="shared" si="3"/>
        <v>0</v>
      </c>
      <c r="CS5" s="13">
        <f t="shared" si="3"/>
        <v>0</v>
      </c>
      <c r="CT5" s="13">
        <f t="shared" si="3"/>
        <v>0</v>
      </c>
      <c r="CU5" s="13">
        <f t="shared" si="3"/>
        <v>0</v>
      </c>
      <c r="CV5" s="13">
        <f t="shared" si="3"/>
        <v>0</v>
      </c>
      <c r="CW5" s="13">
        <f t="shared" si="3"/>
        <v>0</v>
      </c>
      <c r="CX5" s="13">
        <f t="shared" si="3"/>
        <v>0</v>
      </c>
      <c r="CY5" s="13">
        <f t="shared" si="3"/>
        <v>0</v>
      </c>
      <c r="CZ5" s="13">
        <f t="shared" si="3"/>
        <v>0</v>
      </c>
      <c r="DA5" s="13">
        <f t="shared" si="3"/>
        <v>0</v>
      </c>
      <c r="DB5" s="13">
        <f t="shared" si="3"/>
        <v>0</v>
      </c>
      <c r="DC5" s="13">
        <f t="shared" si="3"/>
        <v>0</v>
      </c>
      <c r="DD5" s="13">
        <f t="shared" si="3"/>
        <v>0</v>
      </c>
      <c r="DE5" s="13">
        <f t="shared" si="3"/>
        <v>0</v>
      </c>
      <c r="DF5" s="13">
        <f t="shared" si="3"/>
        <v>0</v>
      </c>
      <c r="DG5" s="13">
        <f t="shared" si="3"/>
        <v>0</v>
      </c>
      <c r="DH5" s="13">
        <f t="shared" si="3"/>
        <v>0</v>
      </c>
      <c r="DI5" s="13">
        <f t="shared" si="3"/>
        <v>0</v>
      </c>
      <c r="DJ5" s="13">
        <f t="shared" si="3"/>
        <v>0</v>
      </c>
      <c r="DK5" s="13">
        <f t="shared" si="3"/>
        <v>0</v>
      </c>
      <c r="DL5" s="13">
        <f t="shared" si="3"/>
        <v>0</v>
      </c>
      <c r="DM5" s="13">
        <f t="shared" si="3"/>
        <v>0</v>
      </c>
    </row>
    <row r="6" spans="1:117" outlineLevel="1" x14ac:dyDescent="0.15">
      <c r="C6" t="s">
        <v>86</v>
      </c>
      <c r="D6" s="5" t="s">
        <v>22</v>
      </c>
      <c r="E6" s="8">
        <f>Operations!E6</f>
        <v>11</v>
      </c>
      <c r="J6" s="13">
        <f>IF(AND(J4&gt;$E$5,J4&lt;=$E$6+$E$5),1,0)</f>
        <v>0</v>
      </c>
      <c r="K6" s="13">
        <f t="shared" ref="K6:BV6" si="4">IF(AND(K4&gt;$E$5,K4&lt;=$E$6+$E$5),1,0)</f>
        <v>0</v>
      </c>
      <c r="L6" s="13">
        <f t="shared" si="4"/>
        <v>0</v>
      </c>
      <c r="M6" s="13">
        <f t="shared" si="4"/>
        <v>0</v>
      </c>
      <c r="N6" s="13">
        <f t="shared" si="4"/>
        <v>1</v>
      </c>
      <c r="O6" s="13">
        <f t="shared" si="4"/>
        <v>1</v>
      </c>
      <c r="P6" s="13">
        <f t="shared" si="4"/>
        <v>1</v>
      </c>
      <c r="Q6" s="13">
        <f t="shared" si="4"/>
        <v>1</v>
      </c>
      <c r="R6" s="13">
        <f t="shared" si="4"/>
        <v>1</v>
      </c>
      <c r="S6" s="13">
        <f t="shared" si="4"/>
        <v>1</v>
      </c>
      <c r="T6" s="13">
        <f t="shared" si="4"/>
        <v>1</v>
      </c>
      <c r="U6" s="13">
        <f t="shared" si="4"/>
        <v>1</v>
      </c>
      <c r="V6" s="13">
        <f t="shared" si="4"/>
        <v>1</v>
      </c>
      <c r="W6" s="13">
        <f t="shared" si="4"/>
        <v>1</v>
      </c>
      <c r="X6" s="13">
        <f t="shared" si="4"/>
        <v>1</v>
      </c>
      <c r="Y6" s="13">
        <f t="shared" si="4"/>
        <v>0</v>
      </c>
      <c r="Z6" s="13">
        <f t="shared" si="4"/>
        <v>0</v>
      </c>
      <c r="AA6" s="13">
        <f t="shared" si="4"/>
        <v>0</v>
      </c>
      <c r="AB6" s="13">
        <f t="shared" si="4"/>
        <v>0</v>
      </c>
      <c r="AC6" s="13">
        <f t="shared" si="4"/>
        <v>0</v>
      </c>
      <c r="AD6" s="13">
        <f t="shared" si="4"/>
        <v>0</v>
      </c>
      <c r="AE6" s="13">
        <f t="shared" si="4"/>
        <v>0</v>
      </c>
      <c r="AF6" s="13">
        <f t="shared" si="4"/>
        <v>0</v>
      </c>
      <c r="AG6" s="13">
        <f t="shared" si="4"/>
        <v>0</v>
      </c>
      <c r="AH6" s="13">
        <f t="shared" si="4"/>
        <v>0</v>
      </c>
      <c r="AI6" s="13">
        <f t="shared" si="4"/>
        <v>0</v>
      </c>
      <c r="AJ6" s="13">
        <f t="shared" si="4"/>
        <v>0</v>
      </c>
      <c r="AK6" s="13">
        <f t="shared" si="4"/>
        <v>0</v>
      </c>
      <c r="AL6" s="13">
        <f t="shared" si="4"/>
        <v>0</v>
      </c>
      <c r="AM6" s="13">
        <f t="shared" si="4"/>
        <v>0</v>
      </c>
      <c r="AN6" s="13">
        <f t="shared" si="4"/>
        <v>0</v>
      </c>
      <c r="AO6" s="13">
        <f t="shared" si="4"/>
        <v>0</v>
      </c>
      <c r="AP6" s="13">
        <f t="shared" si="4"/>
        <v>0</v>
      </c>
      <c r="AQ6" s="13">
        <f t="shared" si="4"/>
        <v>0</v>
      </c>
      <c r="AR6" s="13">
        <f t="shared" si="4"/>
        <v>0</v>
      </c>
      <c r="AS6" s="13">
        <f t="shared" si="4"/>
        <v>0</v>
      </c>
      <c r="AT6" s="13">
        <f t="shared" si="4"/>
        <v>0</v>
      </c>
      <c r="AU6" s="13">
        <f t="shared" si="4"/>
        <v>0</v>
      </c>
      <c r="AV6" s="13">
        <f t="shared" si="4"/>
        <v>0</v>
      </c>
      <c r="AW6" s="13">
        <f t="shared" si="4"/>
        <v>0</v>
      </c>
      <c r="AX6" s="13">
        <f t="shared" si="4"/>
        <v>0</v>
      </c>
      <c r="AY6" s="13">
        <f t="shared" si="4"/>
        <v>0</v>
      </c>
      <c r="AZ6" s="13">
        <f t="shared" si="4"/>
        <v>0</v>
      </c>
      <c r="BA6" s="13">
        <f t="shared" si="4"/>
        <v>0</v>
      </c>
      <c r="BB6" s="13">
        <f t="shared" si="4"/>
        <v>0</v>
      </c>
      <c r="BC6" s="13">
        <f t="shared" si="4"/>
        <v>0</v>
      </c>
      <c r="BD6" s="13">
        <f t="shared" si="4"/>
        <v>0</v>
      </c>
      <c r="BE6" s="13">
        <f t="shared" si="4"/>
        <v>0</v>
      </c>
      <c r="BF6" s="13">
        <f t="shared" si="4"/>
        <v>0</v>
      </c>
      <c r="BG6" s="13">
        <f t="shared" si="4"/>
        <v>0</v>
      </c>
      <c r="BH6" s="13">
        <f t="shared" si="4"/>
        <v>0</v>
      </c>
      <c r="BI6" s="13">
        <f t="shared" si="4"/>
        <v>0</v>
      </c>
      <c r="BJ6" s="13">
        <f t="shared" si="4"/>
        <v>0</v>
      </c>
      <c r="BK6" s="13">
        <f t="shared" si="4"/>
        <v>0</v>
      </c>
      <c r="BL6" s="13">
        <f t="shared" si="4"/>
        <v>0</v>
      </c>
      <c r="BM6" s="13">
        <f t="shared" si="4"/>
        <v>0</v>
      </c>
      <c r="BN6" s="13">
        <f t="shared" si="4"/>
        <v>0</v>
      </c>
      <c r="BO6" s="13">
        <f t="shared" si="4"/>
        <v>0</v>
      </c>
      <c r="BP6" s="13">
        <f t="shared" si="4"/>
        <v>0</v>
      </c>
      <c r="BQ6" s="13">
        <f t="shared" si="4"/>
        <v>0</v>
      </c>
      <c r="BR6" s="13">
        <f t="shared" si="4"/>
        <v>0</v>
      </c>
      <c r="BS6" s="13">
        <f t="shared" si="4"/>
        <v>0</v>
      </c>
      <c r="BT6" s="13">
        <f t="shared" si="4"/>
        <v>0</v>
      </c>
      <c r="BU6" s="13">
        <f t="shared" si="4"/>
        <v>0</v>
      </c>
      <c r="BV6" s="13">
        <f t="shared" si="4"/>
        <v>0</v>
      </c>
      <c r="BW6" s="13">
        <f t="shared" ref="BW6:DM6" si="5">IF(AND(BW4&gt;$E$5,BW4&lt;=$E$6+$E$5),1,0)</f>
        <v>0</v>
      </c>
      <c r="BX6" s="13">
        <f t="shared" si="5"/>
        <v>0</v>
      </c>
      <c r="BY6" s="13">
        <f t="shared" si="5"/>
        <v>0</v>
      </c>
      <c r="BZ6" s="13">
        <f t="shared" si="5"/>
        <v>0</v>
      </c>
      <c r="CA6" s="13">
        <f t="shared" si="5"/>
        <v>0</v>
      </c>
      <c r="CB6" s="13">
        <f t="shared" si="5"/>
        <v>0</v>
      </c>
      <c r="CC6" s="13">
        <f t="shared" si="5"/>
        <v>0</v>
      </c>
      <c r="CD6" s="13">
        <f t="shared" si="5"/>
        <v>0</v>
      </c>
      <c r="CE6" s="13">
        <f t="shared" si="5"/>
        <v>0</v>
      </c>
      <c r="CF6" s="13">
        <f t="shared" si="5"/>
        <v>0</v>
      </c>
      <c r="CG6" s="13">
        <f t="shared" si="5"/>
        <v>0</v>
      </c>
      <c r="CH6" s="13">
        <f t="shared" si="5"/>
        <v>0</v>
      </c>
      <c r="CI6" s="13">
        <f t="shared" si="5"/>
        <v>0</v>
      </c>
      <c r="CJ6" s="13">
        <f t="shared" si="5"/>
        <v>0</v>
      </c>
      <c r="CK6" s="13">
        <f t="shared" si="5"/>
        <v>0</v>
      </c>
      <c r="CL6" s="13">
        <f t="shared" si="5"/>
        <v>0</v>
      </c>
      <c r="CM6" s="13">
        <f t="shared" si="5"/>
        <v>0</v>
      </c>
      <c r="CN6" s="13">
        <f t="shared" si="5"/>
        <v>0</v>
      </c>
      <c r="CO6" s="13">
        <f t="shared" si="5"/>
        <v>0</v>
      </c>
      <c r="CP6" s="13">
        <f t="shared" si="5"/>
        <v>0</v>
      </c>
      <c r="CQ6" s="13">
        <f t="shared" si="5"/>
        <v>0</v>
      </c>
      <c r="CR6" s="13">
        <f t="shared" si="5"/>
        <v>0</v>
      </c>
      <c r="CS6" s="13">
        <f t="shared" si="5"/>
        <v>0</v>
      </c>
      <c r="CT6" s="13">
        <f t="shared" si="5"/>
        <v>0</v>
      </c>
      <c r="CU6" s="13">
        <f t="shared" si="5"/>
        <v>0</v>
      </c>
      <c r="CV6" s="13">
        <f t="shared" si="5"/>
        <v>0</v>
      </c>
      <c r="CW6" s="13">
        <f t="shared" si="5"/>
        <v>0</v>
      </c>
      <c r="CX6" s="13">
        <f t="shared" si="5"/>
        <v>0</v>
      </c>
      <c r="CY6" s="13">
        <f t="shared" si="5"/>
        <v>0</v>
      </c>
      <c r="CZ6" s="13">
        <f t="shared" si="5"/>
        <v>0</v>
      </c>
      <c r="DA6" s="13">
        <f t="shared" si="5"/>
        <v>0</v>
      </c>
      <c r="DB6" s="13">
        <f t="shared" si="5"/>
        <v>0</v>
      </c>
      <c r="DC6" s="13">
        <f t="shared" si="5"/>
        <v>0</v>
      </c>
      <c r="DD6" s="13">
        <f t="shared" si="5"/>
        <v>0</v>
      </c>
      <c r="DE6" s="13">
        <f t="shared" si="5"/>
        <v>0</v>
      </c>
      <c r="DF6" s="13">
        <f t="shared" si="5"/>
        <v>0</v>
      </c>
      <c r="DG6" s="13">
        <f t="shared" si="5"/>
        <v>0</v>
      </c>
      <c r="DH6" s="13">
        <f t="shared" si="5"/>
        <v>0</v>
      </c>
      <c r="DI6" s="13">
        <f t="shared" si="5"/>
        <v>0</v>
      </c>
      <c r="DJ6" s="13">
        <f t="shared" si="5"/>
        <v>0</v>
      </c>
      <c r="DK6" s="13">
        <f t="shared" si="5"/>
        <v>0</v>
      </c>
      <c r="DL6" s="13">
        <f t="shared" si="5"/>
        <v>0</v>
      </c>
      <c r="DM6" s="13">
        <f t="shared" si="5"/>
        <v>0</v>
      </c>
    </row>
    <row r="7" spans="1:117" outlineLevel="1" x14ac:dyDescent="0.15"/>
    <row r="8" spans="1:117" outlineLevel="1" x14ac:dyDescent="0.15">
      <c r="C8" t="s">
        <v>47</v>
      </c>
      <c r="J8" s="19">
        <f>(J6+I8)*J6</f>
        <v>0</v>
      </c>
      <c r="K8" s="19">
        <f t="shared" ref="K8:BV8" si="6">(K6+J8)*K6</f>
        <v>0</v>
      </c>
      <c r="L8" s="19">
        <f t="shared" si="6"/>
        <v>0</v>
      </c>
      <c r="M8" s="19">
        <f t="shared" si="6"/>
        <v>0</v>
      </c>
      <c r="N8" s="19">
        <f t="shared" si="6"/>
        <v>1</v>
      </c>
      <c r="O8" s="19">
        <f t="shared" si="6"/>
        <v>2</v>
      </c>
      <c r="P8" s="19">
        <f t="shared" si="6"/>
        <v>3</v>
      </c>
      <c r="Q8" s="19">
        <f t="shared" si="6"/>
        <v>4</v>
      </c>
      <c r="R8" s="19">
        <f t="shared" si="6"/>
        <v>5</v>
      </c>
      <c r="S8" s="19">
        <f t="shared" si="6"/>
        <v>6</v>
      </c>
      <c r="T8" s="19">
        <f t="shared" si="6"/>
        <v>7</v>
      </c>
      <c r="U8" s="19">
        <f t="shared" si="6"/>
        <v>8</v>
      </c>
      <c r="V8" s="19">
        <f t="shared" si="6"/>
        <v>9</v>
      </c>
      <c r="W8" s="19">
        <f t="shared" si="6"/>
        <v>10</v>
      </c>
      <c r="X8" s="19">
        <f t="shared" si="6"/>
        <v>11</v>
      </c>
      <c r="Y8" s="19">
        <f t="shared" si="6"/>
        <v>0</v>
      </c>
      <c r="Z8" s="19">
        <f t="shared" si="6"/>
        <v>0</v>
      </c>
      <c r="AA8" s="19">
        <f t="shared" si="6"/>
        <v>0</v>
      </c>
      <c r="AB8" s="19">
        <f t="shared" si="6"/>
        <v>0</v>
      </c>
      <c r="AC8" s="19">
        <f t="shared" si="6"/>
        <v>0</v>
      </c>
      <c r="AD8" s="19">
        <f t="shared" si="6"/>
        <v>0</v>
      </c>
      <c r="AE8" s="19">
        <f t="shared" si="6"/>
        <v>0</v>
      </c>
      <c r="AF8" s="19">
        <f t="shared" si="6"/>
        <v>0</v>
      </c>
      <c r="AG8" s="19">
        <f t="shared" si="6"/>
        <v>0</v>
      </c>
      <c r="AH8" s="19">
        <f t="shared" si="6"/>
        <v>0</v>
      </c>
      <c r="AI8" s="19">
        <f t="shared" si="6"/>
        <v>0</v>
      </c>
      <c r="AJ8" s="19">
        <f t="shared" si="6"/>
        <v>0</v>
      </c>
      <c r="AK8" s="19">
        <f t="shared" si="6"/>
        <v>0</v>
      </c>
      <c r="AL8" s="19">
        <f t="shared" si="6"/>
        <v>0</v>
      </c>
      <c r="AM8" s="19">
        <f t="shared" si="6"/>
        <v>0</v>
      </c>
      <c r="AN8" s="19">
        <f t="shared" si="6"/>
        <v>0</v>
      </c>
      <c r="AO8" s="19">
        <f t="shared" si="6"/>
        <v>0</v>
      </c>
      <c r="AP8" s="19">
        <f t="shared" si="6"/>
        <v>0</v>
      </c>
      <c r="AQ8" s="19">
        <f t="shared" si="6"/>
        <v>0</v>
      </c>
      <c r="AR8" s="19">
        <f t="shared" si="6"/>
        <v>0</v>
      </c>
      <c r="AS8" s="19">
        <f t="shared" si="6"/>
        <v>0</v>
      </c>
      <c r="AT8" s="19">
        <f t="shared" si="6"/>
        <v>0</v>
      </c>
      <c r="AU8" s="19">
        <f t="shared" si="6"/>
        <v>0</v>
      </c>
      <c r="AV8" s="19">
        <f t="shared" si="6"/>
        <v>0</v>
      </c>
      <c r="AW8" s="19">
        <f t="shared" si="6"/>
        <v>0</v>
      </c>
      <c r="AX8" s="19">
        <f t="shared" si="6"/>
        <v>0</v>
      </c>
      <c r="AY8" s="19">
        <f t="shared" si="6"/>
        <v>0</v>
      </c>
      <c r="AZ8" s="19">
        <f t="shared" si="6"/>
        <v>0</v>
      </c>
      <c r="BA8" s="19">
        <f t="shared" si="6"/>
        <v>0</v>
      </c>
      <c r="BB8" s="19">
        <f t="shared" si="6"/>
        <v>0</v>
      </c>
      <c r="BC8" s="19">
        <f t="shared" si="6"/>
        <v>0</v>
      </c>
      <c r="BD8" s="19">
        <f t="shared" si="6"/>
        <v>0</v>
      </c>
      <c r="BE8" s="19">
        <f t="shared" si="6"/>
        <v>0</v>
      </c>
      <c r="BF8" s="19">
        <f t="shared" si="6"/>
        <v>0</v>
      </c>
      <c r="BG8" s="19">
        <f t="shared" si="6"/>
        <v>0</v>
      </c>
      <c r="BH8" s="19">
        <f t="shared" si="6"/>
        <v>0</v>
      </c>
      <c r="BI8" s="19">
        <f t="shared" si="6"/>
        <v>0</v>
      </c>
      <c r="BJ8" s="19">
        <f t="shared" si="6"/>
        <v>0</v>
      </c>
      <c r="BK8" s="19">
        <f t="shared" si="6"/>
        <v>0</v>
      </c>
      <c r="BL8" s="19">
        <f t="shared" si="6"/>
        <v>0</v>
      </c>
      <c r="BM8" s="19">
        <f t="shared" si="6"/>
        <v>0</v>
      </c>
      <c r="BN8" s="19">
        <f t="shared" si="6"/>
        <v>0</v>
      </c>
      <c r="BO8" s="19">
        <f t="shared" si="6"/>
        <v>0</v>
      </c>
      <c r="BP8" s="19">
        <f t="shared" si="6"/>
        <v>0</v>
      </c>
      <c r="BQ8" s="19">
        <f t="shared" si="6"/>
        <v>0</v>
      </c>
      <c r="BR8" s="19">
        <f t="shared" si="6"/>
        <v>0</v>
      </c>
      <c r="BS8" s="19">
        <f t="shared" si="6"/>
        <v>0</v>
      </c>
      <c r="BT8" s="19">
        <f t="shared" si="6"/>
        <v>0</v>
      </c>
      <c r="BU8" s="19">
        <f t="shared" si="6"/>
        <v>0</v>
      </c>
      <c r="BV8" s="19">
        <f t="shared" si="6"/>
        <v>0</v>
      </c>
      <c r="BW8" s="19">
        <f t="shared" ref="BW8:DM8" si="7">(BW6+BV8)*BW6</f>
        <v>0</v>
      </c>
      <c r="BX8" s="19">
        <f t="shared" si="7"/>
        <v>0</v>
      </c>
      <c r="BY8" s="19">
        <f t="shared" si="7"/>
        <v>0</v>
      </c>
      <c r="BZ8" s="19">
        <f t="shared" si="7"/>
        <v>0</v>
      </c>
      <c r="CA8" s="19">
        <f t="shared" si="7"/>
        <v>0</v>
      </c>
      <c r="CB8" s="19">
        <f t="shared" si="7"/>
        <v>0</v>
      </c>
      <c r="CC8" s="19">
        <f t="shared" si="7"/>
        <v>0</v>
      </c>
      <c r="CD8" s="19">
        <f t="shared" si="7"/>
        <v>0</v>
      </c>
      <c r="CE8" s="19">
        <f t="shared" si="7"/>
        <v>0</v>
      </c>
      <c r="CF8" s="19">
        <f t="shared" si="7"/>
        <v>0</v>
      </c>
      <c r="CG8" s="19">
        <f t="shared" si="7"/>
        <v>0</v>
      </c>
      <c r="CH8" s="19">
        <f t="shared" si="7"/>
        <v>0</v>
      </c>
      <c r="CI8" s="19">
        <f t="shared" si="7"/>
        <v>0</v>
      </c>
      <c r="CJ8" s="19">
        <f t="shared" si="7"/>
        <v>0</v>
      </c>
      <c r="CK8" s="19">
        <f t="shared" si="7"/>
        <v>0</v>
      </c>
      <c r="CL8" s="19">
        <f t="shared" si="7"/>
        <v>0</v>
      </c>
      <c r="CM8" s="19">
        <f t="shared" si="7"/>
        <v>0</v>
      </c>
      <c r="CN8" s="19">
        <f t="shared" si="7"/>
        <v>0</v>
      </c>
      <c r="CO8" s="19">
        <f t="shared" si="7"/>
        <v>0</v>
      </c>
      <c r="CP8" s="19">
        <f t="shared" si="7"/>
        <v>0</v>
      </c>
      <c r="CQ8" s="19">
        <f t="shared" si="7"/>
        <v>0</v>
      </c>
      <c r="CR8" s="19">
        <f t="shared" si="7"/>
        <v>0</v>
      </c>
      <c r="CS8" s="19">
        <f t="shared" si="7"/>
        <v>0</v>
      </c>
      <c r="CT8" s="19">
        <f t="shared" si="7"/>
        <v>0</v>
      </c>
      <c r="CU8" s="19">
        <f t="shared" si="7"/>
        <v>0</v>
      </c>
      <c r="CV8" s="19">
        <f t="shared" si="7"/>
        <v>0</v>
      </c>
      <c r="CW8" s="19">
        <f t="shared" si="7"/>
        <v>0</v>
      </c>
      <c r="CX8" s="19">
        <f t="shared" si="7"/>
        <v>0</v>
      </c>
      <c r="CY8" s="19">
        <f t="shared" si="7"/>
        <v>0</v>
      </c>
      <c r="CZ8" s="19">
        <f t="shared" si="7"/>
        <v>0</v>
      </c>
      <c r="DA8" s="19">
        <f t="shared" si="7"/>
        <v>0</v>
      </c>
      <c r="DB8" s="19">
        <f t="shared" si="7"/>
        <v>0</v>
      </c>
      <c r="DC8" s="19">
        <f t="shared" si="7"/>
        <v>0</v>
      </c>
      <c r="DD8" s="19">
        <f t="shared" si="7"/>
        <v>0</v>
      </c>
      <c r="DE8" s="19">
        <f t="shared" si="7"/>
        <v>0</v>
      </c>
      <c r="DF8" s="19">
        <f t="shared" si="7"/>
        <v>0</v>
      </c>
      <c r="DG8" s="19">
        <f t="shared" si="7"/>
        <v>0</v>
      </c>
      <c r="DH8" s="19">
        <f t="shared" si="7"/>
        <v>0</v>
      </c>
      <c r="DI8" s="19">
        <f t="shared" si="7"/>
        <v>0</v>
      </c>
      <c r="DJ8" s="19">
        <f t="shared" si="7"/>
        <v>0</v>
      </c>
      <c r="DK8" s="19">
        <f t="shared" si="7"/>
        <v>0</v>
      </c>
      <c r="DL8" s="19">
        <f t="shared" si="7"/>
        <v>0</v>
      </c>
      <c r="DM8" s="19">
        <f t="shared" si="7"/>
        <v>0</v>
      </c>
    </row>
    <row r="10" spans="1:117" ht="20" x14ac:dyDescent="0.2">
      <c r="C10" s="4" t="s">
        <v>24</v>
      </c>
    </row>
    <row r="11" spans="1:117" outlineLevel="1" x14ac:dyDescent="0.15">
      <c r="C11" t="s">
        <v>64</v>
      </c>
      <c r="D11" s="5" t="s">
        <v>167</v>
      </c>
      <c r="I11" s="35">
        <f t="shared" ref="I11:I18" si="8">SUM(J11:DM11)</f>
        <v>25384207333.333332</v>
      </c>
      <c r="J11" s="19">
        <f>'Financials &amp; Metrics'!J12</f>
        <v>0</v>
      </c>
      <c r="K11" s="19">
        <f>'Financials &amp; Metrics'!K12</f>
        <v>0</v>
      </c>
      <c r="L11" s="19">
        <f>'Financials &amp; Metrics'!L12</f>
        <v>0</v>
      </c>
      <c r="M11" s="19">
        <f>'Financials &amp; Metrics'!M12</f>
        <v>0</v>
      </c>
      <c r="N11" s="19">
        <f>'Financials &amp; Metrics'!N12</f>
        <v>2836526000</v>
      </c>
      <c r="O11" s="19">
        <f>'Financials &amp; Metrics'!O12</f>
        <v>3157744666.6666665</v>
      </c>
      <c r="P11" s="19">
        <f>'Financials &amp; Metrics'!P12</f>
        <v>3228812666.6666665</v>
      </c>
      <c r="Q11" s="19">
        <f>'Financials &amp; Metrics'!Q12</f>
        <v>3223488000</v>
      </c>
      <c r="R11" s="19">
        <f>'Financials &amp; Metrics'!R12</f>
        <v>3224031333.3333335</v>
      </c>
      <c r="S11" s="19">
        <f>'Financials &amp; Metrics'!S12</f>
        <v>1688027999.9999998</v>
      </c>
      <c r="T11" s="19">
        <f>'Financials &amp; Metrics'!T12</f>
        <v>1823970000</v>
      </c>
      <c r="U11" s="19">
        <f>'Financials &amp; Metrics'!U12</f>
        <v>1967844666.6666667</v>
      </c>
      <c r="V11" s="19">
        <f>'Financials &amp; Metrics'!V12</f>
        <v>1673249333.333333</v>
      </c>
      <c r="W11" s="19">
        <f>'Financials &amp; Metrics'!W12</f>
        <v>1711500000.0000002</v>
      </c>
      <c r="X11" s="19">
        <f>'Financials &amp; Metrics'!X12</f>
        <v>849012666.66666663</v>
      </c>
      <c r="Y11" s="19">
        <f>'Financials &amp; Metrics'!Y12</f>
        <v>0</v>
      </c>
      <c r="Z11" s="19">
        <f>'Financials &amp; Metrics'!Z12</f>
        <v>0</v>
      </c>
      <c r="AA11" s="19">
        <f>'Financials &amp; Metrics'!AA12</f>
        <v>0</v>
      </c>
      <c r="AB11" s="19">
        <f>'Financials &amp; Metrics'!AB12</f>
        <v>0</v>
      </c>
      <c r="AC11" s="19">
        <f>'Financials &amp; Metrics'!AC12</f>
        <v>0</v>
      </c>
      <c r="AD11" s="19">
        <f>'Financials &amp; Metrics'!AD12</f>
        <v>0</v>
      </c>
      <c r="AE11" s="19">
        <f>'Financials &amp; Metrics'!AE12</f>
        <v>0</v>
      </c>
      <c r="AF11" s="19">
        <f>'Financials &amp; Metrics'!AF12</f>
        <v>0</v>
      </c>
      <c r="AG11" s="19">
        <f>'Financials &amp; Metrics'!AG12</f>
        <v>0</v>
      </c>
      <c r="AH11" s="19">
        <f>'Financials &amp; Metrics'!AH12</f>
        <v>0</v>
      </c>
      <c r="AI11" s="19">
        <f>'Financials &amp; Metrics'!AI12</f>
        <v>0</v>
      </c>
      <c r="AJ11" s="19">
        <f>'Financials &amp; Metrics'!AJ12</f>
        <v>0</v>
      </c>
      <c r="AK11" s="19">
        <f>'Financials &amp; Metrics'!AK12</f>
        <v>0</v>
      </c>
      <c r="AL11" s="19">
        <f>'Financials &amp; Metrics'!AL12</f>
        <v>0</v>
      </c>
      <c r="AM11" s="19">
        <f>'Financials &amp; Metrics'!AM12</f>
        <v>0</v>
      </c>
      <c r="AN11" s="19">
        <f>'Financials &amp; Metrics'!AN12</f>
        <v>0</v>
      </c>
      <c r="AO11" s="19">
        <f>'Financials &amp; Metrics'!AO12</f>
        <v>0</v>
      </c>
      <c r="AP11" s="19">
        <f>'Financials &amp; Metrics'!AP12</f>
        <v>0</v>
      </c>
      <c r="AQ11" s="19">
        <f>'Financials &amp; Metrics'!AQ12</f>
        <v>0</v>
      </c>
      <c r="AR11" s="19">
        <f>'Financials &amp; Metrics'!AR12</f>
        <v>0</v>
      </c>
      <c r="AS11" s="19">
        <f>'Financials &amp; Metrics'!AS12</f>
        <v>0</v>
      </c>
      <c r="AT11" s="19">
        <f>'Financials &amp; Metrics'!AT12</f>
        <v>0</v>
      </c>
      <c r="AU11" s="19">
        <f>'Financials &amp; Metrics'!AU12</f>
        <v>0</v>
      </c>
      <c r="AV11" s="19">
        <f>'Financials &amp; Metrics'!AV12</f>
        <v>0</v>
      </c>
      <c r="AW11" s="19">
        <f>'Financials &amp; Metrics'!AW12</f>
        <v>0</v>
      </c>
      <c r="AX11" s="19">
        <f>'Financials &amp; Metrics'!AX12</f>
        <v>0</v>
      </c>
      <c r="AY11" s="19">
        <f>'Financials &amp; Metrics'!AY12</f>
        <v>0</v>
      </c>
      <c r="AZ11" s="19">
        <f>'Financials &amp; Metrics'!AZ12</f>
        <v>0</v>
      </c>
      <c r="BA11" s="19">
        <f>'Financials &amp; Metrics'!BA12</f>
        <v>0</v>
      </c>
      <c r="BB11" s="19">
        <f>'Financials &amp; Metrics'!BB12</f>
        <v>0</v>
      </c>
      <c r="BC11" s="19">
        <f>'Financials &amp; Metrics'!BC12</f>
        <v>0</v>
      </c>
      <c r="BD11" s="19">
        <f>'Financials &amp; Metrics'!BD12</f>
        <v>0</v>
      </c>
      <c r="BE11" s="19">
        <f>'Financials &amp; Metrics'!BE12</f>
        <v>0</v>
      </c>
      <c r="BF11" s="19">
        <f>'Financials &amp; Metrics'!BF12</f>
        <v>0</v>
      </c>
      <c r="BG11" s="19">
        <f>'Financials &amp; Metrics'!BG12</f>
        <v>0</v>
      </c>
      <c r="BH11" s="19">
        <f>'Financials &amp; Metrics'!BH12</f>
        <v>0</v>
      </c>
      <c r="BI11" s="19">
        <f>'Financials &amp; Metrics'!BI12</f>
        <v>0</v>
      </c>
      <c r="BJ11" s="19">
        <f>'Financials &amp; Metrics'!BJ12</f>
        <v>0</v>
      </c>
      <c r="BK11" s="19">
        <f>'Financials &amp; Metrics'!BK12</f>
        <v>0</v>
      </c>
      <c r="BL11" s="19">
        <f>'Financials &amp; Metrics'!BL12</f>
        <v>0</v>
      </c>
      <c r="BM11" s="19">
        <f>'Financials &amp; Metrics'!BM12</f>
        <v>0</v>
      </c>
      <c r="BN11" s="19">
        <f>'Financials &amp; Metrics'!BN12</f>
        <v>0</v>
      </c>
      <c r="BO11" s="19">
        <f>'Financials &amp; Metrics'!BO12</f>
        <v>0</v>
      </c>
      <c r="BP11" s="19">
        <f>'Financials &amp; Metrics'!BP12</f>
        <v>0</v>
      </c>
      <c r="BQ11" s="19">
        <f>'Financials &amp; Metrics'!BQ12</f>
        <v>0</v>
      </c>
      <c r="BR11" s="19">
        <f>'Financials &amp; Metrics'!BR12</f>
        <v>0</v>
      </c>
      <c r="BS11" s="19">
        <f>'Financials &amp; Metrics'!BS12</f>
        <v>0</v>
      </c>
      <c r="BT11" s="19">
        <f>'Financials &amp; Metrics'!BT12</f>
        <v>0</v>
      </c>
      <c r="BU11" s="19">
        <f>'Financials &amp; Metrics'!BU12</f>
        <v>0</v>
      </c>
      <c r="BV11" s="19">
        <f>'Financials &amp; Metrics'!BV12</f>
        <v>0</v>
      </c>
      <c r="BW11" s="19">
        <f>'Financials &amp; Metrics'!BW12</f>
        <v>0</v>
      </c>
      <c r="BX11" s="19">
        <f>'Financials &amp; Metrics'!BX12</f>
        <v>0</v>
      </c>
      <c r="BY11" s="19">
        <f>'Financials &amp; Metrics'!BY12</f>
        <v>0</v>
      </c>
      <c r="BZ11" s="19">
        <f>'Financials &amp; Metrics'!BZ12</f>
        <v>0</v>
      </c>
      <c r="CA11" s="19">
        <f>'Financials &amp; Metrics'!CA12</f>
        <v>0</v>
      </c>
      <c r="CB11" s="19">
        <f>'Financials &amp; Metrics'!CB12</f>
        <v>0</v>
      </c>
      <c r="CC11" s="19">
        <f>'Financials &amp; Metrics'!CC12</f>
        <v>0</v>
      </c>
      <c r="CD11" s="19">
        <f>'Financials &amp; Metrics'!CD12</f>
        <v>0</v>
      </c>
      <c r="CE11" s="19">
        <f>'Financials &amp; Metrics'!CE12</f>
        <v>0</v>
      </c>
      <c r="CF11" s="19">
        <f>'Financials &amp; Metrics'!CF12</f>
        <v>0</v>
      </c>
      <c r="CG11" s="19">
        <f>'Financials &amp; Metrics'!CG12</f>
        <v>0</v>
      </c>
      <c r="CH11" s="19">
        <f>'Financials &amp; Metrics'!CH12</f>
        <v>0</v>
      </c>
      <c r="CI11" s="19">
        <f>'Financials &amp; Metrics'!CI12</f>
        <v>0</v>
      </c>
      <c r="CJ11" s="19">
        <f>'Financials &amp; Metrics'!CJ12</f>
        <v>0</v>
      </c>
      <c r="CK11" s="19">
        <f>'Financials &amp; Metrics'!CK12</f>
        <v>0</v>
      </c>
      <c r="CL11" s="19">
        <f>'Financials &amp; Metrics'!CL12</f>
        <v>0</v>
      </c>
      <c r="CM11" s="19">
        <f>'Financials &amp; Metrics'!CM12</f>
        <v>0</v>
      </c>
      <c r="CN11" s="19">
        <f>'Financials &amp; Metrics'!CN12</f>
        <v>0</v>
      </c>
      <c r="CO11" s="19">
        <f>'Financials &amp; Metrics'!CO12</f>
        <v>0</v>
      </c>
      <c r="CP11" s="19">
        <f>'Financials &amp; Metrics'!CP12</f>
        <v>0</v>
      </c>
      <c r="CQ11" s="19">
        <f>'Financials &amp; Metrics'!CQ12</f>
        <v>0</v>
      </c>
      <c r="CR11" s="19">
        <f>'Financials &amp; Metrics'!CR12</f>
        <v>0</v>
      </c>
      <c r="CS11" s="19">
        <f>'Financials &amp; Metrics'!CS12</f>
        <v>0</v>
      </c>
      <c r="CT11" s="19">
        <f>'Financials &amp; Metrics'!CT12</f>
        <v>0</v>
      </c>
      <c r="CU11" s="19">
        <f>'Financials &amp; Metrics'!CU12</f>
        <v>0</v>
      </c>
      <c r="CV11" s="19">
        <f>'Financials &amp; Metrics'!CV12</f>
        <v>0</v>
      </c>
      <c r="CW11" s="19">
        <f>'Financials &amp; Metrics'!CW12</f>
        <v>0</v>
      </c>
      <c r="CX11" s="19">
        <f>'Financials &amp; Metrics'!CX12</f>
        <v>0</v>
      </c>
      <c r="CY11" s="19">
        <f>'Financials &amp; Metrics'!CY12</f>
        <v>0</v>
      </c>
      <c r="CZ11" s="19">
        <f>'Financials &amp; Metrics'!CZ12</f>
        <v>0</v>
      </c>
      <c r="DA11" s="19">
        <f>'Financials &amp; Metrics'!DA12</f>
        <v>0</v>
      </c>
      <c r="DB11" s="19">
        <f>'Financials &amp; Metrics'!DB12</f>
        <v>0</v>
      </c>
      <c r="DC11" s="19">
        <f>'Financials &amp; Metrics'!DC12</f>
        <v>0</v>
      </c>
      <c r="DD11" s="19">
        <f>'Financials &amp; Metrics'!DD12</f>
        <v>0</v>
      </c>
      <c r="DE11" s="19">
        <f>'Financials &amp; Metrics'!DE12</f>
        <v>0</v>
      </c>
      <c r="DF11" s="19">
        <f>'Financials &amp; Metrics'!DF12</f>
        <v>0</v>
      </c>
      <c r="DG11" s="19">
        <f>'Financials &amp; Metrics'!DG12</f>
        <v>0</v>
      </c>
      <c r="DH11" s="19">
        <f>'Financials &amp; Metrics'!DH12</f>
        <v>0</v>
      </c>
      <c r="DI11" s="19">
        <f>'Financials &amp; Metrics'!DI12</f>
        <v>0</v>
      </c>
      <c r="DJ11" s="19">
        <f>'Financials &amp; Metrics'!DJ12</f>
        <v>0</v>
      </c>
      <c r="DK11" s="19">
        <f>'Financials &amp; Metrics'!DK12</f>
        <v>0</v>
      </c>
      <c r="DL11" s="19">
        <f>'Financials &amp; Metrics'!DL12</f>
        <v>0</v>
      </c>
      <c r="DM11" s="19">
        <f>'Financials &amp; Metrics'!DM12</f>
        <v>0</v>
      </c>
    </row>
    <row r="12" spans="1:117" outlineLevel="1" x14ac:dyDescent="0.15">
      <c r="C12" t="s">
        <v>136</v>
      </c>
      <c r="D12" s="5" t="s">
        <v>167</v>
      </c>
      <c r="I12" s="35">
        <f t="shared" si="8"/>
        <v>-1840355031.6666665</v>
      </c>
      <c r="J12" s="19">
        <f>'Financials &amp; Metrics'!J15</f>
        <v>0</v>
      </c>
      <c r="K12" s="19">
        <f>'Financials &amp; Metrics'!K15</f>
        <v>0</v>
      </c>
      <c r="L12" s="19">
        <f>'Financials &amp; Metrics'!L15</f>
        <v>0</v>
      </c>
      <c r="M12" s="19">
        <f>'Financials &amp; Metrics'!M15</f>
        <v>0</v>
      </c>
      <c r="N12" s="19">
        <f>'Financials &amp; Metrics'!N15</f>
        <v>-205648135</v>
      </c>
      <c r="O12" s="19">
        <f>'Financials &amp; Metrics'!O15</f>
        <v>-228936488.33333331</v>
      </c>
      <c r="P12" s="19">
        <f>'Financials &amp; Metrics'!P15</f>
        <v>-234088918.33333331</v>
      </c>
      <c r="Q12" s="19">
        <f>'Financials &amp; Metrics'!Q15</f>
        <v>-233702879.99999997</v>
      </c>
      <c r="R12" s="19">
        <f>'Financials &amp; Metrics'!R15</f>
        <v>-233742271.66666666</v>
      </c>
      <c r="S12" s="19">
        <f>'Financials &amp; Metrics'!S15</f>
        <v>-122382029.99999997</v>
      </c>
      <c r="T12" s="19">
        <f>'Financials &amp; Metrics'!T15</f>
        <v>-132237824.99999999</v>
      </c>
      <c r="U12" s="19">
        <f>'Financials &amp; Metrics'!U15</f>
        <v>-142668738.33333334</v>
      </c>
      <c r="V12" s="19">
        <f>'Financials &amp; Metrics'!V15</f>
        <v>-121310576.66666664</v>
      </c>
      <c r="W12" s="19">
        <f>'Financials &amp; Metrics'!W15</f>
        <v>-124083750.00000001</v>
      </c>
      <c r="X12" s="19">
        <f>'Financials &amp; Metrics'!X15</f>
        <v>-61553418.333333328</v>
      </c>
      <c r="Y12" s="19">
        <f>'Financials &amp; Metrics'!Y15</f>
        <v>0</v>
      </c>
      <c r="Z12" s="19">
        <f>'Financials &amp; Metrics'!Z15</f>
        <v>0</v>
      </c>
      <c r="AA12" s="19">
        <f>'Financials &amp; Metrics'!AA15</f>
        <v>0</v>
      </c>
      <c r="AB12" s="19">
        <f>'Financials &amp; Metrics'!AB15</f>
        <v>0</v>
      </c>
      <c r="AC12" s="19">
        <f>'Financials &amp; Metrics'!AC15</f>
        <v>0</v>
      </c>
      <c r="AD12" s="19">
        <f>'Financials &amp; Metrics'!AD15</f>
        <v>0</v>
      </c>
      <c r="AE12" s="19">
        <f>'Financials &amp; Metrics'!AE15</f>
        <v>0</v>
      </c>
      <c r="AF12" s="19">
        <f>'Financials &amp; Metrics'!AF15</f>
        <v>0</v>
      </c>
      <c r="AG12" s="19">
        <f>'Financials &amp; Metrics'!AG15</f>
        <v>0</v>
      </c>
      <c r="AH12" s="19">
        <f>'Financials &amp; Metrics'!AH15</f>
        <v>0</v>
      </c>
      <c r="AI12" s="19">
        <f>'Financials &amp; Metrics'!AI15</f>
        <v>0</v>
      </c>
      <c r="AJ12" s="19">
        <f>'Financials &amp; Metrics'!AJ15</f>
        <v>0</v>
      </c>
      <c r="AK12" s="19">
        <f>'Financials &amp; Metrics'!AK15</f>
        <v>0</v>
      </c>
      <c r="AL12" s="19">
        <f>'Financials &amp; Metrics'!AL15</f>
        <v>0</v>
      </c>
      <c r="AM12" s="19">
        <f>'Financials &amp; Metrics'!AM15</f>
        <v>0</v>
      </c>
      <c r="AN12" s="19">
        <f>'Financials &amp; Metrics'!AN15</f>
        <v>0</v>
      </c>
      <c r="AO12" s="19">
        <f>'Financials &amp; Metrics'!AO15</f>
        <v>0</v>
      </c>
      <c r="AP12" s="19">
        <f>'Financials &amp; Metrics'!AP15</f>
        <v>0</v>
      </c>
      <c r="AQ12" s="19">
        <f>'Financials &amp; Metrics'!AQ15</f>
        <v>0</v>
      </c>
      <c r="AR12" s="19">
        <f>'Financials &amp; Metrics'!AR15</f>
        <v>0</v>
      </c>
      <c r="AS12" s="19">
        <f>'Financials &amp; Metrics'!AS15</f>
        <v>0</v>
      </c>
      <c r="AT12" s="19">
        <f>'Financials &amp; Metrics'!AT15</f>
        <v>0</v>
      </c>
      <c r="AU12" s="19">
        <f>'Financials &amp; Metrics'!AU15</f>
        <v>0</v>
      </c>
      <c r="AV12" s="19">
        <f>'Financials &amp; Metrics'!AV15</f>
        <v>0</v>
      </c>
      <c r="AW12" s="19">
        <f>'Financials &amp; Metrics'!AW15</f>
        <v>0</v>
      </c>
      <c r="AX12" s="19">
        <f>'Financials &amp; Metrics'!AX15</f>
        <v>0</v>
      </c>
      <c r="AY12" s="19">
        <f>'Financials &amp; Metrics'!AY15</f>
        <v>0</v>
      </c>
      <c r="AZ12" s="19">
        <f>'Financials &amp; Metrics'!AZ15</f>
        <v>0</v>
      </c>
      <c r="BA12" s="19">
        <f>'Financials &amp; Metrics'!BA15</f>
        <v>0</v>
      </c>
      <c r="BB12" s="19">
        <f>'Financials &amp; Metrics'!BB15</f>
        <v>0</v>
      </c>
      <c r="BC12" s="19">
        <f>'Financials &amp; Metrics'!BC15</f>
        <v>0</v>
      </c>
      <c r="BD12" s="19">
        <f>'Financials &amp; Metrics'!BD15</f>
        <v>0</v>
      </c>
      <c r="BE12" s="19">
        <f>'Financials &amp; Metrics'!BE15</f>
        <v>0</v>
      </c>
      <c r="BF12" s="19">
        <f>'Financials &amp; Metrics'!BF15</f>
        <v>0</v>
      </c>
      <c r="BG12" s="19">
        <f>'Financials &amp; Metrics'!BG15</f>
        <v>0</v>
      </c>
      <c r="BH12" s="19">
        <f>'Financials &amp; Metrics'!BH15</f>
        <v>0</v>
      </c>
      <c r="BI12" s="19">
        <f>'Financials &amp; Metrics'!BI15</f>
        <v>0</v>
      </c>
      <c r="BJ12" s="19">
        <f>'Financials &amp; Metrics'!BJ15</f>
        <v>0</v>
      </c>
      <c r="BK12" s="19">
        <f>'Financials &amp; Metrics'!BK15</f>
        <v>0</v>
      </c>
      <c r="BL12" s="19">
        <f>'Financials &amp; Metrics'!BL15</f>
        <v>0</v>
      </c>
      <c r="BM12" s="19">
        <f>'Financials &amp; Metrics'!BM15</f>
        <v>0</v>
      </c>
      <c r="BN12" s="19">
        <f>'Financials &amp; Metrics'!BN15</f>
        <v>0</v>
      </c>
      <c r="BO12" s="19">
        <f>'Financials &amp; Metrics'!BO15</f>
        <v>0</v>
      </c>
      <c r="BP12" s="19">
        <f>'Financials &amp; Metrics'!BP15</f>
        <v>0</v>
      </c>
      <c r="BQ12" s="19">
        <f>'Financials &amp; Metrics'!BQ15</f>
        <v>0</v>
      </c>
      <c r="BR12" s="19">
        <f>'Financials &amp; Metrics'!BR15</f>
        <v>0</v>
      </c>
      <c r="BS12" s="19">
        <f>'Financials &amp; Metrics'!BS15</f>
        <v>0</v>
      </c>
      <c r="BT12" s="19">
        <f>'Financials &amp; Metrics'!BT15</f>
        <v>0</v>
      </c>
      <c r="BU12" s="19">
        <f>'Financials &amp; Metrics'!BU15</f>
        <v>0</v>
      </c>
      <c r="BV12" s="19">
        <f>'Financials &amp; Metrics'!BV15</f>
        <v>0</v>
      </c>
      <c r="BW12" s="19">
        <f>'Financials &amp; Metrics'!BW15</f>
        <v>0</v>
      </c>
      <c r="BX12" s="19">
        <f>'Financials &amp; Metrics'!BX15</f>
        <v>0</v>
      </c>
      <c r="BY12" s="19">
        <f>'Financials &amp; Metrics'!BY15</f>
        <v>0</v>
      </c>
      <c r="BZ12" s="19">
        <f>'Financials &amp; Metrics'!BZ15</f>
        <v>0</v>
      </c>
      <c r="CA12" s="19">
        <f>'Financials &amp; Metrics'!CA15</f>
        <v>0</v>
      </c>
      <c r="CB12" s="19">
        <f>'Financials &amp; Metrics'!CB15</f>
        <v>0</v>
      </c>
      <c r="CC12" s="19">
        <f>'Financials &amp; Metrics'!CC15</f>
        <v>0</v>
      </c>
      <c r="CD12" s="19">
        <f>'Financials &amp; Metrics'!CD15</f>
        <v>0</v>
      </c>
      <c r="CE12" s="19">
        <f>'Financials &amp; Metrics'!CE15</f>
        <v>0</v>
      </c>
      <c r="CF12" s="19">
        <f>'Financials &amp; Metrics'!CF15</f>
        <v>0</v>
      </c>
      <c r="CG12" s="19">
        <f>'Financials &amp; Metrics'!CG15</f>
        <v>0</v>
      </c>
      <c r="CH12" s="19">
        <f>'Financials &amp; Metrics'!CH15</f>
        <v>0</v>
      </c>
      <c r="CI12" s="19">
        <f>'Financials &amp; Metrics'!CI15</f>
        <v>0</v>
      </c>
      <c r="CJ12" s="19">
        <f>'Financials &amp; Metrics'!CJ15</f>
        <v>0</v>
      </c>
      <c r="CK12" s="19">
        <f>'Financials &amp; Metrics'!CK15</f>
        <v>0</v>
      </c>
      <c r="CL12" s="19">
        <f>'Financials &amp; Metrics'!CL15</f>
        <v>0</v>
      </c>
      <c r="CM12" s="19">
        <f>'Financials &amp; Metrics'!CM15</f>
        <v>0</v>
      </c>
      <c r="CN12" s="19">
        <f>'Financials &amp; Metrics'!CN15</f>
        <v>0</v>
      </c>
      <c r="CO12" s="19">
        <f>'Financials &amp; Metrics'!CO15</f>
        <v>0</v>
      </c>
      <c r="CP12" s="19">
        <f>'Financials &amp; Metrics'!CP15</f>
        <v>0</v>
      </c>
      <c r="CQ12" s="19">
        <f>'Financials &amp; Metrics'!CQ15</f>
        <v>0</v>
      </c>
      <c r="CR12" s="19">
        <f>'Financials &amp; Metrics'!CR15</f>
        <v>0</v>
      </c>
      <c r="CS12" s="19">
        <f>'Financials &amp; Metrics'!CS15</f>
        <v>0</v>
      </c>
      <c r="CT12" s="19">
        <f>'Financials &amp; Metrics'!CT15</f>
        <v>0</v>
      </c>
      <c r="CU12" s="19">
        <f>'Financials &amp; Metrics'!CU15</f>
        <v>0</v>
      </c>
      <c r="CV12" s="19">
        <f>'Financials &amp; Metrics'!CV15</f>
        <v>0</v>
      </c>
      <c r="CW12" s="19">
        <f>'Financials &amp; Metrics'!CW15</f>
        <v>0</v>
      </c>
      <c r="CX12" s="19">
        <f>'Financials &amp; Metrics'!CX15</f>
        <v>0</v>
      </c>
      <c r="CY12" s="19">
        <f>'Financials &amp; Metrics'!CY15</f>
        <v>0</v>
      </c>
      <c r="CZ12" s="19">
        <f>'Financials &amp; Metrics'!CZ15</f>
        <v>0</v>
      </c>
      <c r="DA12" s="19">
        <f>'Financials &amp; Metrics'!DA15</f>
        <v>0</v>
      </c>
      <c r="DB12" s="19">
        <f>'Financials &amp; Metrics'!DB15</f>
        <v>0</v>
      </c>
      <c r="DC12" s="19">
        <f>'Financials &amp; Metrics'!DC15</f>
        <v>0</v>
      </c>
      <c r="DD12" s="19">
        <f>'Financials &amp; Metrics'!DD15</f>
        <v>0</v>
      </c>
      <c r="DE12" s="19">
        <f>'Financials &amp; Metrics'!DE15</f>
        <v>0</v>
      </c>
      <c r="DF12" s="19">
        <f>'Financials &amp; Metrics'!DF15</f>
        <v>0</v>
      </c>
      <c r="DG12" s="19">
        <f>'Financials &amp; Metrics'!DG15</f>
        <v>0</v>
      </c>
      <c r="DH12" s="19">
        <f>'Financials &amp; Metrics'!DH15</f>
        <v>0</v>
      </c>
      <c r="DI12" s="19">
        <f>'Financials &amp; Metrics'!DI15</f>
        <v>0</v>
      </c>
      <c r="DJ12" s="19">
        <f>'Financials &amp; Metrics'!DJ15</f>
        <v>0</v>
      </c>
      <c r="DK12" s="19">
        <f>'Financials &amp; Metrics'!DK15</f>
        <v>0</v>
      </c>
      <c r="DL12" s="19">
        <f>'Financials &amp; Metrics'!DL15</f>
        <v>0</v>
      </c>
      <c r="DM12" s="19">
        <f>'Financials &amp; Metrics'!DM15</f>
        <v>0</v>
      </c>
    </row>
    <row r="13" spans="1:117" outlineLevel="1" x14ac:dyDescent="0.15">
      <c r="C13" t="s">
        <v>177</v>
      </c>
      <c r="D13" s="5" t="s">
        <v>167</v>
      </c>
      <c r="I13" s="35">
        <f t="shared" si="8"/>
        <v>-2759010329.0649552</v>
      </c>
      <c r="J13" s="19">
        <f>-J171-J175</f>
        <v>0</v>
      </c>
      <c r="K13" s="19">
        <f t="shared" ref="K13:BV13" si="9">-K171-K175</f>
        <v>0</v>
      </c>
      <c r="L13" s="19">
        <f t="shared" si="9"/>
        <v>0</v>
      </c>
      <c r="M13" s="19">
        <f t="shared" si="9"/>
        <v>0</v>
      </c>
      <c r="N13" s="19">
        <f t="shared" si="9"/>
        <v>-286339850.30439937</v>
      </c>
      <c r="O13" s="19">
        <f t="shared" si="9"/>
        <v>-321059157.90746409</v>
      </c>
      <c r="P13" s="19">
        <f t="shared" si="9"/>
        <v>-326573471.86227852</v>
      </c>
      <c r="Q13" s="19">
        <f t="shared" si="9"/>
        <v>-322385650.04794574</v>
      </c>
      <c r="R13" s="19">
        <f t="shared" si="9"/>
        <v>-400250121.68036079</v>
      </c>
      <c r="S13" s="19">
        <f t="shared" si="9"/>
        <v>-181086773.30725175</v>
      </c>
      <c r="T13" s="19">
        <f t="shared" si="9"/>
        <v>-206493152.0835954</v>
      </c>
      <c r="U13" s="19">
        <f t="shared" si="9"/>
        <v>-231824937.36945266</v>
      </c>
      <c r="V13" s="19">
        <f t="shared" si="9"/>
        <v>-193829286.64559704</v>
      </c>
      <c r="W13" s="19">
        <f t="shared" si="9"/>
        <v>-202757935.14790133</v>
      </c>
      <c r="X13" s="19">
        <f t="shared" si="9"/>
        <v>-86409992.708708718</v>
      </c>
      <c r="Y13" s="19">
        <f t="shared" si="9"/>
        <v>0</v>
      </c>
      <c r="Z13" s="19">
        <f t="shared" si="9"/>
        <v>0</v>
      </c>
      <c r="AA13" s="19">
        <f t="shared" si="9"/>
        <v>0</v>
      </c>
      <c r="AB13" s="19">
        <f t="shared" si="9"/>
        <v>0</v>
      </c>
      <c r="AC13" s="19">
        <f t="shared" si="9"/>
        <v>0</v>
      </c>
      <c r="AD13" s="19">
        <f t="shared" si="9"/>
        <v>0</v>
      </c>
      <c r="AE13" s="19">
        <f t="shared" si="9"/>
        <v>0</v>
      </c>
      <c r="AF13" s="19">
        <f t="shared" si="9"/>
        <v>0</v>
      </c>
      <c r="AG13" s="19">
        <f t="shared" si="9"/>
        <v>0</v>
      </c>
      <c r="AH13" s="19">
        <f t="shared" si="9"/>
        <v>0</v>
      </c>
      <c r="AI13" s="19">
        <f t="shared" si="9"/>
        <v>0</v>
      </c>
      <c r="AJ13" s="19">
        <f t="shared" si="9"/>
        <v>0</v>
      </c>
      <c r="AK13" s="19">
        <f t="shared" si="9"/>
        <v>0</v>
      </c>
      <c r="AL13" s="19">
        <f t="shared" si="9"/>
        <v>0</v>
      </c>
      <c r="AM13" s="19">
        <f t="shared" si="9"/>
        <v>0</v>
      </c>
      <c r="AN13" s="19">
        <f t="shared" si="9"/>
        <v>0</v>
      </c>
      <c r="AO13" s="19">
        <f t="shared" si="9"/>
        <v>0</v>
      </c>
      <c r="AP13" s="19">
        <f t="shared" si="9"/>
        <v>0</v>
      </c>
      <c r="AQ13" s="19">
        <f t="shared" si="9"/>
        <v>0</v>
      </c>
      <c r="AR13" s="19">
        <f t="shared" si="9"/>
        <v>0</v>
      </c>
      <c r="AS13" s="19">
        <f t="shared" si="9"/>
        <v>0</v>
      </c>
      <c r="AT13" s="19">
        <f t="shared" si="9"/>
        <v>0</v>
      </c>
      <c r="AU13" s="19">
        <f t="shared" si="9"/>
        <v>0</v>
      </c>
      <c r="AV13" s="19">
        <f t="shared" si="9"/>
        <v>0</v>
      </c>
      <c r="AW13" s="19">
        <f t="shared" si="9"/>
        <v>0</v>
      </c>
      <c r="AX13" s="19">
        <f t="shared" si="9"/>
        <v>0</v>
      </c>
      <c r="AY13" s="19">
        <f t="shared" si="9"/>
        <v>0</v>
      </c>
      <c r="AZ13" s="19">
        <f t="shared" si="9"/>
        <v>0</v>
      </c>
      <c r="BA13" s="19">
        <f t="shared" si="9"/>
        <v>0</v>
      </c>
      <c r="BB13" s="19">
        <f t="shared" si="9"/>
        <v>0</v>
      </c>
      <c r="BC13" s="19">
        <f t="shared" si="9"/>
        <v>0</v>
      </c>
      <c r="BD13" s="19">
        <f t="shared" si="9"/>
        <v>0</v>
      </c>
      <c r="BE13" s="19">
        <f t="shared" si="9"/>
        <v>0</v>
      </c>
      <c r="BF13" s="19">
        <f t="shared" si="9"/>
        <v>0</v>
      </c>
      <c r="BG13" s="19">
        <f t="shared" si="9"/>
        <v>0</v>
      </c>
      <c r="BH13" s="19">
        <f t="shared" si="9"/>
        <v>0</v>
      </c>
      <c r="BI13" s="19">
        <f t="shared" si="9"/>
        <v>0</v>
      </c>
      <c r="BJ13" s="19">
        <f t="shared" si="9"/>
        <v>0</v>
      </c>
      <c r="BK13" s="19">
        <f t="shared" si="9"/>
        <v>0</v>
      </c>
      <c r="BL13" s="19">
        <f t="shared" si="9"/>
        <v>0</v>
      </c>
      <c r="BM13" s="19">
        <f t="shared" si="9"/>
        <v>0</v>
      </c>
      <c r="BN13" s="19">
        <f t="shared" si="9"/>
        <v>0</v>
      </c>
      <c r="BO13" s="19">
        <f t="shared" si="9"/>
        <v>0</v>
      </c>
      <c r="BP13" s="19">
        <f t="shared" si="9"/>
        <v>0</v>
      </c>
      <c r="BQ13" s="19">
        <f t="shared" si="9"/>
        <v>0</v>
      </c>
      <c r="BR13" s="19">
        <f t="shared" si="9"/>
        <v>0</v>
      </c>
      <c r="BS13" s="19">
        <f t="shared" si="9"/>
        <v>0</v>
      </c>
      <c r="BT13" s="19">
        <f t="shared" si="9"/>
        <v>0</v>
      </c>
      <c r="BU13" s="19">
        <f t="shared" si="9"/>
        <v>0</v>
      </c>
      <c r="BV13" s="19">
        <f t="shared" si="9"/>
        <v>0</v>
      </c>
      <c r="BW13" s="19">
        <f t="shared" ref="BW13:DM13" si="10">-BW171-BW175</f>
        <v>0</v>
      </c>
      <c r="BX13" s="19">
        <f t="shared" si="10"/>
        <v>0</v>
      </c>
      <c r="BY13" s="19">
        <f t="shared" si="10"/>
        <v>0</v>
      </c>
      <c r="BZ13" s="19">
        <f t="shared" si="10"/>
        <v>0</v>
      </c>
      <c r="CA13" s="19">
        <f t="shared" si="10"/>
        <v>0</v>
      </c>
      <c r="CB13" s="19">
        <f t="shared" si="10"/>
        <v>0</v>
      </c>
      <c r="CC13" s="19">
        <f t="shared" si="10"/>
        <v>0</v>
      </c>
      <c r="CD13" s="19">
        <f t="shared" si="10"/>
        <v>0</v>
      </c>
      <c r="CE13" s="19">
        <f t="shared" si="10"/>
        <v>0</v>
      </c>
      <c r="CF13" s="19">
        <f t="shared" si="10"/>
        <v>0</v>
      </c>
      <c r="CG13" s="19">
        <f t="shared" si="10"/>
        <v>0</v>
      </c>
      <c r="CH13" s="19">
        <f t="shared" si="10"/>
        <v>0</v>
      </c>
      <c r="CI13" s="19">
        <f t="shared" si="10"/>
        <v>0</v>
      </c>
      <c r="CJ13" s="19">
        <f t="shared" si="10"/>
        <v>0</v>
      </c>
      <c r="CK13" s="19">
        <f t="shared" si="10"/>
        <v>0</v>
      </c>
      <c r="CL13" s="19">
        <f t="shared" si="10"/>
        <v>0</v>
      </c>
      <c r="CM13" s="19">
        <f t="shared" si="10"/>
        <v>0</v>
      </c>
      <c r="CN13" s="19">
        <f t="shared" si="10"/>
        <v>0</v>
      </c>
      <c r="CO13" s="19">
        <f t="shared" si="10"/>
        <v>0</v>
      </c>
      <c r="CP13" s="19">
        <f t="shared" si="10"/>
        <v>0</v>
      </c>
      <c r="CQ13" s="19">
        <f t="shared" si="10"/>
        <v>0</v>
      </c>
      <c r="CR13" s="19">
        <f t="shared" si="10"/>
        <v>0</v>
      </c>
      <c r="CS13" s="19">
        <f t="shared" si="10"/>
        <v>0</v>
      </c>
      <c r="CT13" s="19">
        <f t="shared" si="10"/>
        <v>0</v>
      </c>
      <c r="CU13" s="19">
        <f t="shared" si="10"/>
        <v>0</v>
      </c>
      <c r="CV13" s="19">
        <f t="shared" si="10"/>
        <v>0</v>
      </c>
      <c r="CW13" s="19">
        <f t="shared" si="10"/>
        <v>0</v>
      </c>
      <c r="CX13" s="19">
        <f t="shared" si="10"/>
        <v>0</v>
      </c>
      <c r="CY13" s="19">
        <f t="shared" si="10"/>
        <v>0</v>
      </c>
      <c r="CZ13" s="19">
        <f t="shared" si="10"/>
        <v>0</v>
      </c>
      <c r="DA13" s="19">
        <f t="shared" si="10"/>
        <v>0</v>
      </c>
      <c r="DB13" s="19">
        <f t="shared" si="10"/>
        <v>0</v>
      </c>
      <c r="DC13" s="19">
        <f t="shared" si="10"/>
        <v>0</v>
      </c>
      <c r="DD13" s="19">
        <f t="shared" si="10"/>
        <v>0</v>
      </c>
      <c r="DE13" s="19">
        <f t="shared" si="10"/>
        <v>0</v>
      </c>
      <c r="DF13" s="19">
        <f t="shared" si="10"/>
        <v>0</v>
      </c>
      <c r="DG13" s="19">
        <f t="shared" si="10"/>
        <v>0</v>
      </c>
      <c r="DH13" s="19">
        <f t="shared" si="10"/>
        <v>0</v>
      </c>
      <c r="DI13" s="19">
        <f t="shared" si="10"/>
        <v>0</v>
      </c>
      <c r="DJ13" s="19">
        <f t="shared" si="10"/>
        <v>0</v>
      </c>
      <c r="DK13" s="19">
        <f t="shared" si="10"/>
        <v>0</v>
      </c>
      <c r="DL13" s="19">
        <f t="shared" si="10"/>
        <v>0</v>
      </c>
      <c r="DM13" s="19">
        <f t="shared" si="10"/>
        <v>0</v>
      </c>
    </row>
    <row r="14" spans="1:117" outlineLevel="1" x14ac:dyDescent="0.15">
      <c r="C14" t="s">
        <v>65</v>
      </c>
      <c r="D14" s="5" t="s">
        <v>167</v>
      </c>
      <c r="I14" s="35">
        <f t="shared" si="8"/>
        <v>-3237566917.5</v>
      </c>
      <c r="J14" s="19">
        <f>'Financials &amp; Metrics'!J18</f>
        <v>0</v>
      </c>
      <c r="K14" s="19">
        <f>'Financials &amp; Metrics'!K18</f>
        <v>0</v>
      </c>
      <c r="L14" s="19">
        <f>'Financials &amp; Metrics'!L18</f>
        <v>0</v>
      </c>
      <c r="M14" s="19">
        <f>'Financials &amp; Metrics'!M18</f>
        <v>0</v>
      </c>
      <c r="N14" s="19">
        <f>'Financials &amp; Metrics'!N18</f>
        <v>-275178194.7982496</v>
      </c>
      <c r="O14" s="19">
        <f>'Financials &amp; Metrics'!O18</f>
        <v>-318109918.80852932</v>
      </c>
      <c r="P14" s="19">
        <f>'Financials &amp; Metrics'!P18</f>
        <v>-312520873.35832947</v>
      </c>
      <c r="Q14" s="19">
        <f>'Financials &amp; Metrics'!Q18</f>
        <v>-302294457.1182341</v>
      </c>
      <c r="R14" s="19">
        <f>'Financials &amp; Metrics'!R18</f>
        <v>-312049110.36835682</v>
      </c>
      <c r="S14" s="19">
        <f>'Financials &amp; Metrics'!S18</f>
        <v>-305397231.67822289</v>
      </c>
      <c r="T14" s="19">
        <f>'Financials &amp; Metrics'!T18</f>
        <v>-300382202.71812195</v>
      </c>
      <c r="U14" s="19">
        <f>'Financials &amp; Metrics'!U18</f>
        <v>-298029803.86811137</v>
      </c>
      <c r="V14" s="19">
        <f>'Financials &amp; Metrics'!V18</f>
        <v>-292666509.00800341</v>
      </c>
      <c r="W14" s="19">
        <f>'Financials &amp; Metrics'!W18</f>
        <v>-287103825.94803566</v>
      </c>
      <c r="X14" s="19">
        <f>'Financials &amp; Metrics'!X18</f>
        <v>-233834789.8278057</v>
      </c>
      <c r="Y14" s="19">
        <f>'Financials &amp; Metrics'!Y18</f>
        <v>0</v>
      </c>
      <c r="Z14" s="19">
        <f>'Financials &amp; Metrics'!Z18</f>
        <v>0</v>
      </c>
      <c r="AA14" s="19">
        <f>'Financials &amp; Metrics'!AA18</f>
        <v>0</v>
      </c>
      <c r="AB14" s="19">
        <f>'Financials &amp; Metrics'!AB18</f>
        <v>0</v>
      </c>
      <c r="AC14" s="19">
        <f>'Financials &amp; Metrics'!AC18</f>
        <v>0</v>
      </c>
      <c r="AD14" s="19">
        <f>'Financials &amp; Metrics'!AD18</f>
        <v>0</v>
      </c>
      <c r="AE14" s="19">
        <f>'Financials &amp; Metrics'!AE18</f>
        <v>0</v>
      </c>
      <c r="AF14" s="19">
        <f>'Financials &amp; Metrics'!AF18</f>
        <v>0</v>
      </c>
      <c r="AG14" s="19">
        <f>'Financials &amp; Metrics'!AG18</f>
        <v>0</v>
      </c>
      <c r="AH14" s="19">
        <f>'Financials &amp; Metrics'!AH18</f>
        <v>0</v>
      </c>
      <c r="AI14" s="19">
        <f>'Financials &amp; Metrics'!AI18</f>
        <v>0</v>
      </c>
      <c r="AJ14" s="19">
        <f>'Financials &amp; Metrics'!AJ18</f>
        <v>0</v>
      </c>
      <c r="AK14" s="19">
        <f>'Financials &amp; Metrics'!AK18</f>
        <v>0</v>
      </c>
      <c r="AL14" s="19">
        <f>'Financials &amp; Metrics'!AL18</f>
        <v>0</v>
      </c>
      <c r="AM14" s="19">
        <f>'Financials &amp; Metrics'!AM18</f>
        <v>0</v>
      </c>
      <c r="AN14" s="19">
        <f>'Financials &amp; Metrics'!AN18</f>
        <v>0</v>
      </c>
      <c r="AO14" s="19">
        <f>'Financials &amp; Metrics'!AO18</f>
        <v>0</v>
      </c>
      <c r="AP14" s="19">
        <f>'Financials &amp; Metrics'!AP18</f>
        <v>0</v>
      </c>
      <c r="AQ14" s="19">
        <f>'Financials &amp; Metrics'!AQ18</f>
        <v>0</v>
      </c>
      <c r="AR14" s="19">
        <f>'Financials &amp; Metrics'!AR18</f>
        <v>0</v>
      </c>
      <c r="AS14" s="19">
        <f>'Financials &amp; Metrics'!AS18</f>
        <v>0</v>
      </c>
      <c r="AT14" s="19">
        <f>'Financials &amp; Metrics'!AT18</f>
        <v>0</v>
      </c>
      <c r="AU14" s="19">
        <f>'Financials &amp; Metrics'!AU18</f>
        <v>0</v>
      </c>
      <c r="AV14" s="19">
        <f>'Financials &amp; Metrics'!AV18</f>
        <v>0</v>
      </c>
      <c r="AW14" s="19">
        <f>'Financials &amp; Metrics'!AW18</f>
        <v>0</v>
      </c>
      <c r="AX14" s="19">
        <f>'Financials &amp; Metrics'!AX18</f>
        <v>0</v>
      </c>
      <c r="AY14" s="19">
        <f>'Financials &amp; Metrics'!AY18</f>
        <v>0</v>
      </c>
      <c r="AZ14" s="19">
        <f>'Financials &amp; Metrics'!AZ18</f>
        <v>0</v>
      </c>
      <c r="BA14" s="19">
        <f>'Financials &amp; Metrics'!BA18</f>
        <v>0</v>
      </c>
      <c r="BB14" s="19">
        <f>'Financials &amp; Metrics'!BB18</f>
        <v>0</v>
      </c>
      <c r="BC14" s="19">
        <f>'Financials &amp; Metrics'!BC18</f>
        <v>0</v>
      </c>
      <c r="BD14" s="19">
        <f>'Financials &amp; Metrics'!BD18</f>
        <v>0</v>
      </c>
      <c r="BE14" s="19">
        <f>'Financials &amp; Metrics'!BE18</f>
        <v>0</v>
      </c>
      <c r="BF14" s="19">
        <f>'Financials &amp; Metrics'!BF18</f>
        <v>0</v>
      </c>
      <c r="BG14" s="19">
        <f>'Financials &amp; Metrics'!BG18</f>
        <v>0</v>
      </c>
      <c r="BH14" s="19">
        <f>'Financials &amp; Metrics'!BH18</f>
        <v>0</v>
      </c>
      <c r="BI14" s="19">
        <f>'Financials &amp; Metrics'!BI18</f>
        <v>0</v>
      </c>
      <c r="BJ14" s="19">
        <f>'Financials &amp; Metrics'!BJ18</f>
        <v>0</v>
      </c>
      <c r="BK14" s="19">
        <f>'Financials &amp; Metrics'!BK18</f>
        <v>0</v>
      </c>
      <c r="BL14" s="19">
        <f>'Financials &amp; Metrics'!BL18</f>
        <v>0</v>
      </c>
      <c r="BM14" s="19">
        <f>'Financials &amp; Metrics'!BM18</f>
        <v>0</v>
      </c>
      <c r="BN14" s="19">
        <f>'Financials &amp; Metrics'!BN18</f>
        <v>0</v>
      </c>
      <c r="BO14" s="19">
        <f>'Financials &amp; Metrics'!BO18</f>
        <v>0</v>
      </c>
      <c r="BP14" s="19">
        <f>'Financials &amp; Metrics'!BP18</f>
        <v>0</v>
      </c>
      <c r="BQ14" s="19">
        <f>'Financials &amp; Metrics'!BQ18</f>
        <v>0</v>
      </c>
      <c r="BR14" s="19">
        <f>'Financials &amp; Metrics'!BR18</f>
        <v>0</v>
      </c>
      <c r="BS14" s="19">
        <f>'Financials &amp; Metrics'!BS18</f>
        <v>0</v>
      </c>
      <c r="BT14" s="19">
        <f>'Financials &amp; Metrics'!BT18</f>
        <v>0</v>
      </c>
      <c r="BU14" s="19">
        <f>'Financials &amp; Metrics'!BU18</f>
        <v>0</v>
      </c>
      <c r="BV14" s="19">
        <f>'Financials &amp; Metrics'!BV18</f>
        <v>0</v>
      </c>
      <c r="BW14" s="19">
        <f>'Financials &amp; Metrics'!BW18</f>
        <v>0</v>
      </c>
      <c r="BX14" s="19">
        <f>'Financials &amp; Metrics'!BX18</f>
        <v>0</v>
      </c>
      <c r="BY14" s="19">
        <f>'Financials &amp; Metrics'!BY18</f>
        <v>0</v>
      </c>
      <c r="BZ14" s="19">
        <f>'Financials &amp; Metrics'!BZ18</f>
        <v>0</v>
      </c>
      <c r="CA14" s="19">
        <f>'Financials &amp; Metrics'!CA18</f>
        <v>0</v>
      </c>
      <c r="CB14" s="19">
        <f>'Financials &amp; Metrics'!CB18</f>
        <v>0</v>
      </c>
      <c r="CC14" s="19">
        <f>'Financials &amp; Metrics'!CC18</f>
        <v>0</v>
      </c>
      <c r="CD14" s="19">
        <f>'Financials &amp; Metrics'!CD18</f>
        <v>0</v>
      </c>
      <c r="CE14" s="19">
        <f>'Financials &amp; Metrics'!CE18</f>
        <v>0</v>
      </c>
      <c r="CF14" s="19">
        <f>'Financials &amp; Metrics'!CF18</f>
        <v>0</v>
      </c>
      <c r="CG14" s="19">
        <f>'Financials &amp; Metrics'!CG18</f>
        <v>0</v>
      </c>
      <c r="CH14" s="19">
        <f>'Financials &amp; Metrics'!CH18</f>
        <v>0</v>
      </c>
      <c r="CI14" s="19">
        <f>'Financials &amp; Metrics'!CI18</f>
        <v>0</v>
      </c>
      <c r="CJ14" s="19">
        <f>'Financials &amp; Metrics'!CJ18</f>
        <v>0</v>
      </c>
      <c r="CK14" s="19">
        <f>'Financials &amp; Metrics'!CK18</f>
        <v>0</v>
      </c>
      <c r="CL14" s="19">
        <f>'Financials &amp; Metrics'!CL18</f>
        <v>0</v>
      </c>
      <c r="CM14" s="19">
        <f>'Financials &amp; Metrics'!CM18</f>
        <v>0</v>
      </c>
      <c r="CN14" s="19">
        <f>'Financials &amp; Metrics'!CN18</f>
        <v>0</v>
      </c>
      <c r="CO14" s="19">
        <f>'Financials &amp; Metrics'!CO18</f>
        <v>0</v>
      </c>
      <c r="CP14" s="19">
        <f>'Financials &amp; Metrics'!CP18</f>
        <v>0</v>
      </c>
      <c r="CQ14" s="19">
        <f>'Financials &amp; Metrics'!CQ18</f>
        <v>0</v>
      </c>
      <c r="CR14" s="19">
        <f>'Financials &amp; Metrics'!CR18</f>
        <v>0</v>
      </c>
      <c r="CS14" s="19">
        <f>'Financials &amp; Metrics'!CS18</f>
        <v>0</v>
      </c>
      <c r="CT14" s="19">
        <f>'Financials &amp; Metrics'!CT18</f>
        <v>0</v>
      </c>
      <c r="CU14" s="19">
        <f>'Financials &amp; Metrics'!CU18</f>
        <v>0</v>
      </c>
      <c r="CV14" s="19">
        <f>'Financials &amp; Metrics'!CV18</f>
        <v>0</v>
      </c>
      <c r="CW14" s="19">
        <f>'Financials &amp; Metrics'!CW18</f>
        <v>0</v>
      </c>
      <c r="CX14" s="19">
        <f>'Financials &amp; Metrics'!CX18</f>
        <v>0</v>
      </c>
      <c r="CY14" s="19">
        <f>'Financials &amp; Metrics'!CY18</f>
        <v>0</v>
      </c>
      <c r="CZ14" s="19">
        <f>'Financials &amp; Metrics'!CZ18</f>
        <v>0</v>
      </c>
      <c r="DA14" s="19">
        <f>'Financials &amp; Metrics'!DA18</f>
        <v>0</v>
      </c>
      <c r="DB14" s="19">
        <f>'Financials &amp; Metrics'!DB18</f>
        <v>0</v>
      </c>
      <c r="DC14" s="19">
        <f>'Financials &amp; Metrics'!DC18</f>
        <v>0</v>
      </c>
      <c r="DD14" s="19">
        <f>'Financials &amp; Metrics'!DD18</f>
        <v>0</v>
      </c>
      <c r="DE14" s="19">
        <f>'Financials &amp; Metrics'!DE18</f>
        <v>0</v>
      </c>
      <c r="DF14" s="19">
        <f>'Financials &amp; Metrics'!DF18</f>
        <v>0</v>
      </c>
      <c r="DG14" s="19">
        <f>'Financials &amp; Metrics'!DG18</f>
        <v>0</v>
      </c>
      <c r="DH14" s="19">
        <f>'Financials &amp; Metrics'!DH18</f>
        <v>0</v>
      </c>
      <c r="DI14" s="19">
        <f>'Financials &amp; Metrics'!DI18</f>
        <v>0</v>
      </c>
      <c r="DJ14" s="19">
        <f>'Financials &amp; Metrics'!DJ18</f>
        <v>0</v>
      </c>
      <c r="DK14" s="19">
        <f>'Financials &amp; Metrics'!DK18</f>
        <v>0</v>
      </c>
      <c r="DL14" s="19">
        <f>'Financials &amp; Metrics'!DL18</f>
        <v>0</v>
      </c>
      <c r="DM14" s="19">
        <f>'Financials &amp; Metrics'!DM18</f>
        <v>0</v>
      </c>
    </row>
    <row r="15" spans="1:117" outlineLevel="1" x14ac:dyDescent="0.15">
      <c r="C15" t="s">
        <v>66</v>
      </c>
      <c r="D15" s="5" t="s">
        <v>167</v>
      </c>
      <c r="I15" s="35">
        <f t="shared" si="8"/>
        <v>17547275055.101707</v>
      </c>
      <c r="J15" s="40">
        <f>SUM(J11:J14)</f>
        <v>0</v>
      </c>
      <c r="K15" s="40">
        <f t="shared" ref="K15:BV15" si="11">SUM(K11:K14)</f>
        <v>0</v>
      </c>
      <c r="L15" s="40">
        <f t="shared" si="11"/>
        <v>0</v>
      </c>
      <c r="M15" s="40">
        <f t="shared" si="11"/>
        <v>0</v>
      </c>
      <c r="N15" s="40">
        <f t="shared" si="11"/>
        <v>2069359819.8973508</v>
      </c>
      <c r="O15" s="40">
        <f t="shared" si="11"/>
        <v>2289639101.6173396</v>
      </c>
      <c r="P15" s="40">
        <f t="shared" si="11"/>
        <v>2355629403.1127253</v>
      </c>
      <c r="Q15" s="40">
        <f t="shared" si="11"/>
        <v>2365105012.8338199</v>
      </c>
      <c r="R15" s="40">
        <f t="shared" si="11"/>
        <v>2277989829.6179495</v>
      </c>
      <c r="S15" s="40">
        <f t="shared" si="11"/>
        <v>1079161965.0145252</v>
      </c>
      <c r="T15" s="40">
        <f t="shared" si="11"/>
        <v>1184856820.1982827</v>
      </c>
      <c r="U15" s="40">
        <f t="shared" si="11"/>
        <v>1295321187.0957694</v>
      </c>
      <c r="V15" s="40">
        <f t="shared" si="11"/>
        <v>1065442961.0130658</v>
      </c>
      <c r="W15" s="40">
        <f t="shared" si="11"/>
        <v>1097554488.9040632</v>
      </c>
      <c r="X15" s="40">
        <f t="shared" si="11"/>
        <v>467214465.79681879</v>
      </c>
      <c r="Y15" s="40">
        <f t="shared" si="11"/>
        <v>0</v>
      </c>
      <c r="Z15" s="40">
        <f t="shared" si="11"/>
        <v>0</v>
      </c>
      <c r="AA15" s="40">
        <f t="shared" si="11"/>
        <v>0</v>
      </c>
      <c r="AB15" s="40">
        <f t="shared" si="11"/>
        <v>0</v>
      </c>
      <c r="AC15" s="40">
        <f t="shared" si="11"/>
        <v>0</v>
      </c>
      <c r="AD15" s="40">
        <f t="shared" si="11"/>
        <v>0</v>
      </c>
      <c r="AE15" s="40">
        <f t="shared" si="11"/>
        <v>0</v>
      </c>
      <c r="AF15" s="40">
        <f t="shared" si="11"/>
        <v>0</v>
      </c>
      <c r="AG15" s="40">
        <f t="shared" si="11"/>
        <v>0</v>
      </c>
      <c r="AH15" s="40">
        <f t="shared" si="11"/>
        <v>0</v>
      </c>
      <c r="AI15" s="40">
        <f t="shared" si="11"/>
        <v>0</v>
      </c>
      <c r="AJ15" s="40">
        <f t="shared" si="11"/>
        <v>0</v>
      </c>
      <c r="AK15" s="40">
        <f t="shared" si="11"/>
        <v>0</v>
      </c>
      <c r="AL15" s="40">
        <f t="shared" si="11"/>
        <v>0</v>
      </c>
      <c r="AM15" s="40">
        <f t="shared" si="11"/>
        <v>0</v>
      </c>
      <c r="AN15" s="40">
        <f t="shared" si="11"/>
        <v>0</v>
      </c>
      <c r="AO15" s="40">
        <f t="shared" si="11"/>
        <v>0</v>
      </c>
      <c r="AP15" s="40">
        <f t="shared" si="11"/>
        <v>0</v>
      </c>
      <c r="AQ15" s="40">
        <f t="shared" si="11"/>
        <v>0</v>
      </c>
      <c r="AR15" s="40">
        <f t="shared" si="11"/>
        <v>0</v>
      </c>
      <c r="AS15" s="40">
        <f t="shared" si="11"/>
        <v>0</v>
      </c>
      <c r="AT15" s="40">
        <f t="shared" si="11"/>
        <v>0</v>
      </c>
      <c r="AU15" s="40">
        <f t="shared" si="11"/>
        <v>0</v>
      </c>
      <c r="AV15" s="40">
        <f t="shared" si="11"/>
        <v>0</v>
      </c>
      <c r="AW15" s="40">
        <f t="shared" si="11"/>
        <v>0</v>
      </c>
      <c r="AX15" s="40">
        <f t="shared" si="11"/>
        <v>0</v>
      </c>
      <c r="AY15" s="40">
        <f t="shared" si="11"/>
        <v>0</v>
      </c>
      <c r="AZ15" s="40">
        <f t="shared" si="11"/>
        <v>0</v>
      </c>
      <c r="BA15" s="40">
        <f t="shared" si="11"/>
        <v>0</v>
      </c>
      <c r="BB15" s="40">
        <f t="shared" si="11"/>
        <v>0</v>
      </c>
      <c r="BC15" s="40">
        <f t="shared" si="11"/>
        <v>0</v>
      </c>
      <c r="BD15" s="40">
        <f t="shared" si="11"/>
        <v>0</v>
      </c>
      <c r="BE15" s="40">
        <f t="shared" si="11"/>
        <v>0</v>
      </c>
      <c r="BF15" s="40">
        <f t="shared" si="11"/>
        <v>0</v>
      </c>
      <c r="BG15" s="40">
        <f t="shared" si="11"/>
        <v>0</v>
      </c>
      <c r="BH15" s="40">
        <f t="shared" si="11"/>
        <v>0</v>
      </c>
      <c r="BI15" s="40">
        <f t="shared" si="11"/>
        <v>0</v>
      </c>
      <c r="BJ15" s="40">
        <f t="shared" si="11"/>
        <v>0</v>
      </c>
      <c r="BK15" s="40">
        <f t="shared" si="11"/>
        <v>0</v>
      </c>
      <c r="BL15" s="40">
        <f t="shared" si="11"/>
        <v>0</v>
      </c>
      <c r="BM15" s="40">
        <f t="shared" si="11"/>
        <v>0</v>
      </c>
      <c r="BN15" s="40">
        <f t="shared" si="11"/>
        <v>0</v>
      </c>
      <c r="BO15" s="40">
        <f t="shared" si="11"/>
        <v>0</v>
      </c>
      <c r="BP15" s="40">
        <f t="shared" si="11"/>
        <v>0</v>
      </c>
      <c r="BQ15" s="40">
        <f t="shared" si="11"/>
        <v>0</v>
      </c>
      <c r="BR15" s="40">
        <f t="shared" si="11"/>
        <v>0</v>
      </c>
      <c r="BS15" s="40">
        <f t="shared" si="11"/>
        <v>0</v>
      </c>
      <c r="BT15" s="40">
        <f t="shared" si="11"/>
        <v>0</v>
      </c>
      <c r="BU15" s="40">
        <f t="shared" si="11"/>
        <v>0</v>
      </c>
      <c r="BV15" s="40">
        <f t="shared" si="11"/>
        <v>0</v>
      </c>
      <c r="BW15" s="40">
        <f t="shared" ref="BW15:DM15" si="12">SUM(BW11:BW14)</f>
        <v>0</v>
      </c>
      <c r="BX15" s="40">
        <f t="shared" si="12"/>
        <v>0</v>
      </c>
      <c r="BY15" s="40">
        <f t="shared" si="12"/>
        <v>0</v>
      </c>
      <c r="BZ15" s="40">
        <f t="shared" si="12"/>
        <v>0</v>
      </c>
      <c r="CA15" s="40">
        <f t="shared" si="12"/>
        <v>0</v>
      </c>
      <c r="CB15" s="40">
        <f t="shared" si="12"/>
        <v>0</v>
      </c>
      <c r="CC15" s="40">
        <f t="shared" si="12"/>
        <v>0</v>
      </c>
      <c r="CD15" s="40">
        <f t="shared" si="12"/>
        <v>0</v>
      </c>
      <c r="CE15" s="40">
        <f t="shared" si="12"/>
        <v>0</v>
      </c>
      <c r="CF15" s="40">
        <f t="shared" si="12"/>
        <v>0</v>
      </c>
      <c r="CG15" s="40">
        <f t="shared" si="12"/>
        <v>0</v>
      </c>
      <c r="CH15" s="40">
        <f t="shared" si="12"/>
        <v>0</v>
      </c>
      <c r="CI15" s="40">
        <f t="shared" si="12"/>
        <v>0</v>
      </c>
      <c r="CJ15" s="40">
        <f t="shared" si="12"/>
        <v>0</v>
      </c>
      <c r="CK15" s="40">
        <f t="shared" si="12"/>
        <v>0</v>
      </c>
      <c r="CL15" s="40">
        <f t="shared" si="12"/>
        <v>0</v>
      </c>
      <c r="CM15" s="40">
        <f t="shared" si="12"/>
        <v>0</v>
      </c>
      <c r="CN15" s="40">
        <f t="shared" si="12"/>
        <v>0</v>
      </c>
      <c r="CO15" s="40">
        <f t="shared" si="12"/>
        <v>0</v>
      </c>
      <c r="CP15" s="40">
        <f t="shared" si="12"/>
        <v>0</v>
      </c>
      <c r="CQ15" s="40">
        <f t="shared" si="12"/>
        <v>0</v>
      </c>
      <c r="CR15" s="40">
        <f t="shared" si="12"/>
        <v>0</v>
      </c>
      <c r="CS15" s="40">
        <f t="shared" si="12"/>
        <v>0</v>
      </c>
      <c r="CT15" s="40">
        <f t="shared" si="12"/>
        <v>0</v>
      </c>
      <c r="CU15" s="40">
        <f t="shared" si="12"/>
        <v>0</v>
      </c>
      <c r="CV15" s="40">
        <f t="shared" si="12"/>
        <v>0</v>
      </c>
      <c r="CW15" s="40">
        <f t="shared" si="12"/>
        <v>0</v>
      </c>
      <c r="CX15" s="40">
        <f t="shared" si="12"/>
        <v>0</v>
      </c>
      <c r="CY15" s="40">
        <f t="shared" si="12"/>
        <v>0</v>
      </c>
      <c r="CZ15" s="40">
        <f t="shared" si="12"/>
        <v>0</v>
      </c>
      <c r="DA15" s="40">
        <f t="shared" si="12"/>
        <v>0</v>
      </c>
      <c r="DB15" s="40">
        <f t="shared" si="12"/>
        <v>0</v>
      </c>
      <c r="DC15" s="40">
        <f t="shared" si="12"/>
        <v>0</v>
      </c>
      <c r="DD15" s="40">
        <f t="shared" si="12"/>
        <v>0</v>
      </c>
      <c r="DE15" s="40">
        <f t="shared" si="12"/>
        <v>0</v>
      </c>
      <c r="DF15" s="40">
        <f t="shared" si="12"/>
        <v>0</v>
      </c>
      <c r="DG15" s="40">
        <f t="shared" si="12"/>
        <v>0</v>
      </c>
      <c r="DH15" s="40">
        <f t="shared" si="12"/>
        <v>0</v>
      </c>
      <c r="DI15" s="40">
        <f t="shared" si="12"/>
        <v>0</v>
      </c>
      <c r="DJ15" s="40">
        <f t="shared" si="12"/>
        <v>0</v>
      </c>
      <c r="DK15" s="40">
        <f t="shared" si="12"/>
        <v>0</v>
      </c>
      <c r="DL15" s="40">
        <f t="shared" si="12"/>
        <v>0</v>
      </c>
      <c r="DM15" s="40">
        <f t="shared" si="12"/>
        <v>0</v>
      </c>
    </row>
    <row r="16" spans="1:117" outlineLevel="1" x14ac:dyDescent="0.15"/>
    <row r="17" spans="3:117" outlineLevel="1" x14ac:dyDescent="0.15">
      <c r="C17" s="23" t="s">
        <v>23</v>
      </c>
      <c r="D17" s="5" t="s">
        <v>167</v>
      </c>
      <c r="I17" s="35">
        <f t="shared" si="8"/>
        <v>-2897804430.0000005</v>
      </c>
      <c r="J17" s="19">
        <f>Taxes!J38</f>
        <v>0</v>
      </c>
      <c r="K17" s="19">
        <f>Taxes!K38</f>
        <v>0</v>
      </c>
      <c r="L17" s="19">
        <f>Taxes!L38</f>
        <v>0</v>
      </c>
      <c r="M17" s="19">
        <f>Taxes!M38</f>
        <v>0</v>
      </c>
      <c r="N17" s="19">
        <f>Taxes!N38</f>
        <v>-556826107.50000012</v>
      </c>
      <c r="O17" s="19">
        <f>Taxes!O38</f>
        <v>-592826107.50000012</v>
      </c>
      <c r="P17" s="19">
        <f>Taxes!P38</f>
        <v>-630326107.50000012</v>
      </c>
      <c r="Q17" s="19">
        <f>Taxes!Q38</f>
        <v>-663326107.50000012</v>
      </c>
      <c r="R17" s="19">
        <f>Taxes!R38</f>
        <v>-135000000</v>
      </c>
      <c r="S17" s="19">
        <f>Taxes!S38</f>
        <v>-118500000</v>
      </c>
      <c r="T17" s="19">
        <f>Taxes!T38</f>
        <v>-85500000</v>
      </c>
      <c r="U17" s="19">
        <f>Taxes!U38</f>
        <v>-58000000</v>
      </c>
      <c r="V17" s="19">
        <f>Taxes!V38</f>
        <v>-32000000</v>
      </c>
      <c r="W17" s="19">
        <f>Taxes!W38</f>
        <v>-15000000</v>
      </c>
      <c r="X17" s="19">
        <f>Taxes!X38</f>
        <v>-10500000</v>
      </c>
      <c r="Y17" s="19">
        <f>Taxes!Y38</f>
        <v>0</v>
      </c>
      <c r="Z17" s="19">
        <f>Taxes!Z38</f>
        <v>0</v>
      </c>
      <c r="AA17" s="19">
        <f>Taxes!AA38</f>
        <v>0</v>
      </c>
      <c r="AB17" s="19">
        <f>Taxes!AB38</f>
        <v>0</v>
      </c>
      <c r="AC17" s="19">
        <f>Taxes!AC38</f>
        <v>0</v>
      </c>
      <c r="AD17" s="19">
        <f>Taxes!AD38</f>
        <v>0</v>
      </c>
      <c r="AE17" s="19">
        <f>Taxes!AE38</f>
        <v>0</v>
      </c>
      <c r="AF17" s="19">
        <f>Taxes!AF38</f>
        <v>0</v>
      </c>
      <c r="AG17" s="19">
        <f>Taxes!AG38</f>
        <v>0</v>
      </c>
      <c r="AH17" s="19">
        <f>Taxes!AH38</f>
        <v>0</v>
      </c>
      <c r="AI17" s="19">
        <f>Taxes!AI38</f>
        <v>0</v>
      </c>
      <c r="AJ17" s="19">
        <f>Taxes!AJ38</f>
        <v>0</v>
      </c>
      <c r="AK17" s="19">
        <f>Taxes!AK38</f>
        <v>0</v>
      </c>
      <c r="AL17" s="19">
        <f>Taxes!AL38</f>
        <v>0</v>
      </c>
      <c r="AM17" s="19">
        <f>Taxes!AM38</f>
        <v>0</v>
      </c>
      <c r="AN17" s="19">
        <f>Taxes!AN38</f>
        <v>0</v>
      </c>
      <c r="AO17" s="19">
        <f>Taxes!AO38</f>
        <v>0</v>
      </c>
      <c r="AP17" s="19">
        <f>Taxes!AP38</f>
        <v>0</v>
      </c>
      <c r="AQ17" s="19">
        <f>Taxes!AQ38</f>
        <v>0</v>
      </c>
      <c r="AR17" s="19">
        <f>Taxes!AR38</f>
        <v>0</v>
      </c>
      <c r="AS17" s="19">
        <f>Taxes!AS38</f>
        <v>0</v>
      </c>
      <c r="AT17" s="19">
        <f>Taxes!AT38</f>
        <v>0</v>
      </c>
      <c r="AU17" s="19">
        <f>Taxes!AU38</f>
        <v>0</v>
      </c>
      <c r="AV17" s="19">
        <f>Taxes!AV38</f>
        <v>0</v>
      </c>
      <c r="AW17" s="19">
        <f>Taxes!AW38</f>
        <v>0</v>
      </c>
      <c r="AX17" s="19">
        <f>Taxes!AX38</f>
        <v>0</v>
      </c>
      <c r="AY17" s="19">
        <f>Taxes!AY38</f>
        <v>0</v>
      </c>
      <c r="AZ17" s="19">
        <f>Taxes!AZ38</f>
        <v>0</v>
      </c>
      <c r="BA17" s="19">
        <f>Taxes!BA38</f>
        <v>0</v>
      </c>
      <c r="BB17" s="19">
        <f>Taxes!BB38</f>
        <v>0</v>
      </c>
      <c r="BC17" s="19">
        <f>Taxes!BC38</f>
        <v>0</v>
      </c>
      <c r="BD17" s="19">
        <f>Taxes!BD38</f>
        <v>0</v>
      </c>
      <c r="BE17" s="19">
        <f>Taxes!BE38</f>
        <v>0</v>
      </c>
      <c r="BF17" s="19">
        <f>Taxes!BF38</f>
        <v>0</v>
      </c>
      <c r="BG17" s="19">
        <f>Taxes!BG38</f>
        <v>0</v>
      </c>
      <c r="BH17" s="19">
        <f>Taxes!BH38</f>
        <v>0</v>
      </c>
      <c r="BI17" s="19">
        <f>Taxes!BI38</f>
        <v>0</v>
      </c>
      <c r="BJ17" s="19">
        <f>Taxes!BJ38</f>
        <v>0</v>
      </c>
      <c r="BK17" s="19">
        <f>Taxes!BK38</f>
        <v>0</v>
      </c>
      <c r="BL17" s="19">
        <f>Taxes!BL38</f>
        <v>0</v>
      </c>
      <c r="BM17" s="19">
        <f>Taxes!BM38</f>
        <v>0</v>
      </c>
      <c r="BN17" s="19">
        <f>Taxes!BN38</f>
        <v>0</v>
      </c>
      <c r="BO17" s="19">
        <f>Taxes!BO38</f>
        <v>0</v>
      </c>
      <c r="BP17" s="19">
        <f>Taxes!BP38</f>
        <v>0</v>
      </c>
      <c r="BQ17" s="19">
        <f>Taxes!BQ38</f>
        <v>0</v>
      </c>
      <c r="BR17" s="19">
        <f>Taxes!BR38</f>
        <v>0</v>
      </c>
      <c r="BS17" s="19">
        <f>Taxes!BS38</f>
        <v>0</v>
      </c>
      <c r="BT17" s="19">
        <f>Taxes!BT38</f>
        <v>0</v>
      </c>
      <c r="BU17" s="19">
        <f>Taxes!BU38</f>
        <v>0</v>
      </c>
      <c r="BV17" s="19">
        <f>Taxes!BV38</f>
        <v>0</v>
      </c>
      <c r="BW17" s="19">
        <f>Taxes!BW38</f>
        <v>0</v>
      </c>
      <c r="BX17" s="19">
        <f>Taxes!BX38</f>
        <v>0</v>
      </c>
      <c r="BY17" s="19">
        <f>Taxes!BY38</f>
        <v>0</v>
      </c>
      <c r="BZ17" s="19">
        <f>Taxes!BZ38</f>
        <v>0</v>
      </c>
      <c r="CA17" s="19">
        <f>Taxes!CA38</f>
        <v>0</v>
      </c>
      <c r="CB17" s="19">
        <f>Taxes!CB38</f>
        <v>0</v>
      </c>
      <c r="CC17" s="19">
        <f>Taxes!CC38</f>
        <v>0</v>
      </c>
      <c r="CD17" s="19">
        <f>Taxes!CD38</f>
        <v>0</v>
      </c>
      <c r="CE17" s="19">
        <f>Taxes!CE38</f>
        <v>0</v>
      </c>
      <c r="CF17" s="19">
        <f>Taxes!CF38</f>
        <v>0</v>
      </c>
      <c r="CG17" s="19">
        <f>Taxes!CG38</f>
        <v>0</v>
      </c>
      <c r="CH17" s="19">
        <f>Taxes!CH38</f>
        <v>0</v>
      </c>
      <c r="CI17" s="19">
        <f>Taxes!CI38</f>
        <v>0</v>
      </c>
      <c r="CJ17" s="19">
        <f>Taxes!CJ38</f>
        <v>0</v>
      </c>
      <c r="CK17" s="19">
        <f>Taxes!CK38</f>
        <v>0</v>
      </c>
      <c r="CL17" s="19">
        <f>Taxes!CL38</f>
        <v>0</v>
      </c>
      <c r="CM17" s="19">
        <f>Taxes!CM38</f>
        <v>0</v>
      </c>
      <c r="CN17" s="19">
        <f>Taxes!CN38</f>
        <v>0</v>
      </c>
      <c r="CO17" s="19">
        <f>Taxes!CO38</f>
        <v>0</v>
      </c>
      <c r="CP17" s="19">
        <f>Taxes!CP38</f>
        <v>0</v>
      </c>
      <c r="CQ17" s="19">
        <f>Taxes!CQ38</f>
        <v>0</v>
      </c>
      <c r="CR17" s="19">
        <f>Taxes!CR38</f>
        <v>0</v>
      </c>
      <c r="CS17" s="19">
        <f>Taxes!CS38</f>
        <v>0</v>
      </c>
      <c r="CT17" s="19">
        <f>Taxes!CT38</f>
        <v>0</v>
      </c>
      <c r="CU17" s="19">
        <f>Taxes!CU38</f>
        <v>0</v>
      </c>
      <c r="CV17" s="19">
        <f>Taxes!CV38</f>
        <v>0</v>
      </c>
      <c r="CW17" s="19">
        <f>Taxes!CW38</f>
        <v>0</v>
      </c>
      <c r="CX17" s="19">
        <f>Taxes!CX38</f>
        <v>0</v>
      </c>
      <c r="CY17" s="19">
        <f>Taxes!CY38</f>
        <v>0</v>
      </c>
      <c r="CZ17" s="19">
        <f>Taxes!CZ38</f>
        <v>0</v>
      </c>
      <c r="DA17" s="19">
        <f>Taxes!DA38</f>
        <v>0</v>
      </c>
      <c r="DB17" s="19">
        <f>Taxes!DB38</f>
        <v>0</v>
      </c>
      <c r="DC17" s="19">
        <f>Taxes!DC38</f>
        <v>0</v>
      </c>
      <c r="DD17" s="19">
        <f>Taxes!DD38</f>
        <v>0</v>
      </c>
      <c r="DE17" s="19">
        <f>Taxes!DE38</f>
        <v>0</v>
      </c>
      <c r="DF17" s="19">
        <f>Taxes!DF38</f>
        <v>0</v>
      </c>
      <c r="DG17" s="19">
        <f>Taxes!DG38</f>
        <v>0</v>
      </c>
      <c r="DH17" s="19">
        <f>Taxes!DH38</f>
        <v>0</v>
      </c>
      <c r="DI17" s="19">
        <f>Taxes!DI38</f>
        <v>0</v>
      </c>
      <c r="DJ17" s="19">
        <f>Taxes!DJ38</f>
        <v>0</v>
      </c>
      <c r="DK17" s="19">
        <f>Taxes!DK38</f>
        <v>0</v>
      </c>
      <c r="DL17" s="19">
        <f>Taxes!DL38</f>
        <v>0</v>
      </c>
      <c r="DM17" s="19">
        <f>Taxes!DM38</f>
        <v>0</v>
      </c>
    </row>
    <row r="18" spans="3:117" outlineLevel="1" x14ac:dyDescent="0.15">
      <c r="C18" t="s">
        <v>67</v>
      </c>
      <c r="D18" s="5" t="s">
        <v>167</v>
      </c>
      <c r="I18" s="35">
        <f t="shared" si="8"/>
        <v>14649470625.101709</v>
      </c>
      <c r="J18" s="40">
        <f>J15+J17</f>
        <v>0</v>
      </c>
      <c r="K18" s="40">
        <f t="shared" ref="K18:BV18" si="13">K15+K17</f>
        <v>0</v>
      </c>
      <c r="L18" s="40">
        <f t="shared" si="13"/>
        <v>0</v>
      </c>
      <c r="M18" s="40">
        <f t="shared" si="13"/>
        <v>0</v>
      </c>
      <c r="N18" s="40">
        <f t="shared" si="13"/>
        <v>1512533712.3973508</v>
      </c>
      <c r="O18" s="40">
        <f t="shared" si="13"/>
        <v>1696812994.1173396</v>
      </c>
      <c r="P18" s="40">
        <f t="shared" si="13"/>
        <v>1725303295.6127253</v>
      </c>
      <c r="Q18" s="40">
        <f t="shared" si="13"/>
        <v>1701778905.3338199</v>
      </c>
      <c r="R18" s="40">
        <f t="shared" si="13"/>
        <v>2142989829.6179495</v>
      </c>
      <c r="S18" s="40">
        <f t="shared" si="13"/>
        <v>960661965.01452518</v>
      </c>
      <c r="T18" s="40">
        <f t="shared" si="13"/>
        <v>1099356820.1982827</v>
      </c>
      <c r="U18" s="40">
        <f t="shared" si="13"/>
        <v>1237321187.0957694</v>
      </c>
      <c r="V18" s="40">
        <f t="shared" si="13"/>
        <v>1033442961.0130658</v>
      </c>
      <c r="W18" s="40">
        <f t="shared" si="13"/>
        <v>1082554488.9040632</v>
      </c>
      <c r="X18" s="40">
        <f t="shared" si="13"/>
        <v>456714465.79681879</v>
      </c>
      <c r="Y18" s="40">
        <f t="shared" si="13"/>
        <v>0</v>
      </c>
      <c r="Z18" s="40">
        <f t="shared" si="13"/>
        <v>0</v>
      </c>
      <c r="AA18" s="40">
        <f t="shared" si="13"/>
        <v>0</v>
      </c>
      <c r="AB18" s="40">
        <f t="shared" si="13"/>
        <v>0</v>
      </c>
      <c r="AC18" s="40">
        <f t="shared" si="13"/>
        <v>0</v>
      </c>
      <c r="AD18" s="40">
        <f t="shared" si="13"/>
        <v>0</v>
      </c>
      <c r="AE18" s="40">
        <f t="shared" si="13"/>
        <v>0</v>
      </c>
      <c r="AF18" s="40">
        <f t="shared" si="13"/>
        <v>0</v>
      </c>
      <c r="AG18" s="40">
        <f t="shared" si="13"/>
        <v>0</v>
      </c>
      <c r="AH18" s="40">
        <f t="shared" si="13"/>
        <v>0</v>
      </c>
      <c r="AI18" s="40">
        <f t="shared" si="13"/>
        <v>0</v>
      </c>
      <c r="AJ18" s="40">
        <f t="shared" si="13"/>
        <v>0</v>
      </c>
      <c r="AK18" s="40">
        <f t="shared" si="13"/>
        <v>0</v>
      </c>
      <c r="AL18" s="40">
        <f t="shared" si="13"/>
        <v>0</v>
      </c>
      <c r="AM18" s="40">
        <f t="shared" si="13"/>
        <v>0</v>
      </c>
      <c r="AN18" s="40">
        <f t="shared" si="13"/>
        <v>0</v>
      </c>
      <c r="AO18" s="40">
        <f t="shared" si="13"/>
        <v>0</v>
      </c>
      <c r="AP18" s="40">
        <f t="shared" si="13"/>
        <v>0</v>
      </c>
      <c r="AQ18" s="40">
        <f t="shared" si="13"/>
        <v>0</v>
      </c>
      <c r="AR18" s="40">
        <f t="shared" si="13"/>
        <v>0</v>
      </c>
      <c r="AS18" s="40">
        <f t="shared" si="13"/>
        <v>0</v>
      </c>
      <c r="AT18" s="40">
        <f t="shared" si="13"/>
        <v>0</v>
      </c>
      <c r="AU18" s="40">
        <f t="shared" si="13"/>
        <v>0</v>
      </c>
      <c r="AV18" s="40">
        <f t="shared" si="13"/>
        <v>0</v>
      </c>
      <c r="AW18" s="40">
        <f t="shared" si="13"/>
        <v>0</v>
      </c>
      <c r="AX18" s="40">
        <f t="shared" si="13"/>
        <v>0</v>
      </c>
      <c r="AY18" s="40">
        <f t="shared" si="13"/>
        <v>0</v>
      </c>
      <c r="AZ18" s="40">
        <f t="shared" si="13"/>
        <v>0</v>
      </c>
      <c r="BA18" s="40">
        <f t="shared" si="13"/>
        <v>0</v>
      </c>
      <c r="BB18" s="40">
        <f t="shared" si="13"/>
        <v>0</v>
      </c>
      <c r="BC18" s="40">
        <f t="shared" si="13"/>
        <v>0</v>
      </c>
      <c r="BD18" s="40">
        <f t="shared" si="13"/>
        <v>0</v>
      </c>
      <c r="BE18" s="40">
        <f t="shared" si="13"/>
        <v>0</v>
      </c>
      <c r="BF18" s="40">
        <f t="shared" si="13"/>
        <v>0</v>
      </c>
      <c r="BG18" s="40">
        <f t="shared" si="13"/>
        <v>0</v>
      </c>
      <c r="BH18" s="40">
        <f t="shared" si="13"/>
        <v>0</v>
      </c>
      <c r="BI18" s="40">
        <f t="shared" si="13"/>
        <v>0</v>
      </c>
      <c r="BJ18" s="40">
        <f t="shared" si="13"/>
        <v>0</v>
      </c>
      <c r="BK18" s="40">
        <f t="shared" si="13"/>
        <v>0</v>
      </c>
      <c r="BL18" s="40">
        <f t="shared" si="13"/>
        <v>0</v>
      </c>
      <c r="BM18" s="40">
        <f t="shared" si="13"/>
        <v>0</v>
      </c>
      <c r="BN18" s="40">
        <f t="shared" si="13"/>
        <v>0</v>
      </c>
      <c r="BO18" s="40">
        <f t="shared" si="13"/>
        <v>0</v>
      </c>
      <c r="BP18" s="40">
        <f t="shared" si="13"/>
        <v>0</v>
      </c>
      <c r="BQ18" s="40">
        <f t="shared" si="13"/>
        <v>0</v>
      </c>
      <c r="BR18" s="40">
        <f t="shared" si="13"/>
        <v>0</v>
      </c>
      <c r="BS18" s="40">
        <f t="shared" si="13"/>
        <v>0</v>
      </c>
      <c r="BT18" s="40">
        <f t="shared" si="13"/>
        <v>0</v>
      </c>
      <c r="BU18" s="40">
        <f t="shared" si="13"/>
        <v>0</v>
      </c>
      <c r="BV18" s="40">
        <f t="shared" si="13"/>
        <v>0</v>
      </c>
      <c r="BW18" s="40">
        <f t="shared" ref="BW18:DM18" si="14">BW15+BW17</f>
        <v>0</v>
      </c>
      <c r="BX18" s="40">
        <f t="shared" si="14"/>
        <v>0</v>
      </c>
      <c r="BY18" s="40">
        <f t="shared" si="14"/>
        <v>0</v>
      </c>
      <c r="BZ18" s="40">
        <f t="shared" si="14"/>
        <v>0</v>
      </c>
      <c r="CA18" s="40">
        <f t="shared" si="14"/>
        <v>0</v>
      </c>
      <c r="CB18" s="40">
        <f t="shared" si="14"/>
        <v>0</v>
      </c>
      <c r="CC18" s="40">
        <f t="shared" si="14"/>
        <v>0</v>
      </c>
      <c r="CD18" s="40">
        <f t="shared" si="14"/>
        <v>0</v>
      </c>
      <c r="CE18" s="40">
        <f t="shared" si="14"/>
        <v>0</v>
      </c>
      <c r="CF18" s="40">
        <f t="shared" si="14"/>
        <v>0</v>
      </c>
      <c r="CG18" s="40">
        <f t="shared" si="14"/>
        <v>0</v>
      </c>
      <c r="CH18" s="40">
        <f t="shared" si="14"/>
        <v>0</v>
      </c>
      <c r="CI18" s="40">
        <f t="shared" si="14"/>
        <v>0</v>
      </c>
      <c r="CJ18" s="40">
        <f t="shared" si="14"/>
        <v>0</v>
      </c>
      <c r="CK18" s="40">
        <f t="shared" si="14"/>
        <v>0</v>
      </c>
      <c r="CL18" s="40">
        <f t="shared" si="14"/>
        <v>0</v>
      </c>
      <c r="CM18" s="40">
        <f t="shared" si="14"/>
        <v>0</v>
      </c>
      <c r="CN18" s="40">
        <f t="shared" si="14"/>
        <v>0</v>
      </c>
      <c r="CO18" s="40">
        <f t="shared" si="14"/>
        <v>0</v>
      </c>
      <c r="CP18" s="40">
        <f t="shared" si="14"/>
        <v>0</v>
      </c>
      <c r="CQ18" s="40">
        <f t="shared" si="14"/>
        <v>0</v>
      </c>
      <c r="CR18" s="40">
        <f t="shared" si="14"/>
        <v>0</v>
      </c>
      <c r="CS18" s="40">
        <f t="shared" si="14"/>
        <v>0</v>
      </c>
      <c r="CT18" s="40">
        <f t="shared" si="14"/>
        <v>0</v>
      </c>
      <c r="CU18" s="40">
        <f t="shared" si="14"/>
        <v>0</v>
      </c>
      <c r="CV18" s="40">
        <f t="shared" si="14"/>
        <v>0</v>
      </c>
      <c r="CW18" s="40">
        <f t="shared" si="14"/>
        <v>0</v>
      </c>
      <c r="CX18" s="40">
        <f t="shared" si="14"/>
        <v>0</v>
      </c>
      <c r="CY18" s="40">
        <f t="shared" si="14"/>
        <v>0</v>
      </c>
      <c r="CZ18" s="40">
        <f t="shared" si="14"/>
        <v>0</v>
      </c>
      <c r="DA18" s="40">
        <f t="shared" si="14"/>
        <v>0</v>
      </c>
      <c r="DB18" s="40">
        <f t="shared" si="14"/>
        <v>0</v>
      </c>
      <c r="DC18" s="40">
        <f t="shared" si="14"/>
        <v>0</v>
      </c>
      <c r="DD18" s="40">
        <f t="shared" si="14"/>
        <v>0</v>
      </c>
      <c r="DE18" s="40">
        <f t="shared" si="14"/>
        <v>0</v>
      </c>
      <c r="DF18" s="40">
        <f t="shared" si="14"/>
        <v>0</v>
      </c>
      <c r="DG18" s="40">
        <f t="shared" si="14"/>
        <v>0</v>
      </c>
      <c r="DH18" s="40">
        <f t="shared" si="14"/>
        <v>0</v>
      </c>
      <c r="DI18" s="40">
        <f t="shared" si="14"/>
        <v>0</v>
      </c>
      <c r="DJ18" s="40">
        <f t="shared" si="14"/>
        <v>0</v>
      </c>
      <c r="DK18" s="40">
        <f t="shared" si="14"/>
        <v>0</v>
      </c>
      <c r="DL18" s="40">
        <f t="shared" si="14"/>
        <v>0</v>
      </c>
      <c r="DM18" s="40">
        <f t="shared" si="14"/>
        <v>0</v>
      </c>
    </row>
    <row r="19" spans="3:117" outlineLevel="1" x14ac:dyDescent="0.15"/>
    <row r="20" spans="3:117" outlineLevel="1" x14ac:dyDescent="0.15">
      <c r="C20" t="s">
        <v>70</v>
      </c>
      <c r="D20" s="5" t="s">
        <v>167</v>
      </c>
      <c r="I20" s="35">
        <f>SUM(J20:DM20)</f>
        <v>14649470625.101709</v>
      </c>
      <c r="J20" s="19">
        <f>MAX(0,J18)</f>
        <v>0</v>
      </c>
      <c r="K20" s="19">
        <f t="shared" ref="K20:BV20" si="15">MAX(0,K18)</f>
        <v>0</v>
      </c>
      <c r="L20" s="19">
        <f t="shared" si="15"/>
        <v>0</v>
      </c>
      <c r="M20" s="19">
        <f t="shared" si="15"/>
        <v>0</v>
      </c>
      <c r="N20" s="19">
        <f>MAX(0,N18)</f>
        <v>1512533712.3973508</v>
      </c>
      <c r="O20" s="19">
        <f t="shared" si="15"/>
        <v>1696812994.1173396</v>
      </c>
      <c r="P20" s="19">
        <f t="shared" si="15"/>
        <v>1725303295.6127253</v>
      </c>
      <c r="Q20" s="19">
        <f t="shared" si="15"/>
        <v>1701778905.3338199</v>
      </c>
      <c r="R20" s="19">
        <f t="shared" si="15"/>
        <v>2142989829.6179495</v>
      </c>
      <c r="S20" s="19">
        <f t="shared" si="15"/>
        <v>960661965.01452518</v>
      </c>
      <c r="T20" s="19">
        <f t="shared" si="15"/>
        <v>1099356820.1982827</v>
      </c>
      <c r="U20" s="19">
        <f t="shared" si="15"/>
        <v>1237321187.0957694</v>
      </c>
      <c r="V20" s="19">
        <f t="shared" si="15"/>
        <v>1033442961.0130658</v>
      </c>
      <c r="W20" s="19">
        <f t="shared" si="15"/>
        <v>1082554488.9040632</v>
      </c>
      <c r="X20" s="19">
        <f t="shared" si="15"/>
        <v>456714465.79681879</v>
      </c>
      <c r="Y20" s="19">
        <f t="shared" si="15"/>
        <v>0</v>
      </c>
      <c r="Z20" s="19">
        <f t="shared" si="15"/>
        <v>0</v>
      </c>
      <c r="AA20" s="19">
        <f t="shared" si="15"/>
        <v>0</v>
      </c>
      <c r="AB20" s="19">
        <f t="shared" si="15"/>
        <v>0</v>
      </c>
      <c r="AC20" s="19">
        <f t="shared" si="15"/>
        <v>0</v>
      </c>
      <c r="AD20" s="19">
        <f t="shared" si="15"/>
        <v>0</v>
      </c>
      <c r="AE20" s="19">
        <f t="shared" si="15"/>
        <v>0</v>
      </c>
      <c r="AF20" s="19">
        <f t="shared" si="15"/>
        <v>0</v>
      </c>
      <c r="AG20" s="19">
        <f t="shared" si="15"/>
        <v>0</v>
      </c>
      <c r="AH20" s="19">
        <f t="shared" si="15"/>
        <v>0</v>
      </c>
      <c r="AI20" s="19">
        <f t="shared" si="15"/>
        <v>0</v>
      </c>
      <c r="AJ20" s="19">
        <f t="shared" si="15"/>
        <v>0</v>
      </c>
      <c r="AK20" s="19">
        <f t="shared" si="15"/>
        <v>0</v>
      </c>
      <c r="AL20" s="19">
        <f t="shared" si="15"/>
        <v>0</v>
      </c>
      <c r="AM20" s="19">
        <f t="shared" si="15"/>
        <v>0</v>
      </c>
      <c r="AN20" s="19">
        <f t="shared" si="15"/>
        <v>0</v>
      </c>
      <c r="AO20" s="19">
        <f t="shared" si="15"/>
        <v>0</v>
      </c>
      <c r="AP20" s="19">
        <f t="shared" si="15"/>
        <v>0</v>
      </c>
      <c r="AQ20" s="19">
        <f t="shared" si="15"/>
        <v>0</v>
      </c>
      <c r="AR20" s="19">
        <f t="shared" si="15"/>
        <v>0</v>
      </c>
      <c r="AS20" s="19">
        <f t="shared" si="15"/>
        <v>0</v>
      </c>
      <c r="AT20" s="19">
        <f t="shared" si="15"/>
        <v>0</v>
      </c>
      <c r="AU20" s="19">
        <f t="shared" si="15"/>
        <v>0</v>
      </c>
      <c r="AV20" s="19">
        <f t="shared" si="15"/>
        <v>0</v>
      </c>
      <c r="AW20" s="19">
        <f t="shared" si="15"/>
        <v>0</v>
      </c>
      <c r="AX20" s="19">
        <f t="shared" si="15"/>
        <v>0</v>
      </c>
      <c r="AY20" s="19">
        <f t="shared" si="15"/>
        <v>0</v>
      </c>
      <c r="AZ20" s="19">
        <f t="shared" si="15"/>
        <v>0</v>
      </c>
      <c r="BA20" s="19">
        <f t="shared" si="15"/>
        <v>0</v>
      </c>
      <c r="BB20" s="19">
        <f t="shared" si="15"/>
        <v>0</v>
      </c>
      <c r="BC20" s="19">
        <f t="shared" si="15"/>
        <v>0</v>
      </c>
      <c r="BD20" s="19">
        <f t="shared" si="15"/>
        <v>0</v>
      </c>
      <c r="BE20" s="19">
        <f t="shared" si="15"/>
        <v>0</v>
      </c>
      <c r="BF20" s="19">
        <f t="shared" si="15"/>
        <v>0</v>
      </c>
      <c r="BG20" s="19">
        <f t="shared" si="15"/>
        <v>0</v>
      </c>
      <c r="BH20" s="19">
        <f t="shared" si="15"/>
        <v>0</v>
      </c>
      <c r="BI20" s="19">
        <f t="shared" si="15"/>
        <v>0</v>
      </c>
      <c r="BJ20" s="19">
        <f t="shared" si="15"/>
        <v>0</v>
      </c>
      <c r="BK20" s="19">
        <f t="shared" si="15"/>
        <v>0</v>
      </c>
      <c r="BL20" s="19">
        <f t="shared" si="15"/>
        <v>0</v>
      </c>
      <c r="BM20" s="19">
        <f t="shared" si="15"/>
        <v>0</v>
      </c>
      <c r="BN20" s="19">
        <f t="shared" si="15"/>
        <v>0</v>
      </c>
      <c r="BO20" s="19">
        <f t="shared" si="15"/>
        <v>0</v>
      </c>
      <c r="BP20" s="19">
        <f t="shared" si="15"/>
        <v>0</v>
      </c>
      <c r="BQ20" s="19">
        <f t="shared" si="15"/>
        <v>0</v>
      </c>
      <c r="BR20" s="19">
        <f t="shared" si="15"/>
        <v>0</v>
      </c>
      <c r="BS20" s="19">
        <f t="shared" si="15"/>
        <v>0</v>
      </c>
      <c r="BT20" s="19">
        <f t="shared" si="15"/>
        <v>0</v>
      </c>
      <c r="BU20" s="19">
        <f t="shared" si="15"/>
        <v>0</v>
      </c>
      <c r="BV20" s="19">
        <f t="shared" si="15"/>
        <v>0</v>
      </c>
      <c r="BW20" s="19">
        <f t="shared" ref="BW20:DM20" si="16">MAX(0,BW18)</f>
        <v>0</v>
      </c>
      <c r="BX20" s="19">
        <f t="shared" si="16"/>
        <v>0</v>
      </c>
      <c r="BY20" s="19">
        <f t="shared" si="16"/>
        <v>0</v>
      </c>
      <c r="BZ20" s="19">
        <f t="shared" si="16"/>
        <v>0</v>
      </c>
      <c r="CA20" s="19">
        <f t="shared" si="16"/>
        <v>0</v>
      </c>
      <c r="CB20" s="19">
        <f t="shared" si="16"/>
        <v>0</v>
      </c>
      <c r="CC20" s="19">
        <f t="shared" si="16"/>
        <v>0</v>
      </c>
      <c r="CD20" s="19">
        <f t="shared" si="16"/>
        <v>0</v>
      </c>
      <c r="CE20" s="19">
        <f t="shared" si="16"/>
        <v>0</v>
      </c>
      <c r="CF20" s="19">
        <f t="shared" si="16"/>
        <v>0</v>
      </c>
      <c r="CG20" s="19">
        <f t="shared" si="16"/>
        <v>0</v>
      </c>
      <c r="CH20" s="19">
        <f t="shared" si="16"/>
        <v>0</v>
      </c>
      <c r="CI20" s="19">
        <f t="shared" si="16"/>
        <v>0</v>
      </c>
      <c r="CJ20" s="19">
        <f t="shared" si="16"/>
        <v>0</v>
      </c>
      <c r="CK20" s="19">
        <f t="shared" si="16"/>
        <v>0</v>
      </c>
      <c r="CL20" s="19">
        <f t="shared" si="16"/>
        <v>0</v>
      </c>
      <c r="CM20" s="19">
        <f t="shared" si="16"/>
        <v>0</v>
      </c>
      <c r="CN20" s="19">
        <f t="shared" si="16"/>
        <v>0</v>
      </c>
      <c r="CO20" s="19">
        <f t="shared" si="16"/>
        <v>0</v>
      </c>
      <c r="CP20" s="19">
        <f t="shared" si="16"/>
        <v>0</v>
      </c>
      <c r="CQ20" s="19">
        <f t="shared" si="16"/>
        <v>0</v>
      </c>
      <c r="CR20" s="19">
        <f t="shared" si="16"/>
        <v>0</v>
      </c>
      <c r="CS20" s="19">
        <f t="shared" si="16"/>
        <v>0</v>
      </c>
      <c r="CT20" s="19">
        <f t="shared" si="16"/>
        <v>0</v>
      </c>
      <c r="CU20" s="19">
        <f t="shared" si="16"/>
        <v>0</v>
      </c>
      <c r="CV20" s="19">
        <f t="shared" si="16"/>
        <v>0</v>
      </c>
      <c r="CW20" s="19">
        <f t="shared" si="16"/>
        <v>0</v>
      </c>
      <c r="CX20" s="19">
        <f t="shared" si="16"/>
        <v>0</v>
      </c>
      <c r="CY20" s="19">
        <f t="shared" si="16"/>
        <v>0</v>
      </c>
      <c r="CZ20" s="19">
        <f t="shared" si="16"/>
        <v>0</v>
      </c>
      <c r="DA20" s="19">
        <f t="shared" si="16"/>
        <v>0</v>
      </c>
      <c r="DB20" s="19">
        <f t="shared" si="16"/>
        <v>0</v>
      </c>
      <c r="DC20" s="19">
        <f t="shared" si="16"/>
        <v>0</v>
      </c>
      <c r="DD20" s="19">
        <f t="shared" si="16"/>
        <v>0</v>
      </c>
      <c r="DE20" s="19">
        <f t="shared" si="16"/>
        <v>0</v>
      </c>
      <c r="DF20" s="19">
        <f t="shared" si="16"/>
        <v>0</v>
      </c>
      <c r="DG20" s="19">
        <f t="shared" si="16"/>
        <v>0</v>
      </c>
      <c r="DH20" s="19">
        <f t="shared" si="16"/>
        <v>0</v>
      </c>
      <c r="DI20" s="19">
        <f t="shared" si="16"/>
        <v>0</v>
      </c>
      <c r="DJ20" s="19">
        <f t="shared" si="16"/>
        <v>0</v>
      </c>
      <c r="DK20" s="19">
        <f t="shared" si="16"/>
        <v>0</v>
      </c>
      <c r="DL20" s="19">
        <f t="shared" si="16"/>
        <v>0</v>
      </c>
      <c r="DM20" s="19">
        <f t="shared" si="16"/>
        <v>0</v>
      </c>
    </row>
    <row r="21" spans="3:117" outlineLevel="1" x14ac:dyDescent="0.15">
      <c r="C21" t="s">
        <v>112</v>
      </c>
      <c r="D21" s="5" t="s">
        <v>18</v>
      </c>
      <c r="E21" s="20">
        <v>0.26200000000000001</v>
      </c>
      <c r="J21" s="33">
        <f t="shared" ref="J21:AO21" si="17">$E$21*J6</f>
        <v>0</v>
      </c>
      <c r="K21" s="33">
        <f t="shared" si="17"/>
        <v>0</v>
      </c>
      <c r="L21" s="33">
        <f t="shared" si="17"/>
        <v>0</v>
      </c>
      <c r="M21" s="33">
        <f t="shared" si="17"/>
        <v>0</v>
      </c>
      <c r="N21" s="33">
        <f t="shared" si="17"/>
        <v>0.26200000000000001</v>
      </c>
      <c r="O21" s="33">
        <f t="shared" si="17"/>
        <v>0.26200000000000001</v>
      </c>
      <c r="P21" s="33">
        <f t="shared" si="17"/>
        <v>0.26200000000000001</v>
      </c>
      <c r="Q21" s="33">
        <f t="shared" si="17"/>
        <v>0.26200000000000001</v>
      </c>
      <c r="R21" s="33">
        <f t="shared" si="17"/>
        <v>0.26200000000000001</v>
      </c>
      <c r="S21" s="33">
        <f t="shared" si="17"/>
        <v>0.26200000000000001</v>
      </c>
      <c r="T21" s="33">
        <f t="shared" si="17"/>
        <v>0.26200000000000001</v>
      </c>
      <c r="U21" s="33">
        <f t="shared" si="17"/>
        <v>0.26200000000000001</v>
      </c>
      <c r="V21" s="33">
        <f t="shared" si="17"/>
        <v>0.26200000000000001</v>
      </c>
      <c r="W21" s="33">
        <f t="shared" si="17"/>
        <v>0.26200000000000001</v>
      </c>
      <c r="X21" s="33">
        <f t="shared" si="17"/>
        <v>0.26200000000000001</v>
      </c>
      <c r="Y21" s="33">
        <f t="shared" si="17"/>
        <v>0</v>
      </c>
      <c r="Z21" s="33">
        <f t="shared" si="17"/>
        <v>0</v>
      </c>
      <c r="AA21" s="33">
        <f t="shared" si="17"/>
        <v>0</v>
      </c>
      <c r="AB21" s="33">
        <f t="shared" si="17"/>
        <v>0</v>
      </c>
      <c r="AC21" s="33">
        <f t="shared" si="17"/>
        <v>0</v>
      </c>
      <c r="AD21" s="33">
        <f t="shared" si="17"/>
        <v>0</v>
      </c>
      <c r="AE21" s="33">
        <f t="shared" si="17"/>
        <v>0</v>
      </c>
      <c r="AF21" s="33">
        <f t="shared" si="17"/>
        <v>0</v>
      </c>
      <c r="AG21" s="33">
        <f t="shared" si="17"/>
        <v>0</v>
      </c>
      <c r="AH21" s="33">
        <f t="shared" si="17"/>
        <v>0</v>
      </c>
      <c r="AI21" s="33">
        <f t="shared" si="17"/>
        <v>0</v>
      </c>
      <c r="AJ21" s="33">
        <f t="shared" si="17"/>
        <v>0</v>
      </c>
      <c r="AK21" s="33">
        <f t="shared" si="17"/>
        <v>0</v>
      </c>
      <c r="AL21" s="33">
        <f t="shared" si="17"/>
        <v>0</v>
      </c>
      <c r="AM21" s="33">
        <f t="shared" si="17"/>
        <v>0</v>
      </c>
      <c r="AN21" s="33">
        <f t="shared" si="17"/>
        <v>0</v>
      </c>
      <c r="AO21" s="33">
        <f t="shared" si="17"/>
        <v>0</v>
      </c>
      <c r="AP21" s="33">
        <f t="shared" ref="AP21:BU21" si="18">$E$21*AP6</f>
        <v>0</v>
      </c>
      <c r="AQ21" s="33">
        <f t="shared" si="18"/>
        <v>0</v>
      </c>
      <c r="AR21" s="33">
        <f t="shared" si="18"/>
        <v>0</v>
      </c>
      <c r="AS21" s="33">
        <f t="shared" si="18"/>
        <v>0</v>
      </c>
      <c r="AT21" s="33">
        <f t="shared" si="18"/>
        <v>0</v>
      </c>
      <c r="AU21" s="33">
        <f t="shared" si="18"/>
        <v>0</v>
      </c>
      <c r="AV21" s="33">
        <f t="shared" si="18"/>
        <v>0</v>
      </c>
      <c r="AW21" s="33">
        <f t="shared" si="18"/>
        <v>0</v>
      </c>
      <c r="AX21" s="33">
        <f t="shared" si="18"/>
        <v>0</v>
      </c>
      <c r="AY21" s="33">
        <f t="shared" si="18"/>
        <v>0</v>
      </c>
      <c r="AZ21" s="33">
        <f t="shared" si="18"/>
        <v>0</v>
      </c>
      <c r="BA21" s="33">
        <f t="shared" si="18"/>
        <v>0</v>
      </c>
      <c r="BB21" s="33">
        <f t="shared" si="18"/>
        <v>0</v>
      </c>
      <c r="BC21" s="33">
        <f t="shared" si="18"/>
        <v>0</v>
      </c>
      <c r="BD21" s="33">
        <f t="shared" si="18"/>
        <v>0</v>
      </c>
      <c r="BE21" s="33">
        <f t="shared" si="18"/>
        <v>0</v>
      </c>
      <c r="BF21" s="33">
        <f t="shared" si="18"/>
        <v>0</v>
      </c>
      <c r="BG21" s="33">
        <f t="shared" si="18"/>
        <v>0</v>
      </c>
      <c r="BH21" s="33">
        <f t="shared" si="18"/>
        <v>0</v>
      </c>
      <c r="BI21" s="33">
        <f t="shared" si="18"/>
        <v>0</v>
      </c>
      <c r="BJ21" s="33">
        <f t="shared" si="18"/>
        <v>0</v>
      </c>
      <c r="BK21" s="33">
        <f t="shared" si="18"/>
        <v>0</v>
      </c>
      <c r="BL21" s="33">
        <f t="shared" si="18"/>
        <v>0</v>
      </c>
      <c r="BM21" s="33">
        <f t="shared" si="18"/>
        <v>0</v>
      </c>
      <c r="BN21" s="33">
        <f t="shared" si="18"/>
        <v>0</v>
      </c>
      <c r="BO21" s="33">
        <f t="shared" si="18"/>
        <v>0</v>
      </c>
      <c r="BP21" s="33">
        <f t="shared" si="18"/>
        <v>0</v>
      </c>
      <c r="BQ21" s="33">
        <f t="shared" si="18"/>
        <v>0</v>
      </c>
      <c r="BR21" s="33">
        <f t="shared" si="18"/>
        <v>0</v>
      </c>
      <c r="BS21" s="33">
        <f t="shared" si="18"/>
        <v>0</v>
      </c>
      <c r="BT21" s="33">
        <f t="shared" si="18"/>
        <v>0</v>
      </c>
      <c r="BU21" s="33">
        <f t="shared" si="18"/>
        <v>0</v>
      </c>
      <c r="BV21" s="33">
        <f t="shared" ref="BV21:DA21" si="19">$E$21*BV6</f>
        <v>0</v>
      </c>
      <c r="BW21" s="33">
        <f t="shared" si="19"/>
        <v>0</v>
      </c>
      <c r="BX21" s="33">
        <f t="shared" si="19"/>
        <v>0</v>
      </c>
      <c r="BY21" s="33">
        <f t="shared" si="19"/>
        <v>0</v>
      </c>
      <c r="BZ21" s="33">
        <f t="shared" si="19"/>
        <v>0</v>
      </c>
      <c r="CA21" s="33">
        <f t="shared" si="19"/>
        <v>0</v>
      </c>
      <c r="CB21" s="33">
        <f t="shared" si="19"/>
        <v>0</v>
      </c>
      <c r="CC21" s="33">
        <f t="shared" si="19"/>
        <v>0</v>
      </c>
      <c r="CD21" s="33">
        <f t="shared" si="19"/>
        <v>0</v>
      </c>
      <c r="CE21" s="33">
        <f t="shared" si="19"/>
        <v>0</v>
      </c>
      <c r="CF21" s="33">
        <f t="shared" si="19"/>
        <v>0</v>
      </c>
      <c r="CG21" s="33">
        <f t="shared" si="19"/>
        <v>0</v>
      </c>
      <c r="CH21" s="33">
        <f t="shared" si="19"/>
        <v>0</v>
      </c>
      <c r="CI21" s="33">
        <f t="shared" si="19"/>
        <v>0</v>
      </c>
      <c r="CJ21" s="33">
        <f t="shared" si="19"/>
        <v>0</v>
      </c>
      <c r="CK21" s="33">
        <f t="shared" si="19"/>
        <v>0</v>
      </c>
      <c r="CL21" s="33">
        <f t="shared" si="19"/>
        <v>0</v>
      </c>
      <c r="CM21" s="33">
        <f t="shared" si="19"/>
        <v>0</v>
      </c>
      <c r="CN21" s="33">
        <f t="shared" si="19"/>
        <v>0</v>
      </c>
      <c r="CO21" s="33">
        <f t="shared" si="19"/>
        <v>0</v>
      </c>
      <c r="CP21" s="33">
        <f t="shared" si="19"/>
        <v>0</v>
      </c>
      <c r="CQ21" s="33">
        <f t="shared" si="19"/>
        <v>0</v>
      </c>
      <c r="CR21" s="33">
        <f t="shared" si="19"/>
        <v>0</v>
      </c>
      <c r="CS21" s="33">
        <f t="shared" si="19"/>
        <v>0</v>
      </c>
      <c r="CT21" s="33">
        <f t="shared" si="19"/>
        <v>0</v>
      </c>
      <c r="CU21" s="33">
        <f t="shared" si="19"/>
        <v>0</v>
      </c>
      <c r="CV21" s="33">
        <f t="shared" si="19"/>
        <v>0</v>
      </c>
      <c r="CW21" s="33">
        <f t="shared" si="19"/>
        <v>0</v>
      </c>
      <c r="CX21" s="33">
        <f t="shared" si="19"/>
        <v>0</v>
      </c>
      <c r="CY21" s="33">
        <f t="shared" si="19"/>
        <v>0</v>
      </c>
      <c r="CZ21" s="33">
        <f t="shared" si="19"/>
        <v>0</v>
      </c>
      <c r="DA21" s="33">
        <f t="shared" si="19"/>
        <v>0</v>
      </c>
      <c r="DB21" s="33">
        <f t="shared" ref="DB21:DM21" si="20">$E$21*DB6</f>
        <v>0</v>
      </c>
      <c r="DC21" s="33">
        <f t="shared" si="20"/>
        <v>0</v>
      </c>
      <c r="DD21" s="33">
        <f t="shared" si="20"/>
        <v>0</v>
      </c>
      <c r="DE21" s="33">
        <f t="shared" si="20"/>
        <v>0</v>
      </c>
      <c r="DF21" s="33">
        <f t="shared" si="20"/>
        <v>0</v>
      </c>
      <c r="DG21" s="33">
        <f t="shared" si="20"/>
        <v>0</v>
      </c>
      <c r="DH21" s="33">
        <f t="shared" si="20"/>
        <v>0</v>
      </c>
      <c r="DI21" s="33">
        <f t="shared" si="20"/>
        <v>0</v>
      </c>
      <c r="DJ21" s="33">
        <f t="shared" si="20"/>
        <v>0</v>
      </c>
      <c r="DK21" s="33">
        <f t="shared" si="20"/>
        <v>0</v>
      </c>
      <c r="DL21" s="33">
        <f t="shared" si="20"/>
        <v>0</v>
      </c>
      <c r="DM21" s="33">
        <f t="shared" si="20"/>
        <v>0</v>
      </c>
    </row>
    <row r="22" spans="3:117" outlineLevel="1" x14ac:dyDescent="0.15">
      <c r="C22" t="s">
        <v>68</v>
      </c>
      <c r="D22" s="5" t="s">
        <v>167</v>
      </c>
      <c r="I22" s="35">
        <f>SUM(J22:DM22)</f>
        <v>3838161303.776648</v>
      </c>
      <c r="J22" s="39">
        <f>J20*J21</f>
        <v>0</v>
      </c>
      <c r="K22" s="39">
        <f t="shared" ref="K22:BV22" si="21">K20*K21</f>
        <v>0</v>
      </c>
      <c r="L22" s="39">
        <f t="shared" si="21"/>
        <v>0</v>
      </c>
      <c r="M22" s="39">
        <f t="shared" si="21"/>
        <v>0</v>
      </c>
      <c r="N22" s="39">
        <f t="shared" si="21"/>
        <v>396283832.64810592</v>
      </c>
      <c r="O22" s="39">
        <f t="shared" si="21"/>
        <v>444565004.45874298</v>
      </c>
      <c r="P22" s="39">
        <f t="shared" si="21"/>
        <v>452029463.45053405</v>
      </c>
      <c r="Q22" s="39">
        <f t="shared" si="21"/>
        <v>445866073.19746083</v>
      </c>
      <c r="R22" s="39">
        <f t="shared" si="21"/>
        <v>561463335.35990274</v>
      </c>
      <c r="S22" s="39">
        <f t="shared" si="21"/>
        <v>251693434.83380562</v>
      </c>
      <c r="T22" s="39">
        <f t="shared" si="21"/>
        <v>288031486.89195007</v>
      </c>
      <c r="U22" s="39">
        <f t="shared" si="21"/>
        <v>324178151.01909161</v>
      </c>
      <c r="V22" s="39">
        <f t="shared" si="21"/>
        <v>270762055.78542328</v>
      </c>
      <c r="W22" s="39">
        <f t="shared" si="21"/>
        <v>283629276.09286457</v>
      </c>
      <c r="X22" s="39">
        <f t="shared" si="21"/>
        <v>119659190.03876653</v>
      </c>
      <c r="Y22" s="39">
        <f t="shared" si="21"/>
        <v>0</v>
      </c>
      <c r="Z22" s="39">
        <f t="shared" si="21"/>
        <v>0</v>
      </c>
      <c r="AA22" s="39">
        <f t="shared" si="21"/>
        <v>0</v>
      </c>
      <c r="AB22" s="39">
        <f t="shared" si="21"/>
        <v>0</v>
      </c>
      <c r="AC22" s="39">
        <f t="shared" si="21"/>
        <v>0</v>
      </c>
      <c r="AD22" s="39">
        <f t="shared" si="21"/>
        <v>0</v>
      </c>
      <c r="AE22" s="39">
        <f t="shared" si="21"/>
        <v>0</v>
      </c>
      <c r="AF22" s="39">
        <f t="shared" si="21"/>
        <v>0</v>
      </c>
      <c r="AG22" s="39">
        <f t="shared" si="21"/>
        <v>0</v>
      </c>
      <c r="AH22" s="39">
        <f t="shared" si="21"/>
        <v>0</v>
      </c>
      <c r="AI22" s="39">
        <f t="shared" si="21"/>
        <v>0</v>
      </c>
      <c r="AJ22" s="39">
        <f t="shared" si="21"/>
        <v>0</v>
      </c>
      <c r="AK22" s="39">
        <f t="shared" si="21"/>
        <v>0</v>
      </c>
      <c r="AL22" s="39">
        <f t="shared" si="21"/>
        <v>0</v>
      </c>
      <c r="AM22" s="39">
        <f t="shared" si="21"/>
        <v>0</v>
      </c>
      <c r="AN22" s="39">
        <f t="shared" si="21"/>
        <v>0</v>
      </c>
      <c r="AO22" s="39">
        <f t="shared" si="21"/>
        <v>0</v>
      </c>
      <c r="AP22" s="39">
        <f t="shared" si="21"/>
        <v>0</v>
      </c>
      <c r="AQ22" s="39">
        <f t="shared" si="21"/>
        <v>0</v>
      </c>
      <c r="AR22" s="39">
        <f t="shared" si="21"/>
        <v>0</v>
      </c>
      <c r="AS22" s="39">
        <f t="shared" si="21"/>
        <v>0</v>
      </c>
      <c r="AT22" s="39">
        <f t="shared" si="21"/>
        <v>0</v>
      </c>
      <c r="AU22" s="39">
        <f t="shared" si="21"/>
        <v>0</v>
      </c>
      <c r="AV22" s="39">
        <f t="shared" si="21"/>
        <v>0</v>
      </c>
      <c r="AW22" s="39">
        <f t="shared" si="21"/>
        <v>0</v>
      </c>
      <c r="AX22" s="39">
        <f t="shared" si="21"/>
        <v>0</v>
      </c>
      <c r="AY22" s="39">
        <f t="shared" si="21"/>
        <v>0</v>
      </c>
      <c r="AZ22" s="39">
        <f t="shared" si="21"/>
        <v>0</v>
      </c>
      <c r="BA22" s="39">
        <f t="shared" si="21"/>
        <v>0</v>
      </c>
      <c r="BB22" s="39">
        <f t="shared" si="21"/>
        <v>0</v>
      </c>
      <c r="BC22" s="39">
        <f t="shared" si="21"/>
        <v>0</v>
      </c>
      <c r="BD22" s="39">
        <f t="shared" si="21"/>
        <v>0</v>
      </c>
      <c r="BE22" s="39">
        <f t="shared" si="21"/>
        <v>0</v>
      </c>
      <c r="BF22" s="39">
        <f t="shared" si="21"/>
        <v>0</v>
      </c>
      <c r="BG22" s="39">
        <f t="shared" si="21"/>
        <v>0</v>
      </c>
      <c r="BH22" s="39">
        <f t="shared" si="21"/>
        <v>0</v>
      </c>
      <c r="BI22" s="39">
        <f t="shared" si="21"/>
        <v>0</v>
      </c>
      <c r="BJ22" s="39">
        <f t="shared" si="21"/>
        <v>0</v>
      </c>
      <c r="BK22" s="39">
        <f t="shared" si="21"/>
        <v>0</v>
      </c>
      <c r="BL22" s="39">
        <f t="shared" si="21"/>
        <v>0</v>
      </c>
      <c r="BM22" s="39">
        <f t="shared" si="21"/>
        <v>0</v>
      </c>
      <c r="BN22" s="39">
        <f t="shared" si="21"/>
        <v>0</v>
      </c>
      <c r="BO22" s="39">
        <f t="shared" si="21"/>
        <v>0</v>
      </c>
      <c r="BP22" s="39">
        <f t="shared" si="21"/>
        <v>0</v>
      </c>
      <c r="BQ22" s="39">
        <f t="shared" si="21"/>
        <v>0</v>
      </c>
      <c r="BR22" s="39">
        <f t="shared" si="21"/>
        <v>0</v>
      </c>
      <c r="BS22" s="39">
        <f t="shared" si="21"/>
        <v>0</v>
      </c>
      <c r="BT22" s="39">
        <f t="shared" si="21"/>
        <v>0</v>
      </c>
      <c r="BU22" s="39">
        <f t="shared" si="21"/>
        <v>0</v>
      </c>
      <c r="BV22" s="39">
        <f t="shared" si="21"/>
        <v>0</v>
      </c>
      <c r="BW22" s="39">
        <f t="shared" ref="BW22:DM22" si="22">BW20*BW21</f>
        <v>0</v>
      </c>
      <c r="BX22" s="39">
        <f t="shared" si="22"/>
        <v>0</v>
      </c>
      <c r="BY22" s="39">
        <f t="shared" si="22"/>
        <v>0</v>
      </c>
      <c r="BZ22" s="39">
        <f t="shared" si="22"/>
        <v>0</v>
      </c>
      <c r="CA22" s="39">
        <f t="shared" si="22"/>
        <v>0</v>
      </c>
      <c r="CB22" s="39">
        <f t="shared" si="22"/>
        <v>0</v>
      </c>
      <c r="CC22" s="39">
        <f t="shared" si="22"/>
        <v>0</v>
      </c>
      <c r="CD22" s="39">
        <f t="shared" si="22"/>
        <v>0</v>
      </c>
      <c r="CE22" s="39">
        <f t="shared" si="22"/>
        <v>0</v>
      </c>
      <c r="CF22" s="39">
        <f t="shared" si="22"/>
        <v>0</v>
      </c>
      <c r="CG22" s="39">
        <f t="shared" si="22"/>
        <v>0</v>
      </c>
      <c r="CH22" s="39">
        <f t="shared" si="22"/>
        <v>0</v>
      </c>
      <c r="CI22" s="39">
        <f t="shared" si="22"/>
        <v>0</v>
      </c>
      <c r="CJ22" s="39">
        <f t="shared" si="22"/>
        <v>0</v>
      </c>
      <c r="CK22" s="39">
        <f t="shared" si="22"/>
        <v>0</v>
      </c>
      <c r="CL22" s="39">
        <f t="shared" si="22"/>
        <v>0</v>
      </c>
      <c r="CM22" s="39">
        <f t="shared" si="22"/>
        <v>0</v>
      </c>
      <c r="CN22" s="39">
        <f t="shared" si="22"/>
        <v>0</v>
      </c>
      <c r="CO22" s="39">
        <f t="shared" si="22"/>
        <v>0</v>
      </c>
      <c r="CP22" s="39">
        <f t="shared" si="22"/>
        <v>0</v>
      </c>
      <c r="CQ22" s="39">
        <f t="shared" si="22"/>
        <v>0</v>
      </c>
      <c r="CR22" s="39">
        <f t="shared" si="22"/>
        <v>0</v>
      </c>
      <c r="CS22" s="39">
        <f t="shared" si="22"/>
        <v>0</v>
      </c>
      <c r="CT22" s="39">
        <f t="shared" si="22"/>
        <v>0</v>
      </c>
      <c r="CU22" s="39">
        <f t="shared" si="22"/>
        <v>0</v>
      </c>
      <c r="CV22" s="39">
        <f t="shared" si="22"/>
        <v>0</v>
      </c>
      <c r="CW22" s="39">
        <f t="shared" si="22"/>
        <v>0</v>
      </c>
      <c r="CX22" s="39">
        <f t="shared" si="22"/>
        <v>0</v>
      </c>
      <c r="CY22" s="39">
        <f t="shared" si="22"/>
        <v>0</v>
      </c>
      <c r="CZ22" s="39">
        <f t="shared" si="22"/>
        <v>0</v>
      </c>
      <c r="DA22" s="39">
        <f t="shared" si="22"/>
        <v>0</v>
      </c>
      <c r="DB22" s="39">
        <f t="shared" si="22"/>
        <v>0</v>
      </c>
      <c r="DC22" s="39">
        <f t="shared" si="22"/>
        <v>0</v>
      </c>
      <c r="DD22" s="39">
        <f t="shared" si="22"/>
        <v>0</v>
      </c>
      <c r="DE22" s="39">
        <f t="shared" si="22"/>
        <v>0</v>
      </c>
      <c r="DF22" s="39">
        <f t="shared" si="22"/>
        <v>0</v>
      </c>
      <c r="DG22" s="39">
        <f t="shared" si="22"/>
        <v>0</v>
      </c>
      <c r="DH22" s="39">
        <f t="shared" si="22"/>
        <v>0</v>
      </c>
      <c r="DI22" s="39">
        <f t="shared" si="22"/>
        <v>0</v>
      </c>
      <c r="DJ22" s="39">
        <f t="shared" si="22"/>
        <v>0</v>
      </c>
      <c r="DK22" s="39">
        <f t="shared" si="22"/>
        <v>0</v>
      </c>
      <c r="DL22" s="39">
        <f t="shared" si="22"/>
        <v>0</v>
      </c>
      <c r="DM22" s="39">
        <f t="shared" si="22"/>
        <v>0</v>
      </c>
    </row>
    <row r="24" spans="3:117" ht="20" x14ac:dyDescent="0.2">
      <c r="C24" s="4" t="s">
        <v>23</v>
      </c>
    </row>
    <row r="25" spans="3:117" outlineLevel="1" x14ac:dyDescent="0.15">
      <c r="C25" t="s">
        <v>102</v>
      </c>
      <c r="D25" s="5" t="s">
        <v>167</v>
      </c>
      <c r="I25" s="35">
        <f>SUM(J25:DM25)</f>
        <v>3021264430.0000005</v>
      </c>
      <c r="J25" s="19">
        <f>-'Financials &amp; Metrics'!J24</f>
        <v>232295554.04907975</v>
      </c>
      <c r="K25" s="19">
        <f>-'Financials &amp; Metrics'!K24</f>
        <v>511440631.60385638</v>
      </c>
      <c r="L25" s="19">
        <f>-'Financials &amp; Metrics'!L24</f>
        <v>952606977.94916749</v>
      </c>
      <c r="M25" s="19">
        <f>-'Financials &amp; Metrics'!M24</f>
        <v>530961266.39789659</v>
      </c>
      <c r="N25" s="19">
        <f>-'Financials &amp; Metrics'!N24</f>
        <v>144000000</v>
      </c>
      <c r="O25" s="19">
        <f>-'Financials &amp; Metrics'!O24</f>
        <v>150000000</v>
      </c>
      <c r="P25" s="19">
        <f>-'Financials &amp; Metrics'!P24</f>
        <v>132000000</v>
      </c>
      <c r="Q25" s="19">
        <f>-'Financials &amp; Metrics'!Q24</f>
        <v>114000000</v>
      </c>
      <c r="R25" s="19">
        <f>-'Financials &amp; Metrics'!R24</f>
        <v>78000000</v>
      </c>
      <c r="S25" s="19">
        <f>-'Financials &amp; Metrics'!S24</f>
        <v>18000000</v>
      </c>
      <c r="T25" s="19">
        <f>-'Financials &amp; Metrics'!T24</f>
        <v>22000000</v>
      </c>
      <c r="U25" s="19">
        <f>-'Financials &amp; Metrics'!U24</f>
        <v>10000000</v>
      </c>
      <c r="V25" s="19">
        <f>-'Financials &amp; Metrics'!V24</f>
        <v>10000000</v>
      </c>
      <c r="W25" s="19">
        <f>-'Financials &amp; Metrics'!W24</f>
        <v>0</v>
      </c>
      <c r="X25" s="19">
        <f>-'Financials &amp; Metrics'!X24</f>
        <v>46000000</v>
      </c>
      <c r="Y25" s="19">
        <f>-'Financials &amp; Metrics'!Y24</f>
        <v>69960000</v>
      </c>
      <c r="Z25" s="19">
        <f>-'Financials &amp; Metrics'!Z24</f>
        <v>0</v>
      </c>
      <c r="AA25" s="19">
        <f>-'Financials &amp; Metrics'!AA24</f>
        <v>0</v>
      </c>
      <c r="AB25" s="19">
        <f>-'Financials &amp; Metrics'!AB24</f>
        <v>0</v>
      </c>
      <c r="AC25" s="19">
        <f>-'Financials &amp; Metrics'!AC24</f>
        <v>0</v>
      </c>
      <c r="AD25" s="19">
        <f>-'Financials &amp; Metrics'!AD24</f>
        <v>0</v>
      </c>
      <c r="AE25" s="19">
        <f>-'Financials &amp; Metrics'!AE24</f>
        <v>0</v>
      </c>
      <c r="AF25" s="19">
        <f>-'Financials &amp; Metrics'!AF24</f>
        <v>0</v>
      </c>
      <c r="AG25" s="19">
        <f>-'Financials &amp; Metrics'!AG24</f>
        <v>0</v>
      </c>
      <c r="AH25" s="19">
        <f>-'Financials &amp; Metrics'!AH24</f>
        <v>0</v>
      </c>
      <c r="AI25" s="19">
        <f>-'Financials &amp; Metrics'!AI24</f>
        <v>0</v>
      </c>
      <c r="AJ25" s="19">
        <f>-'Financials &amp; Metrics'!AJ24</f>
        <v>0</v>
      </c>
      <c r="AK25" s="19">
        <f>-'Financials &amp; Metrics'!AK24</f>
        <v>0</v>
      </c>
      <c r="AL25" s="19">
        <f>-'Financials &amp; Metrics'!AL24</f>
        <v>0</v>
      </c>
      <c r="AM25" s="19">
        <f>-'Financials &amp; Metrics'!AM24</f>
        <v>0</v>
      </c>
      <c r="AN25" s="19">
        <f>-'Financials &amp; Metrics'!AN24</f>
        <v>0</v>
      </c>
      <c r="AO25" s="19">
        <f>-'Financials &amp; Metrics'!AO24</f>
        <v>0</v>
      </c>
      <c r="AP25" s="19">
        <f>-'Financials &amp; Metrics'!AP24</f>
        <v>0</v>
      </c>
      <c r="AQ25" s="19">
        <f>-'Financials &amp; Metrics'!AQ24</f>
        <v>0</v>
      </c>
      <c r="AR25" s="19">
        <f>-'Financials &amp; Metrics'!AR24</f>
        <v>0</v>
      </c>
      <c r="AS25" s="19">
        <f>-'Financials &amp; Metrics'!AS24</f>
        <v>0</v>
      </c>
      <c r="AT25" s="19">
        <f>-'Financials &amp; Metrics'!AT24</f>
        <v>0</v>
      </c>
      <c r="AU25" s="19">
        <f>-'Financials &amp; Metrics'!AU24</f>
        <v>0</v>
      </c>
      <c r="AV25" s="19">
        <f>-'Financials &amp; Metrics'!AV24</f>
        <v>0</v>
      </c>
      <c r="AW25" s="19">
        <f>-'Financials &amp; Metrics'!AW24</f>
        <v>0</v>
      </c>
      <c r="AX25" s="19">
        <f>-'Financials &amp; Metrics'!AX24</f>
        <v>0</v>
      </c>
      <c r="AY25" s="19">
        <f>-'Financials &amp; Metrics'!AY24</f>
        <v>0</v>
      </c>
      <c r="AZ25" s="19">
        <f>-'Financials &amp; Metrics'!AZ24</f>
        <v>0</v>
      </c>
      <c r="BA25" s="19">
        <f>-'Financials &amp; Metrics'!BA24</f>
        <v>0</v>
      </c>
      <c r="BB25" s="19">
        <f>-'Financials &amp; Metrics'!BB24</f>
        <v>0</v>
      </c>
      <c r="BC25" s="19">
        <f>-'Financials &amp; Metrics'!BC24</f>
        <v>0</v>
      </c>
      <c r="BD25" s="19">
        <f>-'Financials &amp; Metrics'!BD24</f>
        <v>0</v>
      </c>
      <c r="BE25" s="19">
        <f>-'Financials &amp; Metrics'!BE24</f>
        <v>0</v>
      </c>
      <c r="BF25" s="19">
        <f>-'Financials &amp; Metrics'!BF24</f>
        <v>0</v>
      </c>
      <c r="BG25" s="19">
        <f>-'Financials &amp; Metrics'!BG24</f>
        <v>0</v>
      </c>
      <c r="BH25" s="19">
        <f>-'Financials &amp; Metrics'!BH24</f>
        <v>0</v>
      </c>
      <c r="BI25" s="19">
        <f>-'Financials &amp; Metrics'!BI24</f>
        <v>0</v>
      </c>
      <c r="BJ25" s="19">
        <f>-'Financials &amp; Metrics'!BJ24</f>
        <v>0</v>
      </c>
      <c r="BK25" s="19">
        <f>-'Financials &amp; Metrics'!BK24</f>
        <v>0</v>
      </c>
      <c r="BL25" s="19">
        <f>-'Financials &amp; Metrics'!BL24</f>
        <v>0</v>
      </c>
      <c r="BM25" s="19">
        <f>-'Financials &amp; Metrics'!BM24</f>
        <v>0</v>
      </c>
      <c r="BN25" s="19">
        <f>-'Financials &amp; Metrics'!BN24</f>
        <v>0</v>
      </c>
      <c r="BO25" s="19">
        <f>-'Financials &amp; Metrics'!BO24</f>
        <v>0</v>
      </c>
      <c r="BP25" s="19">
        <f>-'Financials &amp; Metrics'!BP24</f>
        <v>0</v>
      </c>
      <c r="BQ25" s="19">
        <f>-'Financials &amp; Metrics'!BQ24</f>
        <v>0</v>
      </c>
      <c r="BR25" s="19">
        <f>-'Financials &amp; Metrics'!BR24</f>
        <v>0</v>
      </c>
      <c r="BS25" s="19">
        <f>-'Financials &amp; Metrics'!BS24</f>
        <v>0</v>
      </c>
      <c r="BT25" s="19">
        <f>-'Financials &amp; Metrics'!BT24</f>
        <v>0</v>
      </c>
      <c r="BU25" s="19">
        <f>-'Financials &amp; Metrics'!BU24</f>
        <v>0</v>
      </c>
      <c r="BV25" s="19">
        <f>-'Financials &amp; Metrics'!BV24</f>
        <v>0</v>
      </c>
      <c r="BW25" s="19">
        <f>-'Financials &amp; Metrics'!BW24</f>
        <v>0</v>
      </c>
      <c r="BX25" s="19">
        <f>-'Financials &amp; Metrics'!BX24</f>
        <v>0</v>
      </c>
      <c r="BY25" s="19">
        <f>-'Financials &amp; Metrics'!BY24</f>
        <v>0</v>
      </c>
      <c r="BZ25" s="19">
        <f>-'Financials &amp; Metrics'!BZ24</f>
        <v>0</v>
      </c>
      <c r="CA25" s="19">
        <f>-'Financials &amp; Metrics'!CA24</f>
        <v>0</v>
      </c>
      <c r="CB25" s="19">
        <f>-'Financials &amp; Metrics'!CB24</f>
        <v>0</v>
      </c>
      <c r="CC25" s="19">
        <f>-'Financials &amp; Metrics'!CC24</f>
        <v>0</v>
      </c>
      <c r="CD25" s="19">
        <f>-'Financials &amp; Metrics'!CD24</f>
        <v>0</v>
      </c>
      <c r="CE25" s="19">
        <f>-'Financials &amp; Metrics'!CE24</f>
        <v>0</v>
      </c>
      <c r="CF25" s="19">
        <f>-'Financials &amp; Metrics'!CF24</f>
        <v>0</v>
      </c>
      <c r="CG25" s="19">
        <f>-'Financials &amp; Metrics'!CG24</f>
        <v>0</v>
      </c>
      <c r="CH25" s="19">
        <f>-'Financials &amp; Metrics'!CH24</f>
        <v>0</v>
      </c>
      <c r="CI25" s="19">
        <f>-'Financials &amp; Metrics'!CI24</f>
        <v>0</v>
      </c>
      <c r="CJ25" s="19">
        <f>-'Financials &amp; Metrics'!CJ24</f>
        <v>0</v>
      </c>
      <c r="CK25" s="19">
        <f>-'Financials &amp; Metrics'!CK24</f>
        <v>0</v>
      </c>
      <c r="CL25" s="19">
        <f>-'Financials &amp; Metrics'!CL24</f>
        <v>0</v>
      </c>
      <c r="CM25" s="19">
        <f>-'Financials &amp; Metrics'!CM24</f>
        <v>0</v>
      </c>
      <c r="CN25" s="19">
        <f>-'Financials &amp; Metrics'!CN24</f>
        <v>0</v>
      </c>
      <c r="CO25" s="19">
        <f>-'Financials &amp; Metrics'!CO24</f>
        <v>0</v>
      </c>
      <c r="CP25" s="19">
        <f>-'Financials &amp; Metrics'!CP24</f>
        <v>0</v>
      </c>
      <c r="CQ25" s="19">
        <f>-'Financials &amp; Metrics'!CQ24</f>
        <v>0</v>
      </c>
      <c r="CR25" s="19">
        <f>-'Financials &amp; Metrics'!CR24</f>
        <v>0</v>
      </c>
      <c r="CS25" s="19">
        <f>-'Financials &amp; Metrics'!CS24</f>
        <v>0</v>
      </c>
      <c r="CT25" s="19">
        <f>-'Financials &amp; Metrics'!CT24</f>
        <v>0</v>
      </c>
      <c r="CU25" s="19">
        <f>-'Financials &amp; Metrics'!CU24</f>
        <v>0</v>
      </c>
      <c r="CV25" s="19">
        <f>-'Financials &amp; Metrics'!CV24</f>
        <v>0</v>
      </c>
      <c r="CW25" s="19">
        <f>-'Financials &amp; Metrics'!CW24</f>
        <v>0</v>
      </c>
      <c r="CX25" s="19">
        <f>-'Financials &amp; Metrics'!CX24</f>
        <v>0</v>
      </c>
      <c r="CY25" s="19">
        <f>-'Financials &amp; Metrics'!CY24</f>
        <v>0</v>
      </c>
      <c r="CZ25" s="19">
        <f>-'Financials &amp; Metrics'!CZ24</f>
        <v>0</v>
      </c>
      <c r="DA25" s="19">
        <f>-'Financials &amp; Metrics'!DA24</f>
        <v>0</v>
      </c>
      <c r="DB25" s="19">
        <f>-'Financials &amp; Metrics'!DB24</f>
        <v>0</v>
      </c>
      <c r="DC25" s="19">
        <f>-'Financials &amp; Metrics'!DC24</f>
        <v>0</v>
      </c>
      <c r="DD25" s="19">
        <f>-'Financials &amp; Metrics'!DD24</f>
        <v>0</v>
      </c>
      <c r="DE25" s="19">
        <f>-'Financials &amp; Metrics'!DE24</f>
        <v>0</v>
      </c>
      <c r="DF25" s="19">
        <f>-'Financials &amp; Metrics'!DF24</f>
        <v>0</v>
      </c>
      <c r="DG25" s="19">
        <f>-'Financials &amp; Metrics'!DG24</f>
        <v>0</v>
      </c>
      <c r="DH25" s="19">
        <f>-'Financials &amp; Metrics'!DH24</f>
        <v>0</v>
      </c>
      <c r="DI25" s="19">
        <f>-'Financials &amp; Metrics'!DI24</f>
        <v>0</v>
      </c>
      <c r="DJ25" s="19">
        <f>-'Financials &amp; Metrics'!DJ24</f>
        <v>0</v>
      </c>
      <c r="DK25" s="19">
        <f>-'Financials &amp; Metrics'!DK24</f>
        <v>0</v>
      </c>
      <c r="DL25" s="19">
        <f>-'Financials &amp; Metrics'!DL24</f>
        <v>0</v>
      </c>
      <c r="DM25" s="19">
        <f>-'Financials &amp; Metrics'!DM24</f>
        <v>0</v>
      </c>
    </row>
    <row r="26" spans="3:117" outlineLevel="1" x14ac:dyDescent="0.15"/>
    <row r="27" spans="3:117" ht="14" outlineLevel="1" x14ac:dyDescent="0.15">
      <c r="C27" s="2" t="s">
        <v>105</v>
      </c>
    </row>
    <row r="28" spans="3:117" outlineLevel="1" x14ac:dyDescent="0.15">
      <c r="C28" t="s">
        <v>55</v>
      </c>
      <c r="D28" s="5" t="s">
        <v>167</v>
      </c>
      <c r="J28" s="19">
        <f>I30</f>
        <v>0</v>
      </c>
      <c r="K28" s="19">
        <f t="shared" ref="K28:BV28" si="23">J30</f>
        <v>232295554.04907975</v>
      </c>
      <c r="L28" s="19">
        <f t="shared" si="23"/>
        <v>743736185.6529361</v>
      </c>
      <c r="M28" s="19">
        <f t="shared" si="23"/>
        <v>1696343163.6021037</v>
      </c>
      <c r="N28" s="19">
        <f t="shared" si="23"/>
        <v>2227304430.0000005</v>
      </c>
      <c r="O28" s="19">
        <f t="shared" si="23"/>
        <v>2227304430.0000005</v>
      </c>
      <c r="P28" s="19">
        <f t="shared" si="23"/>
        <v>2227304430.0000005</v>
      </c>
      <c r="Q28" s="19">
        <f t="shared" si="23"/>
        <v>2227304430.0000005</v>
      </c>
      <c r="R28" s="19">
        <f t="shared" si="23"/>
        <v>2227304430.0000005</v>
      </c>
      <c r="S28" s="19">
        <f t="shared" si="23"/>
        <v>2227304430.0000005</v>
      </c>
      <c r="T28" s="19">
        <f t="shared" si="23"/>
        <v>2227304430.0000005</v>
      </c>
      <c r="U28" s="19">
        <f t="shared" si="23"/>
        <v>2227304430.0000005</v>
      </c>
      <c r="V28" s="19">
        <f t="shared" si="23"/>
        <v>2227304430.0000005</v>
      </c>
      <c r="W28" s="19">
        <f t="shared" si="23"/>
        <v>2227304430.0000005</v>
      </c>
      <c r="X28" s="19">
        <f t="shared" si="23"/>
        <v>2227304430.0000005</v>
      </c>
      <c r="Y28" s="19">
        <f t="shared" si="23"/>
        <v>2227304430.0000005</v>
      </c>
      <c r="Z28" s="19">
        <f t="shared" si="23"/>
        <v>2227304430.0000005</v>
      </c>
      <c r="AA28" s="19">
        <f t="shared" si="23"/>
        <v>2227304430.0000005</v>
      </c>
      <c r="AB28" s="19">
        <f t="shared" si="23"/>
        <v>2227304430.0000005</v>
      </c>
      <c r="AC28" s="19">
        <f t="shared" si="23"/>
        <v>2227304430.0000005</v>
      </c>
      <c r="AD28" s="19">
        <f t="shared" si="23"/>
        <v>2227304430.0000005</v>
      </c>
      <c r="AE28" s="19">
        <f t="shared" si="23"/>
        <v>2227304430.0000005</v>
      </c>
      <c r="AF28" s="19">
        <f t="shared" si="23"/>
        <v>2227304430.0000005</v>
      </c>
      <c r="AG28" s="19">
        <f t="shared" si="23"/>
        <v>2227304430.0000005</v>
      </c>
      <c r="AH28" s="19">
        <f t="shared" si="23"/>
        <v>2227304430.0000005</v>
      </c>
      <c r="AI28" s="19">
        <f t="shared" si="23"/>
        <v>2227304430.0000005</v>
      </c>
      <c r="AJ28" s="19">
        <f t="shared" si="23"/>
        <v>2227304430.0000005</v>
      </c>
      <c r="AK28" s="19">
        <f t="shared" si="23"/>
        <v>2227304430.0000005</v>
      </c>
      <c r="AL28" s="19">
        <f t="shared" si="23"/>
        <v>2227304430.0000005</v>
      </c>
      <c r="AM28" s="19">
        <f t="shared" si="23"/>
        <v>2227304430.0000005</v>
      </c>
      <c r="AN28" s="19">
        <f t="shared" si="23"/>
        <v>2227304430.0000005</v>
      </c>
      <c r="AO28" s="19">
        <f t="shared" si="23"/>
        <v>2227304430.0000005</v>
      </c>
      <c r="AP28" s="19">
        <f t="shared" si="23"/>
        <v>2227304430.0000005</v>
      </c>
      <c r="AQ28" s="19">
        <f t="shared" si="23"/>
        <v>2227304430.0000005</v>
      </c>
      <c r="AR28" s="19">
        <f t="shared" si="23"/>
        <v>2227304430.0000005</v>
      </c>
      <c r="AS28" s="19">
        <f t="shared" si="23"/>
        <v>2227304430.0000005</v>
      </c>
      <c r="AT28" s="19">
        <f t="shared" si="23"/>
        <v>2227304430.0000005</v>
      </c>
      <c r="AU28" s="19">
        <f t="shared" si="23"/>
        <v>2227304430.0000005</v>
      </c>
      <c r="AV28" s="19">
        <f t="shared" si="23"/>
        <v>2227304430.0000005</v>
      </c>
      <c r="AW28" s="19">
        <f t="shared" si="23"/>
        <v>2227304430.0000005</v>
      </c>
      <c r="AX28" s="19">
        <f t="shared" si="23"/>
        <v>2227304430.0000005</v>
      </c>
      <c r="AY28" s="19">
        <f t="shared" si="23"/>
        <v>2227304430.0000005</v>
      </c>
      <c r="AZ28" s="19">
        <f t="shared" si="23"/>
        <v>2227304430.0000005</v>
      </c>
      <c r="BA28" s="19">
        <f t="shared" si="23"/>
        <v>2227304430.0000005</v>
      </c>
      <c r="BB28" s="19">
        <f t="shared" si="23"/>
        <v>2227304430.0000005</v>
      </c>
      <c r="BC28" s="19">
        <f t="shared" si="23"/>
        <v>2227304430.0000005</v>
      </c>
      <c r="BD28" s="19">
        <f t="shared" si="23"/>
        <v>2227304430.0000005</v>
      </c>
      <c r="BE28" s="19">
        <f t="shared" si="23"/>
        <v>2227304430.0000005</v>
      </c>
      <c r="BF28" s="19">
        <f t="shared" si="23"/>
        <v>2227304430.0000005</v>
      </c>
      <c r="BG28" s="19">
        <f t="shared" si="23"/>
        <v>2227304430.0000005</v>
      </c>
      <c r="BH28" s="19">
        <f t="shared" si="23"/>
        <v>2227304430.0000005</v>
      </c>
      <c r="BI28" s="19">
        <f t="shared" si="23"/>
        <v>2227304430.0000005</v>
      </c>
      <c r="BJ28" s="19">
        <f t="shared" si="23"/>
        <v>2227304430.0000005</v>
      </c>
      <c r="BK28" s="19">
        <f t="shared" si="23"/>
        <v>2227304430.0000005</v>
      </c>
      <c r="BL28" s="19">
        <f t="shared" si="23"/>
        <v>2227304430.0000005</v>
      </c>
      <c r="BM28" s="19">
        <f t="shared" si="23"/>
        <v>2227304430.0000005</v>
      </c>
      <c r="BN28" s="19">
        <f t="shared" si="23"/>
        <v>2227304430.0000005</v>
      </c>
      <c r="BO28" s="19">
        <f t="shared" si="23"/>
        <v>2227304430.0000005</v>
      </c>
      <c r="BP28" s="19">
        <f t="shared" si="23"/>
        <v>2227304430.0000005</v>
      </c>
      <c r="BQ28" s="19">
        <f t="shared" si="23"/>
        <v>2227304430.0000005</v>
      </c>
      <c r="BR28" s="19">
        <f t="shared" si="23"/>
        <v>2227304430.0000005</v>
      </c>
      <c r="BS28" s="19">
        <f t="shared" si="23"/>
        <v>2227304430.0000005</v>
      </c>
      <c r="BT28" s="19">
        <f t="shared" si="23"/>
        <v>2227304430.0000005</v>
      </c>
      <c r="BU28" s="19">
        <f t="shared" si="23"/>
        <v>2227304430.0000005</v>
      </c>
      <c r="BV28" s="19">
        <f t="shared" si="23"/>
        <v>2227304430.0000005</v>
      </c>
      <c r="BW28" s="19">
        <f t="shared" ref="BW28:DM28" si="24">BV30</f>
        <v>2227304430.0000005</v>
      </c>
      <c r="BX28" s="19">
        <f t="shared" si="24"/>
        <v>2227304430.0000005</v>
      </c>
      <c r="BY28" s="19">
        <f t="shared" si="24"/>
        <v>2227304430.0000005</v>
      </c>
      <c r="BZ28" s="19">
        <f t="shared" si="24"/>
        <v>2227304430.0000005</v>
      </c>
      <c r="CA28" s="19">
        <f t="shared" si="24"/>
        <v>2227304430.0000005</v>
      </c>
      <c r="CB28" s="19">
        <f t="shared" si="24"/>
        <v>2227304430.0000005</v>
      </c>
      <c r="CC28" s="19">
        <f t="shared" si="24"/>
        <v>2227304430.0000005</v>
      </c>
      <c r="CD28" s="19">
        <f t="shared" si="24"/>
        <v>2227304430.0000005</v>
      </c>
      <c r="CE28" s="19">
        <f t="shared" si="24"/>
        <v>2227304430.0000005</v>
      </c>
      <c r="CF28" s="19">
        <f t="shared" si="24"/>
        <v>2227304430.0000005</v>
      </c>
      <c r="CG28" s="19">
        <f t="shared" si="24"/>
        <v>2227304430.0000005</v>
      </c>
      <c r="CH28" s="19">
        <f t="shared" si="24"/>
        <v>2227304430.0000005</v>
      </c>
      <c r="CI28" s="19">
        <f t="shared" si="24"/>
        <v>2227304430.0000005</v>
      </c>
      <c r="CJ28" s="19">
        <f t="shared" si="24"/>
        <v>2227304430.0000005</v>
      </c>
      <c r="CK28" s="19">
        <f t="shared" si="24"/>
        <v>2227304430.0000005</v>
      </c>
      <c r="CL28" s="19">
        <f t="shared" si="24"/>
        <v>2227304430.0000005</v>
      </c>
      <c r="CM28" s="19">
        <f t="shared" si="24"/>
        <v>2227304430.0000005</v>
      </c>
      <c r="CN28" s="19">
        <f t="shared" si="24"/>
        <v>2227304430.0000005</v>
      </c>
      <c r="CO28" s="19">
        <f t="shared" si="24"/>
        <v>2227304430.0000005</v>
      </c>
      <c r="CP28" s="19">
        <f t="shared" si="24"/>
        <v>2227304430.0000005</v>
      </c>
      <c r="CQ28" s="19">
        <f t="shared" si="24"/>
        <v>2227304430.0000005</v>
      </c>
      <c r="CR28" s="19">
        <f t="shared" si="24"/>
        <v>2227304430.0000005</v>
      </c>
      <c r="CS28" s="19">
        <f t="shared" si="24"/>
        <v>2227304430.0000005</v>
      </c>
      <c r="CT28" s="19">
        <f t="shared" si="24"/>
        <v>2227304430.0000005</v>
      </c>
      <c r="CU28" s="19">
        <f t="shared" si="24"/>
        <v>2227304430.0000005</v>
      </c>
      <c r="CV28" s="19">
        <f t="shared" si="24"/>
        <v>2227304430.0000005</v>
      </c>
      <c r="CW28" s="19">
        <f t="shared" si="24"/>
        <v>2227304430.0000005</v>
      </c>
      <c r="CX28" s="19">
        <f t="shared" si="24"/>
        <v>2227304430.0000005</v>
      </c>
      <c r="CY28" s="19">
        <f t="shared" si="24"/>
        <v>2227304430.0000005</v>
      </c>
      <c r="CZ28" s="19">
        <f t="shared" si="24"/>
        <v>2227304430.0000005</v>
      </c>
      <c r="DA28" s="19">
        <f t="shared" si="24"/>
        <v>2227304430.0000005</v>
      </c>
      <c r="DB28" s="19">
        <f t="shared" si="24"/>
        <v>2227304430.0000005</v>
      </c>
      <c r="DC28" s="19">
        <f t="shared" si="24"/>
        <v>2227304430.0000005</v>
      </c>
      <c r="DD28" s="19">
        <f t="shared" si="24"/>
        <v>2227304430.0000005</v>
      </c>
      <c r="DE28" s="19">
        <f t="shared" si="24"/>
        <v>2227304430.0000005</v>
      </c>
      <c r="DF28" s="19">
        <f t="shared" si="24"/>
        <v>2227304430.0000005</v>
      </c>
      <c r="DG28" s="19">
        <f t="shared" si="24"/>
        <v>2227304430.0000005</v>
      </c>
      <c r="DH28" s="19">
        <f t="shared" si="24"/>
        <v>2227304430.0000005</v>
      </c>
      <c r="DI28" s="19">
        <f t="shared" si="24"/>
        <v>2227304430.0000005</v>
      </c>
      <c r="DJ28" s="19">
        <f t="shared" si="24"/>
        <v>2227304430.0000005</v>
      </c>
      <c r="DK28" s="19">
        <f t="shared" si="24"/>
        <v>2227304430.0000005</v>
      </c>
      <c r="DL28" s="19">
        <f t="shared" si="24"/>
        <v>2227304430.0000005</v>
      </c>
      <c r="DM28" s="19">
        <f t="shared" si="24"/>
        <v>2227304430.0000005</v>
      </c>
    </row>
    <row r="29" spans="3:117" outlineLevel="1" x14ac:dyDescent="0.15">
      <c r="C29" t="s">
        <v>69</v>
      </c>
      <c r="D29" s="5" t="s">
        <v>167</v>
      </c>
      <c r="I29" s="35">
        <f>SUM(J29:DM29)</f>
        <v>2227304430.0000005</v>
      </c>
      <c r="J29" s="19">
        <f t="shared" ref="J29:AO29" si="25">J25*J5</f>
        <v>232295554.04907975</v>
      </c>
      <c r="K29" s="19">
        <f t="shared" si="25"/>
        <v>511440631.60385638</v>
      </c>
      <c r="L29" s="19">
        <f t="shared" si="25"/>
        <v>952606977.94916749</v>
      </c>
      <c r="M29" s="19">
        <f t="shared" si="25"/>
        <v>530961266.39789659</v>
      </c>
      <c r="N29" s="19">
        <f t="shared" si="25"/>
        <v>0</v>
      </c>
      <c r="O29" s="19">
        <f t="shared" si="25"/>
        <v>0</v>
      </c>
      <c r="P29" s="19">
        <f t="shared" si="25"/>
        <v>0</v>
      </c>
      <c r="Q29" s="19">
        <f t="shared" si="25"/>
        <v>0</v>
      </c>
      <c r="R29" s="19">
        <f t="shared" si="25"/>
        <v>0</v>
      </c>
      <c r="S29" s="19">
        <f t="shared" si="25"/>
        <v>0</v>
      </c>
      <c r="T29" s="19">
        <f t="shared" si="25"/>
        <v>0</v>
      </c>
      <c r="U29" s="19">
        <f t="shared" si="25"/>
        <v>0</v>
      </c>
      <c r="V29" s="19">
        <f t="shared" si="25"/>
        <v>0</v>
      </c>
      <c r="W29" s="19">
        <f t="shared" si="25"/>
        <v>0</v>
      </c>
      <c r="X29" s="19">
        <f t="shared" si="25"/>
        <v>0</v>
      </c>
      <c r="Y29" s="19">
        <f t="shared" si="25"/>
        <v>0</v>
      </c>
      <c r="Z29" s="19">
        <f t="shared" si="25"/>
        <v>0</v>
      </c>
      <c r="AA29" s="19">
        <f t="shared" si="25"/>
        <v>0</v>
      </c>
      <c r="AB29" s="19">
        <f t="shared" si="25"/>
        <v>0</v>
      </c>
      <c r="AC29" s="19">
        <f t="shared" si="25"/>
        <v>0</v>
      </c>
      <c r="AD29" s="19">
        <f t="shared" si="25"/>
        <v>0</v>
      </c>
      <c r="AE29" s="19">
        <f t="shared" si="25"/>
        <v>0</v>
      </c>
      <c r="AF29" s="19">
        <f t="shared" si="25"/>
        <v>0</v>
      </c>
      <c r="AG29" s="19">
        <f t="shared" si="25"/>
        <v>0</v>
      </c>
      <c r="AH29" s="19">
        <f t="shared" si="25"/>
        <v>0</v>
      </c>
      <c r="AI29" s="19">
        <f t="shared" si="25"/>
        <v>0</v>
      </c>
      <c r="AJ29" s="19">
        <f t="shared" si="25"/>
        <v>0</v>
      </c>
      <c r="AK29" s="19">
        <f t="shared" si="25"/>
        <v>0</v>
      </c>
      <c r="AL29" s="19">
        <f t="shared" si="25"/>
        <v>0</v>
      </c>
      <c r="AM29" s="19">
        <f t="shared" si="25"/>
        <v>0</v>
      </c>
      <c r="AN29" s="19">
        <f t="shared" si="25"/>
        <v>0</v>
      </c>
      <c r="AO29" s="19">
        <f t="shared" si="25"/>
        <v>0</v>
      </c>
      <c r="AP29" s="19">
        <f t="shared" ref="AP29:BU29" si="26">AP25*AP5</f>
        <v>0</v>
      </c>
      <c r="AQ29" s="19">
        <f t="shared" si="26"/>
        <v>0</v>
      </c>
      <c r="AR29" s="19">
        <f t="shared" si="26"/>
        <v>0</v>
      </c>
      <c r="AS29" s="19">
        <f t="shared" si="26"/>
        <v>0</v>
      </c>
      <c r="AT29" s="19">
        <f t="shared" si="26"/>
        <v>0</v>
      </c>
      <c r="AU29" s="19">
        <f t="shared" si="26"/>
        <v>0</v>
      </c>
      <c r="AV29" s="19">
        <f t="shared" si="26"/>
        <v>0</v>
      </c>
      <c r="AW29" s="19">
        <f t="shared" si="26"/>
        <v>0</v>
      </c>
      <c r="AX29" s="19">
        <f t="shared" si="26"/>
        <v>0</v>
      </c>
      <c r="AY29" s="19">
        <f t="shared" si="26"/>
        <v>0</v>
      </c>
      <c r="AZ29" s="19">
        <f t="shared" si="26"/>
        <v>0</v>
      </c>
      <c r="BA29" s="19">
        <f t="shared" si="26"/>
        <v>0</v>
      </c>
      <c r="BB29" s="19">
        <f t="shared" si="26"/>
        <v>0</v>
      </c>
      <c r="BC29" s="19">
        <f t="shared" si="26"/>
        <v>0</v>
      </c>
      <c r="BD29" s="19">
        <f t="shared" si="26"/>
        <v>0</v>
      </c>
      <c r="BE29" s="19">
        <f t="shared" si="26"/>
        <v>0</v>
      </c>
      <c r="BF29" s="19">
        <f t="shared" si="26"/>
        <v>0</v>
      </c>
      <c r="BG29" s="19">
        <f t="shared" si="26"/>
        <v>0</v>
      </c>
      <c r="BH29" s="19">
        <f t="shared" si="26"/>
        <v>0</v>
      </c>
      <c r="BI29" s="19">
        <f t="shared" si="26"/>
        <v>0</v>
      </c>
      <c r="BJ29" s="19">
        <f t="shared" si="26"/>
        <v>0</v>
      </c>
      <c r="BK29" s="19">
        <f t="shared" si="26"/>
        <v>0</v>
      </c>
      <c r="BL29" s="19">
        <f t="shared" si="26"/>
        <v>0</v>
      </c>
      <c r="BM29" s="19">
        <f t="shared" si="26"/>
        <v>0</v>
      </c>
      <c r="BN29" s="19">
        <f t="shared" si="26"/>
        <v>0</v>
      </c>
      <c r="BO29" s="19">
        <f t="shared" si="26"/>
        <v>0</v>
      </c>
      <c r="BP29" s="19">
        <f t="shared" si="26"/>
        <v>0</v>
      </c>
      <c r="BQ29" s="19">
        <f t="shared" si="26"/>
        <v>0</v>
      </c>
      <c r="BR29" s="19">
        <f t="shared" si="26"/>
        <v>0</v>
      </c>
      <c r="BS29" s="19">
        <f t="shared" si="26"/>
        <v>0</v>
      </c>
      <c r="BT29" s="19">
        <f t="shared" si="26"/>
        <v>0</v>
      </c>
      <c r="BU29" s="19">
        <f t="shared" si="26"/>
        <v>0</v>
      </c>
      <c r="BV29" s="19">
        <f t="shared" ref="BV29:DA29" si="27">BV25*BV5</f>
        <v>0</v>
      </c>
      <c r="BW29" s="19">
        <f t="shared" si="27"/>
        <v>0</v>
      </c>
      <c r="BX29" s="19">
        <f t="shared" si="27"/>
        <v>0</v>
      </c>
      <c r="BY29" s="19">
        <f t="shared" si="27"/>
        <v>0</v>
      </c>
      <c r="BZ29" s="19">
        <f t="shared" si="27"/>
        <v>0</v>
      </c>
      <c r="CA29" s="19">
        <f t="shared" si="27"/>
        <v>0</v>
      </c>
      <c r="CB29" s="19">
        <f t="shared" si="27"/>
        <v>0</v>
      </c>
      <c r="CC29" s="19">
        <f t="shared" si="27"/>
        <v>0</v>
      </c>
      <c r="CD29" s="19">
        <f t="shared" si="27"/>
        <v>0</v>
      </c>
      <c r="CE29" s="19">
        <f t="shared" si="27"/>
        <v>0</v>
      </c>
      <c r="CF29" s="19">
        <f t="shared" si="27"/>
        <v>0</v>
      </c>
      <c r="CG29" s="19">
        <f t="shared" si="27"/>
        <v>0</v>
      </c>
      <c r="CH29" s="19">
        <f t="shared" si="27"/>
        <v>0</v>
      </c>
      <c r="CI29" s="19">
        <f t="shared" si="27"/>
        <v>0</v>
      </c>
      <c r="CJ29" s="19">
        <f t="shared" si="27"/>
        <v>0</v>
      </c>
      <c r="CK29" s="19">
        <f t="shared" si="27"/>
        <v>0</v>
      </c>
      <c r="CL29" s="19">
        <f t="shared" si="27"/>
        <v>0</v>
      </c>
      <c r="CM29" s="19">
        <f t="shared" si="27"/>
        <v>0</v>
      </c>
      <c r="CN29" s="19">
        <f t="shared" si="27"/>
        <v>0</v>
      </c>
      <c r="CO29" s="19">
        <f t="shared" si="27"/>
        <v>0</v>
      </c>
      <c r="CP29" s="19">
        <f t="shared" si="27"/>
        <v>0</v>
      </c>
      <c r="CQ29" s="19">
        <f t="shared" si="27"/>
        <v>0</v>
      </c>
      <c r="CR29" s="19">
        <f t="shared" si="27"/>
        <v>0</v>
      </c>
      <c r="CS29" s="19">
        <f t="shared" si="27"/>
        <v>0</v>
      </c>
      <c r="CT29" s="19">
        <f t="shared" si="27"/>
        <v>0</v>
      </c>
      <c r="CU29" s="19">
        <f t="shared" si="27"/>
        <v>0</v>
      </c>
      <c r="CV29" s="19">
        <f t="shared" si="27"/>
        <v>0</v>
      </c>
      <c r="CW29" s="19">
        <f t="shared" si="27"/>
        <v>0</v>
      </c>
      <c r="CX29" s="19">
        <f t="shared" si="27"/>
        <v>0</v>
      </c>
      <c r="CY29" s="19">
        <f t="shared" si="27"/>
        <v>0</v>
      </c>
      <c r="CZ29" s="19">
        <f t="shared" si="27"/>
        <v>0</v>
      </c>
      <c r="DA29" s="19">
        <f t="shared" si="27"/>
        <v>0</v>
      </c>
      <c r="DB29" s="19">
        <f t="shared" ref="DB29:DM29" si="28">DB25*DB5</f>
        <v>0</v>
      </c>
      <c r="DC29" s="19">
        <f t="shared" si="28"/>
        <v>0</v>
      </c>
      <c r="DD29" s="19">
        <f t="shared" si="28"/>
        <v>0</v>
      </c>
      <c r="DE29" s="19">
        <f t="shared" si="28"/>
        <v>0</v>
      </c>
      <c r="DF29" s="19">
        <f t="shared" si="28"/>
        <v>0</v>
      </c>
      <c r="DG29" s="19">
        <f t="shared" si="28"/>
        <v>0</v>
      </c>
      <c r="DH29" s="19">
        <f t="shared" si="28"/>
        <v>0</v>
      </c>
      <c r="DI29" s="19">
        <f t="shared" si="28"/>
        <v>0</v>
      </c>
      <c r="DJ29" s="19">
        <f t="shared" si="28"/>
        <v>0</v>
      </c>
      <c r="DK29" s="19">
        <f t="shared" si="28"/>
        <v>0</v>
      </c>
      <c r="DL29" s="19">
        <f t="shared" si="28"/>
        <v>0</v>
      </c>
      <c r="DM29" s="19">
        <f t="shared" si="28"/>
        <v>0</v>
      </c>
    </row>
    <row r="30" spans="3:117" ht="14" outlineLevel="1" thickBot="1" x14ac:dyDescent="0.2">
      <c r="C30" t="s">
        <v>56</v>
      </c>
      <c r="D30" s="5" t="s">
        <v>167</v>
      </c>
      <c r="I30" s="9"/>
      <c r="J30" s="41">
        <f>SUM(J28:J29)</f>
        <v>232295554.04907975</v>
      </c>
      <c r="K30" s="41">
        <f t="shared" ref="K30:BV30" si="29">SUM(K28:K29)</f>
        <v>743736185.6529361</v>
      </c>
      <c r="L30" s="41">
        <f t="shared" si="29"/>
        <v>1696343163.6021037</v>
      </c>
      <c r="M30" s="41">
        <f t="shared" si="29"/>
        <v>2227304430.0000005</v>
      </c>
      <c r="N30" s="41">
        <f t="shared" si="29"/>
        <v>2227304430.0000005</v>
      </c>
      <c r="O30" s="41">
        <f t="shared" si="29"/>
        <v>2227304430.0000005</v>
      </c>
      <c r="P30" s="41">
        <f t="shared" si="29"/>
        <v>2227304430.0000005</v>
      </c>
      <c r="Q30" s="41">
        <f t="shared" si="29"/>
        <v>2227304430.0000005</v>
      </c>
      <c r="R30" s="41">
        <f t="shared" si="29"/>
        <v>2227304430.0000005</v>
      </c>
      <c r="S30" s="41">
        <f t="shared" si="29"/>
        <v>2227304430.0000005</v>
      </c>
      <c r="T30" s="41">
        <f t="shared" si="29"/>
        <v>2227304430.0000005</v>
      </c>
      <c r="U30" s="41">
        <f t="shared" si="29"/>
        <v>2227304430.0000005</v>
      </c>
      <c r="V30" s="41">
        <f t="shared" si="29"/>
        <v>2227304430.0000005</v>
      </c>
      <c r="W30" s="41">
        <f t="shared" si="29"/>
        <v>2227304430.0000005</v>
      </c>
      <c r="X30" s="41">
        <f t="shared" si="29"/>
        <v>2227304430.0000005</v>
      </c>
      <c r="Y30" s="41">
        <f t="shared" si="29"/>
        <v>2227304430.0000005</v>
      </c>
      <c r="Z30" s="41">
        <f t="shared" si="29"/>
        <v>2227304430.0000005</v>
      </c>
      <c r="AA30" s="41">
        <f t="shared" si="29"/>
        <v>2227304430.0000005</v>
      </c>
      <c r="AB30" s="41">
        <f t="shared" si="29"/>
        <v>2227304430.0000005</v>
      </c>
      <c r="AC30" s="41">
        <f t="shared" si="29"/>
        <v>2227304430.0000005</v>
      </c>
      <c r="AD30" s="41">
        <f t="shared" si="29"/>
        <v>2227304430.0000005</v>
      </c>
      <c r="AE30" s="41">
        <f t="shared" si="29"/>
        <v>2227304430.0000005</v>
      </c>
      <c r="AF30" s="41">
        <f t="shared" si="29"/>
        <v>2227304430.0000005</v>
      </c>
      <c r="AG30" s="41">
        <f t="shared" si="29"/>
        <v>2227304430.0000005</v>
      </c>
      <c r="AH30" s="41">
        <f t="shared" si="29"/>
        <v>2227304430.0000005</v>
      </c>
      <c r="AI30" s="41">
        <f t="shared" si="29"/>
        <v>2227304430.0000005</v>
      </c>
      <c r="AJ30" s="41">
        <f t="shared" si="29"/>
        <v>2227304430.0000005</v>
      </c>
      <c r="AK30" s="41">
        <f t="shared" si="29"/>
        <v>2227304430.0000005</v>
      </c>
      <c r="AL30" s="41">
        <f t="shared" si="29"/>
        <v>2227304430.0000005</v>
      </c>
      <c r="AM30" s="41">
        <f t="shared" si="29"/>
        <v>2227304430.0000005</v>
      </c>
      <c r="AN30" s="41">
        <f t="shared" si="29"/>
        <v>2227304430.0000005</v>
      </c>
      <c r="AO30" s="41">
        <f t="shared" si="29"/>
        <v>2227304430.0000005</v>
      </c>
      <c r="AP30" s="41">
        <f t="shared" si="29"/>
        <v>2227304430.0000005</v>
      </c>
      <c r="AQ30" s="41">
        <f t="shared" si="29"/>
        <v>2227304430.0000005</v>
      </c>
      <c r="AR30" s="41">
        <f t="shared" si="29"/>
        <v>2227304430.0000005</v>
      </c>
      <c r="AS30" s="41">
        <f t="shared" si="29"/>
        <v>2227304430.0000005</v>
      </c>
      <c r="AT30" s="41">
        <f t="shared" si="29"/>
        <v>2227304430.0000005</v>
      </c>
      <c r="AU30" s="41">
        <f t="shared" si="29"/>
        <v>2227304430.0000005</v>
      </c>
      <c r="AV30" s="41">
        <f t="shared" si="29"/>
        <v>2227304430.0000005</v>
      </c>
      <c r="AW30" s="41">
        <f t="shared" si="29"/>
        <v>2227304430.0000005</v>
      </c>
      <c r="AX30" s="41">
        <f t="shared" si="29"/>
        <v>2227304430.0000005</v>
      </c>
      <c r="AY30" s="41">
        <f t="shared" si="29"/>
        <v>2227304430.0000005</v>
      </c>
      <c r="AZ30" s="41">
        <f t="shared" si="29"/>
        <v>2227304430.0000005</v>
      </c>
      <c r="BA30" s="41">
        <f t="shared" si="29"/>
        <v>2227304430.0000005</v>
      </c>
      <c r="BB30" s="41">
        <f t="shared" si="29"/>
        <v>2227304430.0000005</v>
      </c>
      <c r="BC30" s="41">
        <f t="shared" si="29"/>
        <v>2227304430.0000005</v>
      </c>
      <c r="BD30" s="41">
        <f t="shared" si="29"/>
        <v>2227304430.0000005</v>
      </c>
      <c r="BE30" s="41">
        <f t="shared" si="29"/>
        <v>2227304430.0000005</v>
      </c>
      <c r="BF30" s="41">
        <f t="shared" si="29"/>
        <v>2227304430.0000005</v>
      </c>
      <c r="BG30" s="41">
        <f t="shared" si="29"/>
        <v>2227304430.0000005</v>
      </c>
      <c r="BH30" s="41">
        <f t="shared" si="29"/>
        <v>2227304430.0000005</v>
      </c>
      <c r="BI30" s="41">
        <f t="shared" si="29"/>
        <v>2227304430.0000005</v>
      </c>
      <c r="BJ30" s="41">
        <f t="shared" si="29"/>
        <v>2227304430.0000005</v>
      </c>
      <c r="BK30" s="41">
        <f t="shared" si="29"/>
        <v>2227304430.0000005</v>
      </c>
      <c r="BL30" s="41">
        <f t="shared" si="29"/>
        <v>2227304430.0000005</v>
      </c>
      <c r="BM30" s="41">
        <f t="shared" si="29"/>
        <v>2227304430.0000005</v>
      </c>
      <c r="BN30" s="41">
        <f t="shared" si="29"/>
        <v>2227304430.0000005</v>
      </c>
      <c r="BO30" s="41">
        <f t="shared" si="29"/>
        <v>2227304430.0000005</v>
      </c>
      <c r="BP30" s="41">
        <f t="shared" si="29"/>
        <v>2227304430.0000005</v>
      </c>
      <c r="BQ30" s="41">
        <f t="shared" si="29"/>
        <v>2227304430.0000005</v>
      </c>
      <c r="BR30" s="41">
        <f t="shared" si="29"/>
        <v>2227304430.0000005</v>
      </c>
      <c r="BS30" s="41">
        <f t="shared" si="29"/>
        <v>2227304430.0000005</v>
      </c>
      <c r="BT30" s="41">
        <f t="shared" si="29"/>
        <v>2227304430.0000005</v>
      </c>
      <c r="BU30" s="41">
        <f t="shared" si="29"/>
        <v>2227304430.0000005</v>
      </c>
      <c r="BV30" s="41">
        <f t="shared" si="29"/>
        <v>2227304430.0000005</v>
      </c>
      <c r="BW30" s="41">
        <f t="shared" ref="BW30:DM30" si="30">SUM(BW28:BW29)</f>
        <v>2227304430.0000005</v>
      </c>
      <c r="BX30" s="41">
        <f t="shared" si="30"/>
        <v>2227304430.0000005</v>
      </c>
      <c r="BY30" s="41">
        <f t="shared" si="30"/>
        <v>2227304430.0000005</v>
      </c>
      <c r="BZ30" s="41">
        <f t="shared" si="30"/>
        <v>2227304430.0000005</v>
      </c>
      <c r="CA30" s="41">
        <f t="shared" si="30"/>
        <v>2227304430.0000005</v>
      </c>
      <c r="CB30" s="41">
        <f t="shared" si="30"/>
        <v>2227304430.0000005</v>
      </c>
      <c r="CC30" s="41">
        <f t="shared" si="30"/>
        <v>2227304430.0000005</v>
      </c>
      <c r="CD30" s="41">
        <f t="shared" si="30"/>
        <v>2227304430.0000005</v>
      </c>
      <c r="CE30" s="41">
        <f t="shared" si="30"/>
        <v>2227304430.0000005</v>
      </c>
      <c r="CF30" s="41">
        <f t="shared" si="30"/>
        <v>2227304430.0000005</v>
      </c>
      <c r="CG30" s="41">
        <f t="shared" si="30"/>
        <v>2227304430.0000005</v>
      </c>
      <c r="CH30" s="41">
        <f t="shared" si="30"/>
        <v>2227304430.0000005</v>
      </c>
      <c r="CI30" s="41">
        <f t="shared" si="30"/>
        <v>2227304430.0000005</v>
      </c>
      <c r="CJ30" s="41">
        <f t="shared" si="30"/>
        <v>2227304430.0000005</v>
      </c>
      <c r="CK30" s="41">
        <f t="shared" si="30"/>
        <v>2227304430.0000005</v>
      </c>
      <c r="CL30" s="41">
        <f t="shared" si="30"/>
        <v>2227304430.0000005</v>
      </c>
      <c r="CM30" s="41">
        <f t="shared" si="30"/>
        <v>2227304430.0000005</v>
      </c>
      <c r="CN30" s="41">
        <f t="shared" si="30"/>
        <v>2227304430.0000005</v>
      </c>
      <c r="CO30" s="41">
        <f t="shared" si="30"/>
        <v>2227304430.0000005</v>
      </c>
      <c r="CP30" s="41">
        <f t="shared" si="30"/>
        <v>2227304430.0000005</v>
      </c>
      <c r="CQ30" s="41">
        <f t="shared" si="30"/>
        <v>2227304430.0000005</v>
      </c>
      <c r="CR30" s="41">
        <f t="shared" si="30"/>
        <v>2227304430.0000005</v>
      </c>
      <c r="CS30" s="41">
        <f t="shared" si="30"/>
        <v>2227304430.0000005</v>
      </c>
      <c r="CT30" s="41">
        <f t="shared" si="30"/>
        <v>2227304430.0000005</v>
      </c>
      <c r="CU30" s="41">
        <f t="shared" si="30"/>
        <v>2227304430.0000005</v>
      </c>
      <c r="CV30" s="41">
        <f t="shared" si="30"/>
        <v>2227304430.0000005</v>
      </c>
      <c r="CW30" s="41">
        <f t="shared" si="30"/>
        <v>2227304430.0000005</v>
      </c>
      <c r="CX30" s="41">
        <f t="shared" si="30"/>
        <v>2227304430.0000005</v>
      </c>
      <c r="CY30" s="41">
        <f t="shared" si="30"/>
        <v>2227304430.0000005</v>
      </c>
      <c r="CZ30" s="41">
        <f t="shared" si="30"/>
        <v>2227304430.0000005</v>
      </c>
      <c r="DA30" s="41">
        <f t="shared" si="30"/>
        <v>2227304430.0000005</v>
      </c>
      <c r="DB30" s="41">
        <f t="shared" si="30"/>
        <v>2227304430.0000005</v>
      </c>
      <c r="DC30" s="41">
        <f t="shared" si="30"/>
        <v>2227304430.0000005</v>
      </c>
      <c r="DD30" s="41">
        <f t="shared" si="30"/>
        <v>2227304430.0000005</v>
      </c>
      <c r="DE30" s="41">
        <f t="shared" si="30"/>
        <v>2227304430.0000005</v>
      </c>
      <c r="DF30" s="41">
        <f t="shared" si="30"/>
        <v>2227304430.0000005</v>
      </c>
      <c r="DG30" s="41">
        <f t="shared" si="30"/>
        <v>2227304430.0000005</v>
      </c>
      <c r="DH30" s="41">
        <f t="shared" si="30"/>
        <v>2227304430.0000005</v>
      </c>
      <c r="DI30" s="41">
        <f t="shared" si="30"/>
        <v>2227304430.0000005</v>
      </c>
      <c r="DJ30" s="41">
        <f t="shared" si="30"/>
        <v>2227304430.0000005</v>
      </c>
      <c r="DK30" s="41">
        <f t="shared" si="30"/>
        <v>2227304430.0000005</v>
      </c>
      <c r="DL30" s="41">
        <f t="shared" si="30"/>
        <v>2227304430.0000005</v>
      </c>
      <c r="DM30" s="41">
        <f t="shared" si="30"/>
        <v>2227304430.0000005</v>
      </c>
    </row>
    <row r="31" spans="3:117" ht="14" outlineLevel="1" thickTop="1" x14ac:dyDescent="0.15"/>
    <row r="32" spans="3:117" ht="14" outlineLevel="1" x14ac:dyDescent="0.15">
      <c r="C32" s="2" t="s">
        <v>23</v>
      </c>
    </row>
    <row r="33" spans="3:117" outlineLevel="1" x14ac:dyDescent="0.15">
      <c r="C33" t="s">
        <v>106</v>
      </c>
      <c r="D33" s="5" t="s">
        <v>167</v>
      </c>
      <c r="I33" s="35">
        <f>SUM(J33:DM33)</f>
        <v>2951304430.0000005</v>
      </c>
      <c r="J33" s="37">
        <f t="shared" ref="J33:AO33" si="31">J6*J25+AND(J5=1,K5=0)*J30</f>
        <v>0</v>
      </c>
      <c r="K33" s="37">
        <f t="shared" si="31"/>
        <v>0</v>
      </c>
      <c r="L33" s="37">
        <f t="shared" si="31"/>
        <v>0</v>
      </c>
      <c r="M33" s="37">
        <f t="shared" si="31"/>
        <v>2227304430.0000005</v>
      </c>
      <c r="N33" s="37">
        <f t="shared" si="31"/>
        <v>144000000</v>
      </c>
      <c r="O33" s="37">
        <f t="shared" si="31"/>
        <v>150000000</v>
      </c>
      <c r="P33" s="37">
        <f t="shared" si="31"/>
        <v>132000000</v>
      </c>
      <c r="Q33" s="37">
        <f t="shared" si="31"/>
        <v>114000000</v>
      </c>
      <c r="R33" s="37">
        <f t="shared" si="31"/>
        <v>78000000</v>
      </c>
      <c r="S33" s="37">
        <f t="shared" si="31"/>
        <v>18000000</v>
      </c>
      <c r="T33" s="37">
        <f t="shared" si="31"/>
        <v>22000000</v>
      </c>
      <c r="U33" s="37">
        <f t="shared" si="31"/>
        <v>10000000</v>
      </c>
      <c r="V33" s="37">
        <f t="shared" si="31"/>
        <v>10000000</v>
      </c>
      <c r="W33" s="37">
        <f t="shared" si="31"/>
        <v>0</v>
      </c>
      <c r="X33" s="37">
        <f t="shared" si="31"/>
        <v>46000000</v>
      </c>
      <c r="Y33" s="37">
        <f t="shared" si="31"/>
        <v>0</v>
      </c>
      <c r="Z33" s="37">
        <f t="shared" si="31"/>
        <v>0</v>
      </c>
      <c r="AA33" s="37">
        <f t="shared" si="31"/>
        <v>0</v>
      </c>
      <c r="AB33" s="37">
        <f t="shared" si="31"/>
        <v>0</v>
      </c>
      <c r="AC33" s="37">
        <f t="shared" si="31"/>
        <v>0</v>
      </c>
      <c r="AD33" s="37">
        <f t="shared" si="31"/>
        <v>0</v>
      </c>
      <c r="AE33" s="37">
        <f t="shared" si="31"/>
        <v>0</v>
      </c>
      <c r="AF33" s="37">
        <f t="shared" si="31"/>
        <v>0</v>
      </c>
      <c r="AG33" s="37">
        <f t="shared" si="31"/>
        <v>0</v>
      </c>
      <c r="AH33" s="37">
        <f t="shared" si="31"/>
        <v>0</v>
      </c>
      <c r="AI33" s="37">
        <f t="shared" si="31"/>
        <v>0</v>
      </c>
      <c r="AJ33" s="37">
        <f t="shared" si="31"/>
        <v>0</v>
      </c>
      <c r="AK33" s="37">
        <f t="shared" si="31"/>
        <v>0</v>
      </c>
      <c r="AL33" s="37">
        <f t="shared" si="31"/>
        <v>0</v>
      </c>
      <c r="AM33" s="37">
        <f t="shared" si="31"/>
        <v>0</v>
      </c>
      <c r="AN33" s="37">
        <f t="shared" si="31"/>
        <v>0</v>
      </c>
      <c r="AO33" s="37">
        <f t="shared" si="31"/>
        <v>0</v>
      </c>
      <c r="AP33" s="37">
        <f t="shared" ref="AP33:BU33" si="32">AP6*AP25+AND(AP5=1,AQ5=0)*AP30</f>
        <v>0</v>
      </c>
      <c r="AQ33" s="37">
        <f t="shared" si="32"/>
        <v>0</v>
      </c>
      <c r="AR33" s="37">
        <f t="shared" si="32"/>
        <v>0</v>
      </c>
      <c r="AS33" s="37">
        <f t="shared" si="32"/>
        <v>0</v>
      </c>
      <c r="AT33" s="37">
        <f t="shared" si="32"/>
        <v>0</v>
      </c>
      <c r="AU33" s="37">
        <f t="shared" si="32"/>
        <v>0</v>
      </c>
      <c r="AV33" s="37">
        <f t="shared" si="32"/>
        <v>0</v>
      </c>
      <c r="AW33" s="37">
        <f t="shared" si="32"/>
        <v>0</v>
      </c>
      <c r="AX33" s="37">
        <f t="shared" si="32"/>
        <v>0</v>
      </c>
      <c r="AY33" s="37">
        <f t="shared" si="32"/>
        <v>0</v>
      </c>
      <c r="AZ33" s="37">
        <f t="shared" si="32"/>
        <v>0</v>
      </c>
      <c r="BA33" s="37">
        <f t="shared" si="32"/>
        <v>0</v>
      </c>
      <c r="BB33" s="37">
        <f t="shared" si="32"/>
        <v>0</v>
      </c>
      <c r="BC33" s="37">
        <f t="shared" si="32"/>
        <v>0</v>
      </c>
      <c r="BD33" s="37">
        <f t="shared" si="32"/>
        <v>0</v>
      </c>
      <c r="BE33" s="37">
        <f t="shared" si="32"/>
        <v>0</v>
      </c>
      <c r="BF33" s="37">
        <f t="shared" si="32"/>
        <v>0</v>
      </c>
      <c r="BG33" s="37">
        <f t="shared" si="32"/>
        <v>0</v>
      </c>
      <c r="BH33" s="37">
        <f t="shared" si="32"/>
        <v>0</v>
      </c>
      <c r="BI33" s="37">
        <f t="shared" si="32"/>
        <v>0</v>
      </c>
      <c r="BJ33" s="37">
        <f t="shared" si="32"/>
        <v>0</v>
      </c>
      <c r="BK33" s="37">
        <f t="shared" si="32"/>
        <v>0</v>
      </c>
      <c r="BL33" s="37">
        <f t="shared" si="32"/>
        <v>0</v>
      </c>
      <c r="BM33" s="37">
        <f t="shared" si="32"/>
        <v>0</v>
      </c>
      <c r="BN33" s="37">
        <f t="shared" si="32"/>
        <v>0</v>
      </c>
      <c r="BO33" s="37">
        <f t="shared" si="32"/>
        <v>0</v>
      </c>
      <c r="BP33" s="37">
        <f t="shared" si="32"/>
        <v>0</v>
      </c>
      <c r="BQ33" s="37">
        <f t="shared" si="32"/>
        <v>0</v>
      </c>
      <c r="BR33" s="37">
        <f t="shared" si="32"/>
        <v>0</v>
      </c>
      <c r="BS33" s="37">
        <f t="shared" si="32"/>
        <v>0</v>
      </c>
      <c r="BT33" s="37">
        <f t="shared" si="32"/>
        <v>0</v>
      </c>
      <c r="BU33" s="37">
        <f t="shared" si="32"/>
        <v>0</v>
      </c>
      <c r="BV33" s="37">
        <f t="shared" ref="BV33:DA33" si="33">BV6*BV25+AND(BV5=1,BW5=0)*BV30</f>
        <v>0</v>
      </c>
      <c r="BW33" s="37">
        <f t="shared" si="33"/>
        <v>0</v>
      </c>
      <c r="BX33" s="37">
        <f t="shared" si="33"/>
        <v>0</v>
      </c>
      <c r="BY33" s="37">
        <f t="shared" si="33"/>
        <v>0</v>
      </c>
      <c r="BZ33" s="37">
        <f t="shared" si="33"/>
        <v>0</v>
      </c>
      <c r="CA33" s="37">
        <f t="shared" si="33"/>
        <v>0</v>
      </c>
      <c r="CB33" s="37">
        <f t="shared" si="33"/>
        <v>0</v>
      </c>
      <c r="CC33" s="37">
        <f t="shared" si="33"/>
        <v>0</v>
      </c>
      <c r="CD33" s="37">
        <f t="shared" si="33"/>
        <v>0</v>
      </c>
      <c r="CE33" s="37">
        <f t="shared" si="33"/>
        <v>0</v>
      </c>
      <c r="CF33" s="37">
        <f t="shared" si="33"/>
        <v>0</v>
      </c>
      <c r="CG33" s="37">
        <f t="shared" si="33"/>
        <v>0</v>
      </c>
      <c r="CH33" s="37">
        <f t="shared" si="33"/>
        <v>0</v>
      </c>
      <c r="CI33" s="37">
        <f t="shared" si="33"/>
        <v>0</v>
      </c>
      <c r="CJ33" s="37">
        <f t="shared" si="33"/>
        <v>0</v>
      </c>
      <c r="CK33" s="37">
        <f t="shared" si="33"/>
        <v>0</v>
      </c>
      <c r="CL33" s="37">
        <f t="shared" si="33"/>
        <v>0</v>
      </c>
      <c r="CM33" s="37">
        <f t="shared" si="33"/>
        <v>0</v>
      </c>
      <c r="CN33" s="37">
        <f t="shared" si="33"/>
        <v>0</v>
      </c>
      <c r="CO33" s="37">
        <f t="shared" si="33"/>
        <v>0</v>
      </c>
      <c r="CP33" s="37">
        <f t="shared" si="33"/>
        <v>0</v>
      </c>
      <c r="CQ33" s="37">
        <f t="shared" si="33"/>
        <v>0</v>
      </c>
      <c r="CR33" s="37">
        <f t="shared" si="33"/>
        <v>0</v>
      </c>
      <c r="CS33" s="37">
        <f t="shared" si="33"/>
        <v>0</v>
      </c>
      <c r="CT33" s="37">
        <f t="shared" si="33"/>
        <v>0</v>
      </c>
      <c r="CU33" s="37">
        <f t="shared" si="33"/>
        <v>0</v>
      </c>
      <c r="CV33" s="37">
        <f t="shared" si="33"/>
        <v>0</v>
      </c>
      <c r="CW33" s="37">
        <f t="shared" si="33"/>
        <v>0</v>
      </c>
      <c r="CX33" s="37">
        <f t="shared" si="33"/>
        <v>0</v>
      </c>
      <c r="CY33" s="37">
        <f t="shared" si="33"/>
        <v>0</v>
      </c>
      <c r="CZ33" s="37">
        <f t="shared" si="33"/>
        <v>0</v>
      </c>
      <c r="DA33" s="37">
        <f t="shared" si="33"/>
        <v>0</v>
      </c>
      <c r="DB33" s="37">
        <f t="shared" ref="DB33:DM33" si="34">DB6*DB25+AND(DB5=1,DC5=0)*DB30</f>
        <v>0</v>
      </c>
      <c r="DC33" s="37">
        <f t="shared" si="34"/>
        <v>0</v>
      </c>
      <c r="DD33" s="37">
        <f t="shared" si="34"/>
        <v>0</v>
      </c>
      <c r="DE33" s="37">
        <f t="shared" si="34"/>
        <v>0</v>
      </c>
      <c r="DF33" s="37">
        <f t="shared" si="34"/>
        <v>0</v>
      </c>
      <c r="DG33" s="37">
        <f t="shared" si="34"/>
        <v>0</v>
      </c>
      <c r="DH33" s="37">
        <f t="shared" si="34"/>
        <v>0</v>
      </c>
      <c r="DI33" s="37">
        <f t="shared" si="34"/>
        <v>0</v>
      </c>
      <c r="DJ33" s="37">
        <f t="shared" si="34"/>
        <v>0</v>
      </c>
      <c r="DK33" s="37">
        <f t="shared" si="34"/>
        <v>0</v>
      </c>
      <c r="DL33" s="37">
        <f t="shared" si="34"/>
        <v>0</v>
      </c>
      <c r="DM33" s="37">
        <f t="shared" si="34"/>
        <v>0</v>
      </c>
    </row>
    <row r="34" spans="3:117" outlineLevel="1" x14ac:dyDescent="0.15"/>
    <row r="35" spans="3:117" ht="14" outlineLevel="1" x14ac:dyDescent="0.15">
      <c r="C35" s="2" t="s">
        <v>104</v>
      </c>
    </row>
    <row r="36" spans="3:117" outlineLevel="1" x14ac:dyDescent="0.15">
      <c r="C36" t="s">
        <v>55</v>
      </c>
      <c r="D36" s="5" t="s">
        <v>167</v>
      </c>
      <c r="J36" s="19">
        <f>I39</f>
        <v>0</v>
      </c>
      <c r="K36" s="19">
        <f t="shared" ref="K36:BV36" si="35">J39</f>
        <v>0</v>
      </c>
      <c r="L36" s="19">
        <f t="shared" si="35"/>
        <v>0</v>
      </c>
      <c r="M36" s="19">
        <f t="shared" si="35"/>
        <v>0</v>
      </c>
      <c r="N36" s="19">
        <f t="shared" si="35"/>
        <v>2227304430.0000005</v>
      </c>
      <c r="O36" s="19">
        <f t="shared" si="35"/>
        <v>1814478322.5000005</v>
      </c>
      <c r="P36" s="19">
        <f t="shared" si="35"/>
        <v>1371652215.0000005</v>
      </c>
      <c r="Q36" s="19">
        <f t="shared" si="35"/>
        <v>873326107.50000036</v>
      </c>
      <c r="R36" s="19">
        <f t="shared" si="35"/>
        <v>324000000.00000024</v>
      </c>
      <c r="S36" s="19">
        <f t="shared" si="35"/>
        <v>267000000.00000024</v>
      </c>
      <c r="T36" s="19">
        <f t="shared" si="35"/>
        <v>166500000.00000024</v>
      </c>
      <c r="U36" s="19">
        <f t="shared" si="35"/>
        <v>103000000.00000024</v>
      </c>
      <c r="V36" s="19">
        <f t="shared" si="35"/>
        <v>55000000.000000238</v>
      </c>
      <c r="W36" s="19">
        <f t="shared" si="35"/>
        <v>33000000.000000238</v>
      </c>
      <c r="X36" s="19">
        <f t="shared" si="35"/>
        <v>18000000.000000238</v>
      </c>
      <c r="Y36" s="19">
        <f t="shared" si="35"/>
        <v>53500000.000000238</v>
      </c>
      <c r="Z36" s="19">
        <f t="shared" si="35"/>
        <v>53500000.000000238</v>
      </c>
      <c r="AA36" s="19">
        <f t="shared" si="35"/>
        <v>53500000.000000238</v>
      </c>
      <c r="AB36" s="19">
        <f t="shared" si="35"/>
        <v>53500000.000000238</v>
      </c>
      <c r="AC36" s="19">
        <f t="shared" si="35"/>
        <v>53500000.000000238</v>
      </c>
      <c r="AD36" s="19">
        <f t="shared" si="35"/>
        <v>53500000.000000238</v>
      </c>
      <c r="AE36" s="19">
        <f t="shared" si="35"/>
        <v>53500000.000000238</v>
      </c>
      <c r="AF36" s="19">
        <f t="shared" si="35"/>
        <v>53500000.000000238</v>
      </c>
      <c r="AG36" s="19">
        <f t="shared" si="35"/>
        <v>53500000.000000238</v>
      </c>
      <c r="AH36" s="19">
        <f t="shared" si="35"/>
        <v>53500000.000000238</v>
      </c>
      <c r="AI36" s="19">
        <f t="shared" si="35"/>
        <v>53500000.000000238</v>
      </c>
      <c r="AJ36" s="19">
        <f t="shared" si="35"/>
        <v>53500000.000000238</v>
      </c>
      <c r="AK36" s="19">
        <f t="shared" si="35"/>
        <v>53500000.000000238</v>
      </c>
      <c r="AL36" s="19">
        <f t="shared" si="35"/>
        <v>53500000.000000238</v>
      </c>
      <c r="AM36" s="19">
        <f t="shared" si="35"/>
        <v>53500000.000000238</v>
      </c>
      <c r="AN36" s="19">
        <f t="shared" si="35"/>
        <v>53500000.000000238</v>
      </c>
      <c r="AO36" s="19">
        <f t="shared" si="35"/>
        <v>53500000.000000238</v>
      </c>
      <c r="AP36" s="19">
        <f t="shared" si="35"/>
        <v>53500000.000000238</v>
      </c>
      <c r="AQ36" s="19">
        <f t="shared" si="35"/>
        <v>53500000.000000238</v>
      </c>
      <c r="AR36" s="19">
        <f t="shared" si="35"/>
        <v>53500000.000000238</v>
      </c>
      <c r="AS36" s="19">
        <f t="shared" si="35"/>
        <v>53500000.000000238</v>
      </c>
      <c r="AT36" s="19">
        <f t="shared" si="35"/>
        <v>53500000.000000238</v>
      </c>
      <c r="AU36" s="19">
        <f t="shared" si="35"/>
        <v>53500000.000000238</v>
      </c>
      <c r="AV36" s="19">
        <f t="shared" si="35"/>
        <v>53500000.000000238</v>
      </c>
      <c r="AW36" s="19">
        <f t="shared" si="35"/>
        <v>53500000.000000238</v>
      </c>
      <c r="AX36" s="19">
        <f t="shared" si="35"/>
        <v>53500000.000000238</v>
      </c>
      <c r="AY36" s="19">
        <f t="shared" si="35"/>
        <v>53500000.000000238</v>
      </c>
      <c r="AZ36" s="19">
        <f t="shared" si="35"/>
        <v>53500000.000000238</v>
      </c>
      <c r="BA36" s="19">
        <f t="shared" si="35"/>
        <v>53500000.000000238</v>
      </c>
      <c r="BB36" s="19">
        <f t="shared" si="35"/>
        <v>53500000.000000238</v>
      </c>
      <c r="BC36" s="19">
        <f t="shared" si="35"/>
        <v>53500000.000000238</v>
      </c>
      <c r="BD36" s="19">
        <f t="shared" si="35"/>
        <v>53500000.000000238</v>
      </c>
      <c r="BE36" s="19">
        <f t="shared" si="35"/>
        <v>53500000.000000238</v>
      </c>
      <c r="BF36" s="19">
        <f t="shared" si="35"/>
        <v>53500000.000000238</v>
      </c>
      <c r="BG36" s="19">
        <f t="shared" si="35"/>
        <v>53500000.000000238</v>
      </c>
      <c r="BH36" s="19">
        <f t="shared" si="35"/>
        <v>53500000.000000238</v>
      </c>
      <c r="BI36" s="19">
        <f t="shared" si="35"/>
        <v>53500000.000000238</v>
      </c>
      <c r="BJ36" s="19">
        <f t="shared" si="35"/>
        <v>53500000.000000238</v>
      </c>
      <c r="BK36" s="19">
        <f t="shared" si="35"/>
        <v>53500000.000000238</v>
      </c>
      <c r="BL36" s="19">
        <f t="shared" si="35"/>
        <v>53500000.000000238</v>
      </c>
      <c r="BM36" s="19">
        <f t="shared" si="35"/>
        <v>53500000.000000238</v>
      </c>
      <c r="BN36" s="19">
        <f t="shared" si="35"/>
        <v>53500000.000000238</v>
      </c>
      <c r="BO36" s="19">
        <f t="shared" si="35"/>
        <v>53500000.000000238</v>
      </c>
      <c r="BP36" s="19">
        <f t="shared" si="35"/>
        <v>53500000.000000238</v>
      </c>
      <c r="BQ36" s="19">
        <f t="shared" si="35"/>
        <v>53500000.000000238</v>
      </c>
      <c r="BR36" s="19">
        <f t="shared" si="35"/>
        <v>53500000.000000238</v>
      </c>
      <c r="BS36" s="19">
        <f t="shared" si="35"/>
        <v>53500000.000000238</v>
      </c>
      <c r="BT36" s="19">
        <f t="shared" si="35"/>
        <v>53500000.000000238</v>
      </c>
      <c r="BU36" s="19">
        <f t="shared" si="35"/>
        <v>53500000.000000238</v>
      </c>
      <c r="BV36" s="19">
        <f t="shared" si="35"/>
        <v>53500000.000000238</v>
      </c>
      <c r="BW36" s="19">
        <f t="shared" ref="BW36:DM36" si="36">BV39</f>
        <v>53500000.000000238</v>
      </c>
      <c r="BX36" s="19">
        <f t="shared" si="36"/>
        <v>53500000.000000238</v>
      </c>
      <c r="BY36" s="19">
        <f t="shared" si="36"/>
        <v>53500000.000000238</v>
      </c>
      <c r="BZ36" s="19">
        <f t="shared" si="36"/>
        <v>53500000.000000238</v>
      </c>
      <c r="CA36" s="19">
        <f t="shared" si="36"/>
        <v>53500000.000000238</v>
      </c>
      <c r="CB36" s="19">
        <f t="shared" si="36"/>
        <v>53500000.000000238</v>
      </c>
      <c r="CC36" s="19">
        <f t="shared" si="36"/>
        <v>53500000.000000238</v>
      </c>
      <c r="CD36" s="19">
        <f t="shared" si="36"/>
        <v>53500000.000000238</v>
      </c>
      <c r="CE36" s="19">
        <f t="shared" si="36"/>
        <v>53500000.000000238</v>
      </c>
      <c r="CF36" s="19">
        <f t="shared" si="36"/>
        <v>53500000.000000238</v>
      </c>
      <c r="CG36" s="19">
        <f t="shared" si="36"/>
        <v>53500000.000000238</v>
      </c>
      <c r="CH36" s="19">
        <f t="shared" si="36"/>
        <v>53500000.000000238</v>
      </c>
      <c r="CI36" s="19">
        <f t="shared" si="36"/>
        <v>53500000.000000238</v>
      </c>
      <c r="CJ36" s="19">
        <f t="shared" si="36"/>
        <v>53500000.000000238</v>
      </c>
      <c r="CK36" s="19">
        <f t="shared" si="36"/>
        <v>53500000.000000238</v>
      </c>
      <c r="CL36" s="19">
        <f t="shared" si="36"/>
        <v>53500000.000000238</v>
      </c>
      <c r="CM36" s="19">
        <f t="shared" si="36"/>
        <v>53500000.000000238</v>
      </c>
      <c r="CN36" s="19">
        <f t="shared" si="36"/>
        <v>53500000.000000238</v>
      </c>
      <c r="CO36" s="19">
        <f t="shared" si="36"/>
        <v>53500000.000000238</v>
      </c>
      <c r="CP36" s="19">
        <f t="shared" si="36"/>
        <v>53500000.000000238</v>
      </c>
      <c r="CQ36" s="19">
        <f t="shared" si="36"/>
        <v>53500000.000000238</v>
      </c>
      <c r="CR36" s="19">
        <f t="shared" si="36"/>
        <v>53500000.000000238</v>
      </c>
      <c r="CS36" s="19">
        <f t="shared" si="36"/>
        <v>53500000.000000238</v>
      </c>
      <c r="CT36" s="19">
        <f t="shared" si="36"/>
        <v>53500000.000000238</v>
      </c>
      <c r="CU36" s="19">
        <f t="shared" si="36"/>
        <v>53500000.000000238</v>
      </c>
      <c r="CV36" s="19">
        <f t="shared" si="36"/>
        <v>53500000.000000238</v>
      </c>
      <c r="CW36" s="19">
        <f t="shared" si="36"/>
        <v>53500000.000000238</v>
      </c>
      <c r="CX36" s="19">
        <f t="shared" si="36"/>
        <v>53500000.000000238</v>
      </c>
      <c r="CY36" s="19">
        <f t="shared" si="36"/>
        <v>53500000.000000238</v>
      </c>
      <c r="CZ36" s="19">
        <f t="shared" si="36"/>
        <v>53500000.000000238</v>
      </c>
      <c r="DA36" s="19">
        <f t="shared" si="36"/>
        <v>53500000.000000238</v>
      </c>
      <c r="DB36" s="19">
        <f t="shared" si="36"/>
        <v>53500000.000000238</v>
      </c>
      <c r="DC36" s="19">
        <f t="shared" si="36"/>
        <v>53500000.000000238</v>
      </c>
      <c r="DD36" s="19">
        <f t="shared" si="36"/>
        <v>53500000.000000238</v>
      </c>
      <c r="DE36" s="19">
        <f t="shared" si="36"/>
        <v>53500000.000000238</v>
      </c>
      <c r="DF36" s="19">
        <f t="shared" si="36"/>
        <v>53500000.000000238</v>
      </c>
      <c r="DG36" s="19">
        <f t="shared" si="36"/>
        <v>53500000.000000238</v>
      </c>
      <c r="DH36" s="19">
        <f t="shared" si="36"/>
        <v>53500000.000000238</v>
      </c>
      <c r="DI36" s="19">
        <f t="shared" si="36"/>
        <v>53500000.000000238</v>
      </c>
      <c r="DJ36" s="19">
        <f t="shared" si="36"/>
        <v>53500000.000000238</v>
      </c>
      <c r="DK36" s="19">
        <f t="shared" si="36"/>
        <v>53500000.000000238</v>
      </c>
      <c r="DL36" s="19">
        <f t="shared" si="36"/>
        <v>53500000.000000238</v>
      </c>
      <c r="DM36" s="19">
        <f t="shared" si="36"/>
        <v>53500000.000000238</v>
      </c>
    </row>
    <row r="37" spans="3:117" outlineLevel="1" x14ac:dyDescent="0.15">
      <c r="C37" t="s">
        <v>69</v>
      </c>
      <c r="D37" s="5" t="s">
        <v>167</v>
      </c>
      <c r="J37" s="37">
        <f t="shared" ref="J37:AO37" si="37">J33</f>
        <v>0</v>
      </c>
      <c r="K37" s="37">
        <f t="shared" si="37"/>
        <v>0</v>
      </c>
      <c r="L37" s="37">
        <f t="shared" si="37"/>
        <v>0</v>
      </c>
      <c r="M37" s="37">
        <f t="shared" si="37"/>
        <v>2227304430.0000005</v>
      </c>
      <c r="N37" s="37">
        <f t="shared" si="37"/>
        <v>144000000</v>
      </c>
      <c r="O37" s="37">
        <f t="shared" si="37"/>
        <v>150000000</v>
      </c>
      <c r="P37" s="37">
        <f t="shared" si="37"/>
        <v>132000000</v>
      </c>
      <c r="Q37" s="37">
        <f t="shared" si="37"/>
        <v>114000000</v>
      </c>
      <c r="R37" s="37">
        <f t="shared" si="37"/>
        <v>78000000</v>
      </c>
      <c r="S37" s="37">
        <f t="shared" si="37"/>
        <v>18000000</v>
      </c>
      <c r="T37" s="37">
        <f t="shared" si="37"/>
        <v>22000000</v>
      </c>
      <c r="U37" s="37">
        <f t="shared" si="37"/>
        <v>10000000</v>
      </c>
      <c r="V37" s="37">
        <f t="shared" si="37"/>
        <v>10000000</v>
      </c>
      <c r="W37" s="37">
        <f t="shared" si="37"/>
        <v>0</v>
      </c>
      <c r="X37" s="37">
        <f t="shared" si="37"/>
        <v>46000000</v>
      </c>
      <c r="Y37" s="37">
        <f t="shared" si="37"/>
        <v>0</v>
      </c>
      <c r="Z37" s="37">
        <f t="shared" si="37"/>
        <v>0</v>
      </c>
      <c r="AA37" s="37">
        <f t="shared" si="37"/>
        <v>0</v>
      </c>
      <c r="AB37" s="37">
        <f t="shared" si="37"/>
        <v>0</v>
      </c>
      <c r="AC37" s="37">
        <f t="shared" si="37"/>
        <v>0</v>
      </c>
      <c r="AD37" s="37">
        <f t="shared" si="37"/>
        <v>0</v>
      </c>
      <c r="AE37" s="37">
        <f t="shared" si="37"/>
        <v>0</v>
      </c>
      <c r="AF37" s="37">
        <f t="shared" si="37"/>
        <v>0</v>
      </c>
      <c r="AG37" s="37">
        <f t="shared" si="37"/>
        <v>0</v>
      </c>
      <c r="AH37" s="37">
        <f t="shared" si="37"/>
        <v>0</v>
      </c>
      <c r="AI37" s="37">
        <f t="shared" si="37"/>
        <v>0</v>
      </c>
      <c r="AJ37" s="37">
        <f t="shared" si="37"/>
        <v>0</v>
      </c>
      <c r="AK37" s="37">
        <f t="shared" si="37"/>
        <v>0</v>
      </c>
      <c r="AL37" s="37">
        <f t="shared" si="37"/>
        <v>0</v>
      </c>
      <c r="AM37" s="37">
        <f t="shared" si="37"/>
        <v>0</v>
      </c>
      <c r="AN37" s="37">
        <f t="shared" si="37"/>
        <v>0</v>
      </c>
      <c r="AO37" s="37">
        <f t="shared" si="37"/>
        <v>0</v>
      </c>
      <c r="AP37" s="37">
        <f t="shared" ref="AP37:BU37" si="38">AP33</f>
        <v>0</v>
      </c>
      <c r="AQ37" s="37">
        <f t="shared" si="38"/>
        <v>0</v>
      </c>
      <c r="AR37" s="37">
        <f t="shared" si="38"/>
        <v>0</v>
      </c>
      <c r="AS37" s="37">
        <f t="shared" si="38"/>
        <v>0</v>
      </c>
      <c r="AT37" s="37">
        <f t="shared" si="38"/>
        <v>0</v>
      </c>
      <c r="AU37" s="37">
        <f t="shared" si="38"/>
        <v>0</v>
      </c>
      <c r="AV37" s="37">
        <f t="shared" si="38"/>
        <v>0</v>
      </c>
      <c r="AW37" s="37">
        <f t="shared" si="38"/>
        <v>0</v>
      </c>
      <c r="AX37" s="37">
        <f t="shared" si="38"/>
        <v>0</v>
      </c>
      <c r="AY37" s="37">
        <f t="shared" si="38"/>
        <v>0</v>
      </c>
      <c r="AZ37" s="37">
        <f t="shared" si="38"/>
        <v>0</v>
      </c>
      <c r="BA37" s="37">
        <f t="shared" si="38"/>
        <v>0</v>
      </c>
      <c r="BB37" s="37">
        <f t="shared" si="38"/>
        <v>0</v>
      </c>
      <c r="BC37" s="37">
        <f t="shared" si="38"/>
        <v>0</v>
      </c>
      <c r="BD37" s="37">
        <f t="shared" si="38"/>
        <v>0</v>
      </c>
      <c r="BE37" s="37">
        <f t="shared" si="38"/>
        <v>0</v>
      </c>
      <c r="BF37" s="37">
        <f t="shared" si="38"/>
        <v>0</v>
      </c>
      <c r="BG37" s="37">
        <f t="shared" si="38"/>
        <v>0</v>
      </c>
      <c r="BH37" s="37">
        <f t="shared" si="38"/>
        <v>0</v>
      </c>
      <c r="BI37" s="37">
        <f t="shared" si="38"/>
        <v>0</v>
      </c>
      <c r="BJ37" s="37">
        <f t="shared" si="38"/>
        <v>0</v>
      </c>
      <c r="BK37" s="37">
        <f t="shared" si="38"/>
        <v>0</v>
      </c>
      <c r="BL37" s="37">
        <f t="shared" si="38"/>
        <v>0</v>
      </c>
      <c r="BM37" s="37">
        <f t="shared" si="38"/>
        <v>0</v>
      </c>
      <c r="BN37" s="37">
        <f t="shared" si="38"/>
        <v>0</v>
      </c>
      <c r="BO37" s="37">
        <f t="shared" si="38"/>
        <v>0</v>
      </c>
      <c r="BP37" s="37">
        <f t="shared" si="38"/>
        <v>0</v>
      </c>
      <c r="BQ37" s="37">
        <f t="shared" si="38"/>
        <v>0</v>
      </c>
      <c r="BR37" s="37">
        <f t="shared" si="38"/>
        <v>0</v>
      </c>
      <c r="BS37" s="37">
        <f t="shared" si="38"/>
        <v>0</v>
      </c>
      <c r="BT37" s="37">
        <f t="shared" si="38"/>
        <v>0</v>
      </c>
      <c r="BU37" s="37">
        <f t="shared" si="38"/>
        <v>0</v>
      </c>
      <c r="BV37" s="37">
        <f t="shared" ref="BV37:DA37" si="39">BV33</f>
        <v>0</v>
      </c>
      <c r="BW37" s="37">
        <f t="shared" si="39"/>
        <v>0</v>
      </c>
      <c r="BX37" s="37">
        <f t="shared" si="39"/>
        <v>0</v>
      </c>
      <c r="BY37" s="37">
        <f t="shared" si="39"/>
        <v>0</v>
      </c>
      <c r="BZ37" s="37">
        <f t="shared" si="39"/>
        <v>0</v>
      </c>
      <c r="CA37" s="37">
        <f t="shared" si="39"/>
        <v>0</v>
      </c>
      <c r="CB37" s="37">
        <f t="shared" si="39"/>
        <v>0</v>
      </c>
      <c r="CC37" s="37">
        <f t="shared" si="39"/>
        <v>0</v>
      </c>
      <c r="CD37" s="37">
        <f t="shared" si="39"/>
        <v>0</v>
      </c>
      <c r="CE37" s="37">
        <f t="shared" si="39"/>
        <v>0</v>
      </c>
      <c r="CF37" s="37">
        <f t="shared" si="39"/>
        <v>0</v>
      </c>
      <c r="CG37" s="37">
        <f t="shared" si="39"/>
        <v>0</v>
      </c>
      <c r="CH37" s="37">
        <f t="shared" si="39"/>
        <v>0</v>
      </c>
      <c r="CI37" s="37">
        <f t="shared" si="39"/>
        <v>0</v>
      </c>
      <c r="CJ37" s="37">
        <f t="shared" si="39"/>
        <v>0</v>
      </c>
      <c r="CK37" s="37">
        <f t="shared" si="39"/>
        <v>0</v>
      </c>
      <c r="CL37" s="37">
        <f t="shared" si="39"/>
        <v>0</v>
      </c>
      <c r="CM37" s="37">
        <f t="shared" si="39"/>
        <v>0</v>
      </c>
      <c r="CN37" s="37">
        <f t="shared" si="39"/>
        <v>0</v>
      </c>
      <c r="CO37" s="37">
        <f t="shared" si="39"/>
        <v>0</v>
      </c>
      <c r="CP37" s="37">
        <f t="shared" si="39"/>
        <v>0</v>
      </c>
      <c r="CQ37" s="37">
        <f t="shared" si="39"/>
        <v>0</v>
      </c>
      <c r="CR37" s="37">
        <f t="shared" si="39"/>
        <v>0</v>
      </c>
      <c r="CS37" s="37">
        <f t="shared" si="39"/>
        <v>0</v>
      </c>
      <c r="CT37" s="37">
        <f t="shared" si="39"/>
        <v>0</v>
      </c>
      <c r="CU37" s="37">
        <f t="shared" si="39"/>
        <v>0</v>
      </c>
      <c r="CV37" s="37">
        <f t="shared" si="39"/>
        <v>0</v>
      </c>
      <c r="CW37" s="37">
        <f t="shared" si="39"/>
        <v>0</v>
      </c>
      <c r="CX37" s="37">
        <f t="shared" si="39"/>
        <v>0</v>
      </c>
      <c r="CY37" s="37">
        <f t="shared" si="39"/>
        <v>0</v>
      </c>
      <c r="CZ37" s="37">
        <f t="shared" si="39"/>
        <v>0</v>
      </c>
      <c r="DA37" s="37">
        <f t="shared" si="39"/>
        <v>0</v>
      </c>
      <c r="DB37" s="37">
        <f t="shared" ref="DB37:DM37" si="40">DB33</f>
        <v>0</v>
      </c>
      <c r="DC37" s="37">
        <f t="shared" si="40"/>
        <v>0</v>
      </c>
      <c r="DD37" s="37">
        <f t="shared" si="40"/>
        <v>0</v>
      </c>
      <c r="DE37" s="37">
        <f t="shared" si="40"/>
        <v>0</v>
      </c>
      <c r="DF37" s="37">
        <f t="shared" si="40"/>
        <v>0</v>
      </c>
      <c r="DG37" s="37">
        <f t="shared" si="40"/>
        <v>0</v>
      </c>
      <c r="DH37" s="37">
        <f t="shared" si="40"/>
        <v>0</v>
      </c>
      <c r="DI37" s="37">
        <f t="shared" si="40"/>
        <v>0</v>
      </c>
      <c r="DJ37" s="37">
        <f t="shared" si="40"/>
        <v>0</v>
      </c>
      <c r="DK37" s="37">
        <f t="shared" si="40"/>
        <v>0</v>
      </c>
      <c r="DL37" s="37">
        <f t="shared" si="40"/>
        <v>0</v>
      </c>
      <c r="DM37" s="37">
        <f t="shared" si="40"/>
        <v>0</v>
      </c>
    </row>
    <row r="38" spans="3:117" outlineLevel="1" x14ac:dyDescent="0.15">
      <c r="C38" t="s">
        <v>109</v>
      </c>
      <c r="D38" s="5" t="s">
        <v>167</v>
      </c>
      <c r="J38" s="19">
        <f t="shared" ref="J38:AO38" si="41">-IF(J8=0,0,LOOKUP(J8,$J$4:$DM$4,$J$146:$DM$146))</f>
        <v>0</v>
      </c>
      <c r="K38" s="19">
        <f t="shared" si="41"/>
        <v>0</v>
      </c>
      <c r="L38" s="19">
        <f t="shared" si="41"/>
        <v>0</v>
      </c>
      <c r="M38" s="19">
        <f t="shared" si="41"/>
        <v>0</v>
      </c>
      <c r="N38" s="19">
        <f t="shared" si="41"/>
        <v>-556826107.50000012</v>
      </c>
      <c r="O38" s="19">
        <f t="shared" si="41"/>
        <v>-592826107.50000012</v>
      </c>
      <c r="P38" s="19">
        <f t="shared" si="41"/>
        <v>-630326107.50000012</v>
      </c>
      <c r="Q38" s="19">
        <f t="shared" si="41"/>
        <v>-663326107.50000012</v>
      </c>
      <c r="R38" s="19">
        <f t="shared" si="41"/>
        <v>-135000000</v>
      </c>
      <c r="S38" s="19">
        <f t="shared" si="41"/>
        <v>-118500000</v>
      </c>
      <c r="T38" s="19">
        <f t="shared" si="41"/>
        <v>-85500000</v>
      </c>
      <c r="U38" s="19">
        <f t="shared" si="41"/>
        <v>-58000000</v>
      </c>
      <c r="V38" s="19">
        <f t="shared" si="41"/>
        <v>-32000000</v>
      </c>
      <c r="W38" s="19">
        <f t="shared" si="41"/>
        <v>-15000000</v>
      </c>
      <c r="X38" s="19">
        <f t="shared" si="41"/>
        <v>-10500000</v>
      </c>
      <c r="Y38" s="19">
        <f t="shared" si="41"/>
        <v>0</v>
      </c>
      <c r="Z38" s="19">
        <f t="shared" si="41"/>
        <v>0</v>
      </c>
      <c r="AA38" s="19">
        <f t="shared" si="41"/>
        <v>0</v>
      </c>
      <c r="AB38" s="19">
        <f t="shared" si="41"/>
        <v>0</v>
      </c>
      <c r="AC38" s="19">
        <f t="shared" si="41"/>
        <v>0</v>
      </c>
      <c r="AD38" s="19">
        <f t="shared" si="41"/>
        <v>0</v>
      </c>
      <c r="AE38" s="19">
        <f t="shared" si="41"/>
        <v>0</v>
      </c>
      <c r="AF38" s="19">
        <f t="shared" si="41"/>
        <v>0</v>
      </c>
      <c r="AG38" s="19">
        <f t="shared" si="41"/>
        <v>0</v>
      </c>
      <c r="AH38" s="19">
        <f t="shared" si="41"/>
        <v>0</v>
      </c>
      <c r="AI38" s="19">
        <f t="shared" si="41"/>
        <v>0</v>
      </c>
      <c r="AJ38" s="19">
        <f t="shared" si="41"/>
        <v>0</v>
      </c>
      <c r="AK38" s="19">
        <f t="shared" si="41"/>
        <v>0</v>
      </c>
      <c r="AL38" s="19">
        <f t="shared" si="41"/>
        <v>0</v>
      </c>
      <c r="AM38" s="19">
        <f t="shared" si="41"/>
        <v>0</v>
      </c>
      <c r="AN38" s="19">
        <f t="shared" si="41"/>
        <v>0</v>
      </c>
      <c r="AO38" s="19">
        <f t="shared" si="41"/>
        <v>0</v>
      </c>
      <c r="AP38" s="19">
        <f t="shared" ref="AP38:BU38" si="42">-IF(AP8=0,0,LOOKUP(AP8,$J$4:$DM$4,$J$146:$DM$146))</f>
        <v>0</v>
      </c>
      <c r="AQ38" s="19">
        <f t="shared" si="42"/>
        <v>0</v>
      </c>
      <c r="AR38" s="19">
        <f t="shared" si="42"/>
        <v>0</v>
      </c>
      <c r="AS38" s="19">
        <f t="shared" si="42"/>
        <v>0</v>
      </c>
      <c r="AT38" s="19">
        <f t="shared" si="42"/>
        <v>0</v>
      </c>
      <c r="AU38" s="19">
        <f t="shared" si="42"/>
        <v>0</v>
      </c>
      <c r="AV38" s="19">
        <f t="shared" si="42"/>
        <v>0</v>
      </c>
      <c r="AW38" s="19">
        <f t="shared" si="42"/>
        <v>0</v>
      </c>
      <c r="AX38" s="19">
        <f t="shared" si="42"/>
        <v>0</v>
      </c>
      <c r="AY38" s="19">
        <f t="shared" si="42"/>
        <v>0</v>
      </c>
      <c r="AZ38" s="19">
        <f t="shared" si="42"/>
        <v>0</v>
      </c>
      <c r="BA38" s="19">
        <f t="shared" si="42"/>
        <v>0</v>
      </c>
      <c r="BB38" s="19">
        <f t="shared" si="42"/>
        <v>0</v>
      </c>
      <c r="BC38" s="19">
        <f t="shared" si="42"/>
        <v>0</v>
      </c>
      <c r="BD38" s="19">
        <f t="shared" si="42"/>
        <v>0</v>
      </c>
      <c r="BE38" s="19">
        <f t="shared" si="42"/>
        <v>0</v>
      </c>
      <c r="BF38" s="19">
        <f t="shared" si="42"/>
        <v>0</v>
      </c>
      <c r="BG38" s="19">
        <f t="shared" si="42"/>
        <v>0</v>
      </c>
      <c r="BH38" s="19">
        <f t="shared" si="42"/>
        <v>0</v>
      </c>
      <c r="BI38" s="19">
        <f t="shared" si="42"/>
        <v>0</v>
      </c>
      <c r="BJ38" s="19">
        <f t="shared" si="42"/>
        <v>0</v>
      </c>
      <c r="BK38" s="19">
        <f t="shared" si="42"/>
        <v>0</v>
      </c>
      <c r="BL38" s="19">
        <f t="shared" si="42"/>
        <v>0</v>
      </c>
      <c r="BM38" s="19">
        <f t="shared" si="42"/>
        <v>0</v>
      </c>
      <c r="BN38" s="19">
        <f t="shared" si="42"/>
        <v>0</v>
      </c>
      <c r="BO38" s="19">
        <f t="shared" si="42"/>
        <v>0</v>
      </c>
      <c r="BP38" s="19">
        <f t="shared" si="42"/>
        <v>0</v>
      </c>
      <c r="BQ38" s="19">
        <f t="shared" si="42"/>
        <v>0</v>
      </c>
      <c r="BR38" s="19">
        <f t="shared" si="42"/>
        <v>0</v>
      </c>
      <c r="BS38" s="19">
        <f t="shared" si="42"/>
        <v>0</v>
      </c>
      <c r="BT38" s="19">
        <f t="shared" si="42"/>
        <v>0</v>
      </c>
      <c r="BU38" s="19">
        <f t="shared" si="42"/>
        <v>0</v>
      </c>
      <c r="BV38" s="19">
        <f t="shared" ref="BV38:DA38" si="43">-IF(BV8=0,0,LOOKUP(BV8,$J$4:$DM$4,$J$146:$DM$146))</f>
        <v>0</v>
      </c>
      <c r="BW38" s="19">
        <f t="shared" si="43"/>
        <v>0</v>
      </c>
      <c r="BX38" s="19">
        <f t="shared" si="43"/>
        <v>0</v>
      </c>
      <c r="BY38" s="19">
        <f t="shared" si="43"/>
        <v>0</v>
      </c>
      <c r="BZ38" s="19">
        <f t="shared" si="43"/>
        <v>0</v>
      </c>
      <c r="CA38" s="19">
        <f t="shared" si="43"/>
        <v>0</v>
      </c>
      <c r="CB38" s="19">
        <f t="shared" si="43"/>
        <v>0</v>
      </c>
      <c r="CC38" s="19">
        <f t="shared" si="43"/>
        <v>0</v>
      </c>
      <c r="CD38" s="19">
        <f t="shared" si="43"/>
        <v>0</v>
      </c>
      <c r="CE38" s="19">
        <f t="shared" si="43"/>
        <v>0</v>
      </c>
      <c r="CF38" s="19">
        <f t="shared" si="43"/>
        <v>0</v>
      </c>
      <c r="CG38" s="19">
        <f t="shared" si="43"/>
        <v>0</v>
      </c>
      <c r="CH38" s="19">
        <f t="shared" si="43"/>
        <v>0</v>
      </c>
      <c r="CI38" s="19">
        <f t="shared" si="43"/>
        <v>0</v>
      </c>
      <c r="CJ38" s="19">
        <f t="shared" si="43"/>
        <v>0</v>
      </c>
      <c r="CK38" s="19">
        <f t="shared" si="43"/>
        <v>0</v>
      </c>
      <c r="CL38" s="19">
        <f t="shared" si="43"/>
        <v>0</v>
      </c>
      <c r="CM38" s="19">
        <f t="shared" si="43"/>
        <v>0</v>
      </c>
      <c r="CN38" s="19">
        <f t="shared" si="43"/>
        <v>0</v>
      </c>
      <c r="CO38" s="19">
        <f t="shared" si="43"/>
        <v>0</v>
      </c>
      <c r="CP38" s="19">
        <f t="shared" si="43"/>
        <v>0</v>
      </c>
      <c r="CQ38" s="19">
        <f t="shared" si="43"/>
        <v>0</v>
      </c>
      <c r="CR38" s="19">
        <f t="shared" si="43"/>
        <v>0</v>
      </c>
      <c r="CS38" s="19">
        <f t="shared" si="43"/>
        <v>0</v>
      </c>
      <c r="CT38" s="19">
        <f t="shared" si="43"/>
        <v>0</v>
      </c>
      <c r="CU38" s="19">
        <f t="shared" si="43"/>
        <v>0</v>
      </c>
      <c r="CV38" s="19">
        <f t="shared" si="43"/>
        <v>0</v>
      </c>
      <c r="CW38" s="19">
        <f t="shared" si="43"/>
        <v>0</v>
      </c>
      <c r="CX38" s="19">
        <f t="shared" si="43"/>
        <v>0</v>
      </c>
      <c r="CY38" s="19">
        <f t="shared" si="43"/>
        <v>0</v>
      </c>
      <c r="CZ38" s="19">
        <f t="shared" si="43"/>
        <v>0</v>
      </c>
      <c r="DA38" s="19">
        <f t="shared" si="43"/>
        <v>0</v>
      </c>
      <c r="DB38" s="19">
        <f t="shared" ref="DB38:DM38" si="44">-IF(DB8=0,0,LOOKUP(DB8,$J$4:$DM$4,$J$146:$DM$146))</f>
        <v>0</v>
      </c>
      <c r="DC38" s="19">
        <f t="shared" si="44"/>
        <v>0</v>
      </c>
      <c r="DD38" s="19">
        <f t="shared" si="44"/>
        <v>0</v>
      </c>
      <c r="DE38" s="19">
        <f t="shared" si="44"/>
        <v>0</v>
      </c>
      <c r="DF38" s="19">
        <f t="shared" si="44"/>
        <v>0</v>
      </c>
      <c r="DG38" s="19">
        <f t="shared" si="44"/>
        <v>0</v>
      </c>
      <c r="DH38" s="19">
        <f t="shared" si="44"/>
        <v>0</v>
      </c>
      <c r="DI38" s="19">
        <f t="shared" si="44"/>
        <v>0</v>
      </c>
      <c r="DJ38" s="19">
        <f t="shared" si="44"/>
        <v>0</v>
      </c>
      <c r="DK38" s="19">
        <f t="shared" si="44"/>
        <v>0</v>
      </c>
      <c r="DL38" s="19">
        <f t="shared" si="44"/>
        <v>0</v>
      </c>
      <c r="DM38" s="19">
        <f t="shared" si="44"/>
        <v>0</v>
      </c>
    </row>
    <row r="39" spans="3:117" ht="14" outlineLevel="1" thickBot="1" x14ac:dyDescent="0.2">
      <c r="C39" t="s">
        <v>56</v>
      </c>
      <c r="D39" s="5" t="s">
        <v>167</v>
      </c>
      <c r="I39" s="42"/>
      <c r="J39" s="32">
        <f>SUM(J36:J38)</f>
        <v>0</v>
      </c>
      <c r="K39" s="32">
        <f t="shared" ref="K39:BV39" si="45">SUM(K36:K38)</f>
        <v>0</v>
      </c>
      <c r="L39" s="32">
        <f t="shared" si="45"/>
        <v>0</v>
      </c>
      <c r="M39" s="32">
        <f t="shared" si="45"/>
        <v>2227304430.0000005</v>
      </c>
      <c r="N39" s="32">
        <f t="shared" si="45"/>
        <v>1814478322.5000005</v>
      </c>
      <c r="O39" s="32">
        <f t="shared" si="45"/>
        <v>1371652215.0000005</v>
      </c>
      <c r="P39" s="32">
        <f t="shared" si="45"/>
        <v>873326107.50000036</v>
      </c>
      <c r="Q39" s="32">
        <f t="shared" si="45"/>
        <v>324000000.00000024</v>
      </c>
      <c r="R39" s="32">
        <f t="shared" si="45"/>
        <v>267000000.00000024</v>
      </c>
      <c r="S39" s="32">
        <f t="shared" si="45"/>
        <v>166500000.00000024</v>
      </c>
      <c r="T39" s="32">
        <f t="shared" si="45"/>
        <v>103000000.00000024</v>
      </c>
      <c r="U39" s="32">
        <f t="shared" si="45"/>
        <v>55000000.000000238</v>
      </c>
      <c r="V39" s="32">
        <f t="shared" si="45"/>
        <v>33000000.000000238</v>
      </c>
      <c r="W39" s="32">
        <f t="shared" si="45"/>
        <v>18000000.000000238</v>
      </c>
      <c r="X39" s="32">
        <f t="shared" si="45"/>
        <v>53500000.000000238</v>
      </c>
      <c r="Y39" s="32">
        <f t="shared" si="45"/>
        <v>53500000.000000238</v>
      </c>
      <c r="Z39" s="32">
        <f t="shared" si="45"/>
        <v>53500000.000000238</v>
      </c>
      <c r="AA39" s="32">
        <f t="shared" si="45"/>
        <v>53500000.000000238</v>
      </c>
      <c r="AB39" s="32">
        <f t="shared" si="45"/>
        <v>53500000.000000238</v>
      </c>
      <c r="AC39" s="32">
        <f t="shared" si="45"/>
        <v>53500000.000000238</v>
      </c>
      <c r="AD39" s="32">
        <f t="shared" si="45"/>
        <v>53500000.000000238</v>
      </c>
      <c r="AE39" s="32">
        <f t="shared" si="45"/>
        <v>53500000.000000238</v>
      </c>
      <c r="AF39" s="32">
        <f t="shared" si="45"/>
        <v>53500000.000000238</v>
      </c>
      <c r="AG39" s="32">
        <f t="shared" si="45"/>
        <v>53500000.000000238</v>
      </c>
      <c r="AH39" s="32">
        <f t="shared" si="45"/>
        <v>53500000.000000238</v>
      </c>
      <c r="AI39" s="32">
        <f t="shared" si="45"/>
        <v>53500000.000000238</v>
      </c>
      <c r="AJ39" s="32">
        <f t="shared" si="45"/>
        <v>53500000.000000238</v>
      </c>
      <c r="AK39" s="32">
        <f t="shared" si="45"/>
        <v>53500000.000000238</v>
      </c>
      <c r="AL39" s="32">
        <f t="shared" si="45"/>
        <v>53500000.000000238</v>
      </c>
      <c r="AM39" s="32">
        <f t="shared" si="45"/>
        <v>53500000.000000238</v>
      </c>
      <c r="AN39" s="32">
        <f t="shared" si="45"/>
        <v>53500000.000000238</v>
      </c>
      <c r="AO39" s="32">
        <f t="shared" si="45"/>
        <v>53500000.000000238</v>
      </c>
      <c r="AP39" s="32">
        <f t="shared" si="45"/>
        <v>53500000.000000238</v>
      </c>
      <c r="AQ39" s="32">
        <f t="shared" si="45"/>
        <v>53500000.000000238</v>
      </c>
      <c r="AR39" s="32">
        <f t="shared" si="45"/>
        <v>53500000.000000238</v>
      </c>
      <c r="AS39" s="32">
        <f t="shared" si="45"/>
        <v>53500000.000000238</v>
      </c>
      <c r="AT39" s="32">
        <f t="shared" si="45"/>
        <v>53500000.000000238</v>
      </c>
      <c r="AU39" s="32">
        <f t="shared" si="45"/>
        <v>53500000.000000238</v>
      </c>
      <c r="AV39" s="32">
        <f t="shared" si="45"/>
        <v>53500000.000000238</v>
      </c>
      <c r="AW39" s="32">
        <f t="shared" si="45"/>
        <v>53500000.000000238</v>
      </c>
      <c r="AX39" s="32">
        <f t="shared" si="45"/>
        <v>53500000.000000238</v>
      </c>
      <c r="AY39" s="32">
        <f t="shared" si="45"/>
        <v>53500000.000000238</v>
      </c>
      <c r="AZ39" s="32">
        <f t="shared" si="45"/>
        <v>53500000.000000238</v>
      </c>
      <c r="BA39" s="32">
        <f t="shared" si="45"/>
        <v>53500000.000000238</v>
      </c>
      <c r="BB39" s="32">
        <f t="shared" si="45"/>
        <v>53500000.000000238</v>
      </c>
      <c r="BC39" s="32">
        <f t="shared" si="45"/>
        <v>53500000.000000238</v>
      </c>
      <c r="BD39" s="32">
        <f t="shared" si="45"/>
        <v>53500000.000000238</v>
      </c>
      <c r="BE39" s="32">
        <f t="shared" si="45"/>
        <v>53500000.000000238</v>
      </c>
      <c r="BF39" s="32">
        <f t="shared" si="45"/>
        <v>53500000.000000238</v>
      </c>
      <c r="BG39" s="32">
        <f t="shared" si="45"/>
        <v>53500000.000000238</v>
      </c>
      <c r="BH39" s="32">
        <f t="shared" si="45"/>
        <v>53500000.000000238</v>
      </c>
      <c r="BI39" s="32">
        <f t="shared" si="45"/>
        <v>53500000.000000238</v>
      </c>
      <c r="BJ39" s="32">
        <f t="shared" si="45"/>
        <v>53500000.000000238</v>
      </c>
      <c r="BK39" s="32">
        <f t="shared" si="45"/>
        <v>53500000.000000238</v>
      </c>
      <c r="BL39" s="32">
        <f t="shared" si="45"/>
        <v>53500000.000000238</v>
      </c>
      <c r="BM39" s="32">
        <f t="shared" si="45"/>
        <v>53500000.000000238</v>
      </c>
      <c r="BN39" s="32">
        <f t="shared" si="45"/>
        <v>53500000.000000238</v>
      </c>
      <c r="BO39" s="32">
        <f t="shared" si="45"/>
        <v>53500000.000000238</v>
      </c>
      <c r="BP39" s="32">
        <f t="shared" si="45"/>
        <v>53500000.000000238</v>
      </c>
      <c r="BQ39" s="32">
        <f t="shared" si="45"/>
        <v>53500000.000000238</v>
      </c>
      <c r="BR39" s="32">
        <f t="shared" si="45"/>
        <v>53500000.000000238</v>
      </c>
      <c r="BS39" s="32">
        <f t="shared" si="45"/>
        <v>53500000.000000238</v>
      </c>
      <c r="BT39" s="32">
        <f t="shared" si="45"/>
        <v>53500000.000000238</v>
      </c>
      <c r="BU39" s="32">
        <f t="shared" si="45"/>
        <v>53500000.000000238</v>
      </c>
      <c r="BV39" s="32">
        <f t="shared" si="45"/>
        <v>53500000.000000238</v>
      </c>
      <c r="BW39" s="32">
        <f t="shared" ref="BW39:DM39" si="46">SUM(BW36:BW38)</f>
        <v>53500000.000000238</v>
      </c>
      <c r="BX39" s="32">
        <f t="shared" si="46"/>
        <v>53500000.000000238</v>
      </c>
      <c r="BY39" s="32">
        <f t="shared" si="46"/>
        <v>53500000.000000238</v>
      </c>
      <c r="BZ39" s="32">
        <f t="shared" si="46"/>
        <v>53500000.000000238</v>
      </c>
      <c r="CA39" s="32">
        <f t="shared" si="46"/>
        <v>53500000.000000238</v>
      </c>
      <c r="CB39" s="32">
        <f t="shared" si="46"/>
        <v>53500000.000000238</v>
      </c>
      <c r="CC39" s="32">
        <f t="shared" si="46"/>
        <v>53500000.000000238</v>
      </c>
      <c r="CD39" s="32">
        <f t="shared" si="46"/>
        <v>53500000.000000238</v>
      </c>
      <c r="CE39" s="32">
        <f t="shared" si="46"/>
        <v>53500000.000000238</v>
      </c>
      <c r="CF39" s="32">
        <f t="shared" si="46"/>
        <v>53500000.000000238</v>
      </c>
      <c r="CG39" s="32">
        <f t="shared" si="46"/>
        <v>53500000.000000238</v>
      </c>
      <c r="CH39" s="32">
        <f t="shared" si="46"/>
        <v>53500000.000000238</v>
      </c>
      <c r="CI39" s="32">
        <f t="shared" si="46"/>
        <v>53500000.000000238</v>
      </c>
      <c r="CJ39" s="32">
        <f t="shared" si="46"/>
        <v>53500000.000000238</v>
      </c>
      <c r="CK39" s="32">
        <f t="shared" si="46"/>
        <v>53500000.000000238</v>
      </c>
      <c r="CL39" s="32">
        <f t="shared" si="46"/>
        <v>53500000.000000238</v>
      </c>
      <c r="CM39" s="32">
        <f t="shared" si="46"/>
        <v>53500000.000000238</v>
      </c>
      <c r="CN39" s="32">
        <f t="shared" si="46"/>
        <v>53500000.000000238</v>
      </c>
      <c r="CO39" s="32">
        <f t="shared" si="46"/>
        <v>53500000.000000238</v>
      </c>
      <c r="CP39" s="32">
        <f t="shared" si="46"/>
        <v>53500000.000000238</v>
      </c>
      <c r="CQ39" s="32">
        <f t="shared" si="46"/>
        <v>53500000.000000238</v>
      </c>
      <c r="CR39" s="32">
        <f t="shared" si="46"/>
        <v>53500000.000000238</v>
      </c>
      <c r="CS39" s="32">
        <f t="shared" si="46"/>
        <v>53500000.000000238</v>
      </c>
      <c r="CT39" s="32">
        <f t="shared" si="46"/>
        <v>53500000.000000238</v>
      </c>
      <c r="CU39" s="32">
        <f t="shared" si="46"/>
        <v>53500000.000000238</v>
      </c>
      <c r="CV39" s="32">
        <f t="shared" si="46"/>
        <v>53500000.000000238</v>
      </c>
      <c r="CW39" s="32">
        <f t="shared" si="46"/>
        <v>53500000.000000238</v>
      </c>
      <c r="CX39" s="32">
        <f t="shared" si="46"/>
        <v>53500000.000000238</v>
      </c>
      <c r="CY39" s="32">
        <f t="shared" si="46"/>
        <v>53500000.000000238</v>
      </c>
      <c r="CZ39" s="32">
        <f t="shared" si="46"/>
        <v>53500000.000000238</v>
      </c>
      <c r="DA39" s="32">
        <f t="shared" si="46"/>
        <v>53500000.000000238</v>
      </c>
      <c r="DB39" s="32">
        <f t="shared" si="46"/>
        <v>53500000.000000238</v>
      </c>
      <c r="DC39" s="32">
        <f t="shared" si="46"/>
        <v>53500000.000000238</v>
      </c>
      <c r="DD39" s="32">
        <f t="shared" si="46"/>
        <v>53500000.000000238</v>
      </c>
      <c r="DE39" s="32">
        <f t="shared" si="46"/>
        <v>53500000.000000238</v>
      </c>
      <c r="DF39" s="32">
        <f t="shared" si="46"/>
        <v>53500000.000000238</v>
      </c>
      <c r="DG39" s="32">
        <f t="shared" si="46"/>
        <v>53500000.000000238</v>
      </c>
      <c r="DH39" s="32">
        <f t="shared" si="46"/>
        <v>53500000.000000238</v>
      </c>
      <c r="DI39" s="32">
        <f t="shared" si="46"/>
        <v>53500000.000000238</v>
      </c>
      <c r="DJ39" s="32">
        <f t="shared" si="46"/>
        <v>53500000.000000238</v>
      </c>
      <c r="DK39" s="32">
        <f t="shared" si="46"/>
        <v>53500000.000000238</v>
      </c>
      <c r="DL39" s="32">
        <f t="shared" si="46"/>
        <v>53500000.000000238</v>
      </c>
      <c r="DM39" s="32">
        <f t="shared" si="46"/>
        <v>53500000.000000238</v>
      </c>
    </row>
    <row r="40" spans="3:117" ht="14" outlineLevel="1" thickTop="1" x14ac:dyDescent="0.15"/>
    <row r="41" spans="3:117" outlineLevel="1" x14ac:dyDescent="0.15">
      <c r="C41" t="s">
        <v>103</v>
      </c>
      <c r="D41" s="5" t="s">
        <v>108</v>
      </c>
      <c r="E41" s="15">
        <v>4</v>
      </c>
    </row>
    <row r="42" spans="3:117" outlineLevel="1" x14ac:dyDescent="0.15"/>
    <row r="43" spans="3:117" ht="14" outlineLevel="1" x14ac:dyDescent="0.15">
      <c r="C43" s="1" t="s">
        <v>107</v>
      </c>
    </row>
    <row r="44" spans="3:117" ht="12.75" customHeight="1" outlineLevel="1" x14ac:dyDescent="0.15">
      <c r="C44" t="s">
        <v>109</v>
      </c>
      <c r="E44" s="17" t="s">
        <v>110</v>
      </c>
    </row>
    <row r="45" spans="3:117" outlineLevel="1" x14ac:dyDescent="0.15">
      <c r="C45" s="50">
        <v>1</v>
      </c>
      <c r="D45" s="5" t="s">
        <v>18</v>
      </c>
      <c r="E45" s="19">
        <f t="shared" ref="E45:E76" si="47">LOOKUP(C45+($E$5-1),$J$4:$DM$4,$J$33:$DM$33)</f>
        <v>2227304430.0000005</v>
      </c>
      <c r="I45" s="9"/>
      <c r="J45" s="34">
        <f>IF(SUM($I45:I45)&lt;1,IF($C45&lt;=J$4,1/$E$41,0),0)</f>
        <v>0.25</v>
      </c>
      <c r="K45" s="34">
        <f>IF(SUM($I45:J45)&lt;1,IF($C45&lt;=K$4,1/$E$41,0),0)</f>
        <v>0.25</v>
      </c>
      <c r="L45" s="34">
        <f>IF(SUM($I45:K45)&lt;1,IF($C45&lt;=L$4,1/$E$41,0),0)</f>
        <v>0.25</v>
      </c>
      <c r="M45" s="34">
        <f>IF(SUM($I45:L45)&lt;1,IF($C45&lt;=M$4,1/$E$41,0),0)</f>
        <v>0.25</v>
      </c>
      <c r="N45" s="34">
        <f>IF(SUM($I45:M45)&lt;1,IF($C45&lt;=N$4,1/$E$41,0),0)</f>
        <v>0</v>
      </c>
      <c r="O45" s="34">
        <f>IF(SUM($I45:N45)&lt;1,IF($C45&lt;=O$4,1/$E$41,0),0)</f>
        <v>0</v>
      </c>
      <c r="P45" s="34">
        <f>IF(SUM($I45:O45)&lt;1,IF($C45&lt;=P$4,1/$E$41,0),0)</f>
        <v>0</v>
      </c>
      <c r="Q45" s="34">
        <f>IF(SUM($I45:P45)&lt;1,IF($C45&lt;=Q$4,1/$E$41,0),0)</f>
        <v>0</v>
      </c>
      <c r="R45" s="34">
        <f>IF(SUM($I45:Q45)&lt;1,IF($C45&lt;=R$4,1/$E$41,0),0)</f>
        <v>0</v>
      </c>
      <c r="S45" s="34">
        <f>IF(SUM($I45:R45)&lt;1,IF($C45&lt;=S$4,1/$E$41,0),0)</f>
        <v>0</v>
      </c>
      <c r="T45" s="34">
        <f>IF(SUM($I45:S45)&lt;1,IF($C45&lt;=T$4,1/$E$41,0),0)</f>
        <v>0</v>
      </c>
      <c r="U45" s="34">
        <f>IF(SUM($I45:T45)&lt;1,IF($C45&lt;=U$4,1/$E$41,0),0)</f>
        <v>0</v>
      </c>
      <c r="V45" s="34">
        <f>IF(SUM($I45:U45)&lt;1,IF($C45&lt;=V$4,1/$E$41,0),0)</f>
        <v>0</v>
      </c>
      <c r="W45" s="34">
        <f>IF(SUM($I45:V45)&lt;1,IF($C45&lt;=W$4,1/$E$41,0),0)</f>
        <v>0</v>
      </c>
      <c r="X45" s="34">
        <f>IF(SUM($I45:W45)&lt;1,IF($C45&lt;=X$4,1/$E$41,0),0)</f>
        <v>0</v>
      </c>
      <c r="Y45" s="34">
        <f>IF(SUM($I45:X45)&lt;1,IF($C45&lt;=Y$4,1/$E$41,0),0)</f>
        <v>0</v>
      </c>
      <c r="Z45" s="34">
        <f>IF(SUM($I45:Y45)&lt;1,IF($C45&lt;=Z$4,1/$E$41,0),0)</f>
        <v>0</v>
      </c>
      <c r="AA45" s="34">
        <f>IF(SUM($I45:Z45)&lt;1,IF($C45&lt;=AA$4,1/$E$41,0),0)</f>
        <v>0</v>
      </c>
      <c r="AB45" s="34">
        <f>IF(SUM($I45:AA45)&lt;1,IF($C45&lt;=AB$4,1/$E$41,0),0)</f>
        <v>0</v>
      </c>
      <c r="AC45" s="34">
        <f>IF(SUM($I45:AB45)&lt;1,IF($C45&lt;=AC$4,1/$E$41,0),0)</f>
        <v>0</v>
      </c>
      <c r="AD45" s="34">
        <f>IF(SUM($I45:AC45)&lt;1,IF($C45&lt;=AD$4,1/$E$41,0),0)</f>
        <v>0</v>
      </c>
      <c r="AE45" s="34">
        <f>IF(SUM($I45:AD45)&lt;1,IF($C45&lt;=AE$4,1/$E$41,0),0)</f>
        <v>0</v>
      </c>
      <c r="AF45" s="34">
        <f>IF(SUM($I45:AE45)&lt;1,IF($C45&lt;=AF$4,1/$E$41,0),0)</f>
        <v>0</v>
      </c>
      <c r="AG45" s="34">
        <f>IF(SUM($I45:AF45)&lt;1,IF($C45&lt;=AG$4,1/$E$41,0),0)</f>
        <v>0</v>
      </c>
      <c r="AH45" s="34">
        <f>IF(SUM($I45:AG45)&lt;1,IF($C45&lt;=AH$4,1/$E$41,0),0)</f>
        <v>0</v>
      </c>
      <c r="AI45" s="34">
        <f>IF(SUM($I45:AH45)&lt;1,IF($C45&lt;=AI$4,1/$E$41,0),0)</f>
        <v>0</v>
      </c>
      <c r="AJ45" s="34">
        <f>IF(SUM($I45:AI45)&lt;1,IF($C45&lt;=AJ$4,1/$E$41,0),0)</f>
        <v>0</v>
      </c>
      <c r="AK45" s="34">
        <f>IF(SUM($I45:AJ45)&lt;1,IF($C45&lt;=AK$4,1/$E$41,0),0)</f>
        <v>0</v>
      </c>
      <c r="AL45" s="34">
        <f>IF(SUM($I45:AK45)&lt;1,IF($C45&lt;=AL$4,1/$E$41,0),0)</f>
        <v>0</v>
      </c>
      <c r="AM45" s="34">
        <f>IF(SUM($I45:AL45)&lt;1,IF($C45&lt;=AM$4,1/$E$41,0),0)</f>
        <v>0</v>
      </c>
      <c r="AN45" s="34">
        <f>IF(SUM($I45:AM45)&lt;1,IF($C45&lt;=AN$4,1/$E$41,0),0)</f>
        <v>0</v>
      </c>
      <c r="AO45" s="34">
        <f>IF(SUM($I45:AN45)&lt;1,IF($C45&lt;=AO$4,1/$E$41,0),0)</f>
        <v>0</v>
      </c>
      <c r="AP45" s="34">
        <f>IF(SUM($I45:AO45)&lt;1,IF($C45&lt;=AP$4,1/$E$41,0),0)</f>
        <v>0</v>
      </c>
      <c r="AQ45" s="34">
        <f>IF(SUM($I45:AP45)&lt;1,IF($C45&lt;=AQ$4,1/$E$41,0),0)</f>
        <v>0</v>
      </c>
      <c r="AR45" s="34">
        <f>IF(SUM($I45:AQ45)&lt;1,IF($C45&lt;=AR$4,1/$E$41,0),0)</f>
        <v>0</v>
      </c>
      <c r="AS45" s="34">
        <f>IF(SUM($I45:AR45)&lt;1,IF($C45&lt;=AS$4,1/$E$41,0),0)</f>
        <v>0</v>
      </c>
      <c r="AT45" s="34">
        <f>IF(SUM($I45:AS45)&lt;1,IF($C45&lt;=AT$4,1/$E$41,0),0)</f>
        <v>0</v>
      </c>
      <c r="AU45" s="34">
        <f>IF(SUM($I45:AT45)&lt;1,IF($C45&lt;=AU$4,1/$E$41,0),0)</f>
        <v>0</v>
      </c>
      <c r="AV45" s="34">
        <f>IF(SUM($I45:AU45)&lt;1,IF($C45&lt;=AV$4,1/$E$41,0),0)</f>
        <v>0</v>
      </c>
      <c r="AW45" s="34">
        <f>IF(SUM($I45:AV45)&lt;1,IF($C45&lt;=AW$4,1/$E$41,0),0)</f>
        <v>0</v>
      </c>
      <c r="AX45" s="34">
        <f>IF(SUM($I45:AW45)&lt;1,IF($C45&lt;=AX$4,1/$E$41,0),0)</f>
        <v>0</v>
      </c>
      <c r="AY45" s="34">
        <f>IF(SUM($I45:AX45)&lt;1,IF($C45&lt;=AY$4,1/$E$41,0),0)</f>
        <v>0</v>
      </c>
      <c r="AZ45" s="34">
        <f>IF(SUM($I45:AY45)&lt;1,IF($C45&lt;=AZ$4,1/$E$41,0),0)</f>
        <v>0</v>
      </c>
      <c r="BA45" s="34">
        <f>IF(SUM($I45:AZ45)&lt;1,IF($C45&lt;=BA$4,1/$E$41,0),0)</f>
        <v>0</v>
      </c>
      <c r="BB45" s="34">
        <f>IF(SUM($I45:BA45)&lt;1,IF($C45&lt;=BB$4,1/$E$41,0),0)</f>
        <v>0</v>
      </c>
      <c r="BC45" s="34">
        <f>IF(SUM($I45:BB45)&lt;1,IF($C45&lt;=BC$4,1/$E$41,0),0)</f>
        <v>0</v>
      </c>
      <c r="BD45" s="34">
        <f>IF(SUM($I45:BC45)&lt;1,IF($C45&lt;=BD$4,1/$E$41,0),0)</f>
        <v>0</v>
      </c>
      <c r="BE45" s="34">
        <f>IF(SUM($I45:BD45)&lt;1,IF($C45&lt;=BE$4,1/$E$41,0),0)</f>
        <v>0</v>
      </c>
      <c r="BF45" s="34">
        <f>IF(SUM($I45:BE45)&lt;1,IF($C45&lt;=BF$4,1/$E$41,0),0)</f>
        <v>0</v>
      </c>
      <c r="BG45" s="34">
        <f>IF(SUM($I45:BF45)&lt;1,IF($C45&lt;=BG$4,1/$E$41,0),0)</f>
        <v>0</v>
      </c>
      <c r="BH45" s="34">
        <f>IF(SUM($I45:BG45)&lt;1,IF($C45&lt;=BH$4,1/$E$41,0),0)</f>
        <v>0</v>
      </c>
      <c r="BI45" s="34">
        <f>IF(SUM($I45:BH45)&lt;1,IF($C45&lt;=BI$4,1/$E$41,0),0)</f>
        <v>0</v>
      </c>
      <c r="BJ45" s="34">
        <f>IF(SUM($I45:BI45)&lt;1,IF($C45&lt;=BJ$4,1/$E$41,0),0)</f>
        <v>0</v>
      </c>
      <c r="BK45" s="34">
        <f>IF(SUM($I45:BJ45)&lt;1,IF($C45&lt;=BK$4,1/$E$41,0),0)</f>
        <v>0</v>
      </c>
      <c r="BL45" s="34">
        <f>IF(SUM($I45:BK45)&lt;1,IF($C45&lt;=BL$4,1/$E$41,0),0)</f>
        <v>0</v>
      </c>
      <c r="BM45" s="34">
        <f>IF(SUM($I45:BL45)&lt;1,IF($C45&lt;=BM$4,1/$E$41,0),0)</f>
        <v>0</v>
      </c>
      <c r="BN45" s="34">
        <f>IF(SUM($I45:BM45)&lt;1,IF($C45&lt;=BN$4,1/$E$41,0),0)</f>
        <v>0</v>
      </c>
      <c r="BO45" s="34">
        <f>IF(SUM($I45:BN45)&lt;1,IF($C45&lt;=BO$4,1/$E$41,0),0)</f>
        <v>0</v>
      </c>
      <c r="BP45" s="34">
        <f>IF(SUM($I45:BO45)&lt;1,IF($C45&lt;=BP$4,1/$E$41,0),0)</f>
        <v>0</v>
      </c>
      <c r="BQ45" s="34">
        <f>IF(SUM($I45:BP45)&lt;1,IF($C45&lt;=BQ$4,1/$E$41,0),0)</f>
        <v>0</v>
      </c>
      <c r="BR45" s="34">
        <f>IF(SUM($I45:BQ45)&lt;1,IF($C45&lt;=BR$4,1/$E$41,0),0)</f>
        <v>0</v>
      </c>
      <c r="BS45" s="34">
        <f>IF(SUM($I45:BR45)&lt;1,IF($C45&lt;=BS$4,1/$E$41,0),0)</f>
        <v>0</v>
      </c>
      <c r="BT45" s="34">
        <f>IF(SUM($I45:BS45)&lt;1,IF($C45&lt;=BT$4,1/$E$41,0),0)</f>
        <v>0</v>
      </c>
      <c r="BU45" s="34">
        <f>IF(SUM($I45:BT45)&lt;1,IF($C45&lt;=BU$4,1/$E$41,0),0)</f>
        <v>0</v>
      </c>
      <c r="BV45" s="34">
        <f>IF(SUM($I45:BU45)&lt;1,IF($C45&lt;=BV$4,1/$E$41,0),0)</f>
        <v>0</v>
      </c>
      <c r="BW45" s="34">
        <f>IF(SUM($I45:BV45)&lt;1,IF($C45&lt;=BW$4,1/$E$41,0),0)</f>
        <v>0</v>
      </c>
      <c r="BX45" s="34">
        <f>IF(SUM($I45:BW45)&lt;1,IF($C45&lt;=BX$4,1/$E$41,0),0)</f>
        <v>0</v>
      </c>
      <c r="BY45" s="34">
        <f>IF(SUM($I45:BX45)&lt;1,IF($C45&lt;=BY$4,1/$E$41,0),0)</f>
        <v>0</v>
      </c>
      <c r="BZ45" s="34">
        <f>IF(SUM($I45:BY45)&lt;1,IF($C45&lt;=BZ$4,1/$E$41,0),0)</f>
        <v>0</v>
      </c>
      <c r="CA45" s="34">
        <f>IF(SUM($I45:BZ45)&lt;1,IF($C45&lt;=CA$4,1/$E$41,0),0)</f>
        <v>0</v>
      </c>
      <c r="CB45" s="34">
        <f>IF(SUM($I45:CA45)&lt;1,IF($C45&lt;=CB$4,1/$E$41,0),0)</f>
        <v>0</v>
      </c>
      <c r="CC45" s="34">
        <f>IF(SUM($I45:CB45)&lt;1,IF($C45&lt;=CC$4,1/$E$41,0),0)</f>
        <v>0</v>
      </c>
      <c r="CD45" s="34">
        <f>IF(SUM($I45:CC45)&lt;1,IF($C45&lt;=CD$4,1/$E$41,0),0)</f>
        <v>0</v>
      </c>
      <c r="CE45" s="34">
        <f>IF(SUM($I45:CD45)&lt;1,IF($C45&lt;=CE$4,1/$E$41,0),0)</f>
        <v>0</v>
      </c>
      <c r="CF45" s="34">
        <f>IF(SUM($I45:CE45)&lt;1,IF($C45&lt;=CF$4,1/$E$41,0),0)</f>
        <v>0</v>
      </c>
      <c r="CG45" s="34">
        <f>IF(SUM($I45:CF45)&lt;1,IF($C45&lt;=CG$4,1/$E$41,0),0)</f>
        <v>0</v>
      </c>
      <c r="CH45" s="34">
        <f>IF(SUM($I45:CG45)&lt;1,IF($C45&lt;=CH$4,1/$E$41,0),0)</f>
        <v>0</v>
      </c>
      <c r="CI45" s="34">
        <f>IF(SUM($I45:CH45)&lt;1,IF($C45&lt;=CI$4,1/$E$41,0),0)</f>
        <v>0</v>
      </c>
      <c r="CJ45" s="34">
        <f>IF(SUM($I45:CI45)&lt;1,IF($C45&lt;=CJ$4,1/$E$41,0),0)</f>
        <v>0</v>
      </c>
      <c r="CK45" s="34">
        <f>IF(SUM($I45:CJ45)&lt;1,IF($C45&lt;=CK$4,1/$E$41,0),0)</f>
        <v>0</v>
      </c>
      <c r="CL45" s="34">
        <f>IF(SUM($I45:CK45)&lt;1,IF($C45&lt;=CL$4,1/$E$41,0),0)</f>
        <v>0</v>
      </c>
      <c r="CM45" s="34">
        <f>IF(SUM($I45:CL45)&lt;1,IF($C45&lt;=CM$4,1/$E$41,0),0)</f>
        <v>0</v>
      </c>
      <c r="CN45" s="34">
        <f>IF(SUM($I45:CM45)&lt;1,IF($C45&lt;=CN$4,1/$E$41,0),0)</f>
        <v>0</v>
      </c>
      <c r="CO45" s="34">
        <f>IF(SUM($I45:CN45)&lt;1,IF($C45&lt;=CO$4,1/$E$41,0),0)</f>
        <v>0</v>
      </c>
      <c r="CP45" s="34">
        <f>IF(SUM($I45:CO45)&lt;1,IF($C45&lt;=CP$4,1/$E$41,0),0)</f>
        <v>0</v>
      </c>
      <c r="CQ45" s="34">
        <f>IF(SUM($I45:CP45)&lt;1,IF($C45&lt;=CQ$4,1/$E$41,0),0)</f>
        <v>0</v>
      </c>
      <c r="CR45" s="34">
        <f>IF(SUM($I45:CQ45)&lt;1,IF($C45&lt;=CR$4,1/$E$41,0),0)</f>
        <v>0</v>
      </c>
      <c r="CS45" s="34">
        <f>IF(SUM($I45:CR45)&lt;1,IF($C45&lt;=CS$4,1/$E$41,0),0)</f>
        <v>0</v>
      </c>
      <c r="CT45" s="34">
        <f>IF(SUM($I45:CS45)&lt;1,IF($C45&lt;=CT$4,1/$E$41,0),0)</f>
        <v>0</v>
      </c>
      <c r="CU45" s="34">
        <f>IF(SUM($I45:CT45)&lt;1,IF($C45&lt;=CU$4,1/$E$41,0),0)</f>
        <v>0</v>
      </c>
      <c r="CV45" s="34">
        <f>IF(SUM($I45:CU45)&lt;1,IF($C45&lt;=CV$4,1/$E$41,0),0)</f>
        <v>0</v>
      </c>
      <c r="CW45" s="34">
        <f>IF(SUM($I45:CV45)&lt;1,IF($C45&lt;=CW$4,1/$E$41,0),0)</f>
        <v>0</v>
      </c>
      <c r="CX45" s="34">
        <f>IF(SUM($I45:CW45)&lt;1,IF($C45&lt;=CX$4,1/$E$41,0),0)</f>
        <v>0</v>
      </c>
      <c r="CY45" s="34">
        <f>IF(SUM($I45:CX45)&lt;1,IF($C45&lt;=CY$4,1/$E$41,0),0)</f>
        <v>0</v>
      </c>
      <c r="CZ45" s="34">
        <f>IF(SUM($I45:CY45)&lt;1,IF($C45&lt;=CZ$4,1/$E$41,0),0)</f>
        <v>0</v>
      </c>
      <c r="DA45" s="34">
        <f>IF(SUM($I45:CZ45)&lt;1,IF($C45&lt;=DA$4,1/$E$41,0),0)</f>
        <v>0</v>
      </c>
      <c r="DB45" s="34">
        <f>IF(SUM($I45:DA45)&lt;1,IF($C45&lt;=DB$4,1/$E$41,0),0)</f>
        <v>0</v>
      </c>
      <c r="DC45" s="34">
        <f>IF(SUM($I45:DB45)&lt;1,IF($C45&lt;=DC$4,1/$E$41,0),0)</f>
        <v>0</v>
      </c>
      <c r="DD45" s="34">
        <f>IF(SUM($I45:DC45)&lt;1,IF($C45&lt;=DD$4,1/$E$41,0),0)</f>
        <v>0</v>
      </c>
      <c r="DE45" s="34">
        <f>IF(SUM($I45:DD45)&lt;1,IF($C45&lt;=DE$4,1/$E$41,0),0)</f>
        <v>0</v>
      </c>
      <c r="DF45" s="34">
        <f>IF(SUM($I45:DE45)&lt;1,IF($C45&lt;=DF$4,1/$E$41,0),0)</f>
        <v>0</v>
      </c>
      <c r="DG45" s="34">
        <f>IF(SUM($I45:DF45)&lt;1,IF($C45&lt;=DG$4,1/$E$41,0),0)</f>
        <v>0</v>
      </c>
      <c r="DH45" s="34">
        <f>IF(SUM($I45:DG45)&lt;1,IF($C45&lt;=DH$4,1/$E$41,0),0)</f>
        <v>0</v>
      </c>
      <c r="DI45" s="34">
        <f>IF(SUM($I45:DH45)&lt;1,IF($C45&lt;=DI$4,1/$E$41,0),0)</f>
        <v>0</v>
      </c>
      <c r="DJ45" s="34">
        <f>IF(SUM($I45:DI45)&lt;1,IF($C45&lt;=DJ$4,1/$E$41,0),0)</f>
        <v>0</v>
      </c>
      <c r="DK45" s="34">
        <f>IF(SUM($I45:DJ45)&lt;1,IF($C45&lt;=DK$4,1/$E$41,0),0)</f>
        <v>0</v>
      </c>
      <c r="DL45" s="34">
        <f>IF(SUM($I45:DK45)&lt;1,IF($C45&lt;=DL$4,1/$E$41,0),0)</f>
        <v>0</v>
      </c>
      <c r="DM45" s="34">
        <f>IF(SUM($I45:DL45)&lt;1,IF($C45&lt;=DM$4,1/$E$41,0),0)</f>
        <v>0</v>
      </c>
    </row>
    <row r="46" spans="3:117" outlineLevel="1" x14ac:dyDescent="0.15">
      <c r="C46" s="50">
        <f>C45+1</f>
        <v>2</v>
      </c>
      <c r="D46" s="5" t="s">
        <v>18</v>
      </c>
      <c r="E46" s="19">
        <f t="shared" si="47"/>
        <v>144000000</v>
      </c>
      <c r="I46" s="9"/>
      <c r="J46" s="34">
        <f>IF(SUM($I46:I46)&lt;1,IF($C46&lt;=J$4,1/$E$41,0),0)</f>
        <v>0</v>
      </c>
      <c r="K46" s="34">
        <f>IF(SUM($I46:J46)&lt;1,IF($C46&lt;=K$4,1/$E$41,0),0)</f>
        <v>0.25</v>
      </c>
      <c r="L46" s="34">
        <f>IF(SUM($I46:K46)&lt;1,IF($C46&lt;=L$4,1/$E$41,0),0)</f>
        <v>0.25</v>
      </c>
      <c r="M46" s="34">
        <f>IF(SUM($I46:L46)&lt;1,IF($C46&lt;=M$4,1/$E$41,0),0)</f>
        <v>0.25</v>
      </c>
      <c r="N46" s="34">
        <f>IF(SUM($I46:M46)&lt;1,IF($C46&lt;=N$4,1/$E$41,0),0)</f>
        <v>0.25</v>
      </c>
      <c r="O46" s="34">
        <f>IF(SUM($I46:N46)&lt;1,IF($C46&lt;=O$4,1/$E$41,0),0)</f>
        <v>0</v>
      </c>
      <c r="P46" s="34">
        <f>IF(SUM($I46:O46)&lt;1,IF($C46&lt;=P$4,1/$E$41,0),0)</f>
        <v>0</v>
      </c>
      <c r="Q46" s="34">
        <f>IF(SUM($I46:P46)&lt;1,IF($C46&lt;=Q$4,1/$E$41,0),0)</f>
        <v>0</v>
      </c>
      <c r="R46" s="34">
        <f>IF(SUM($I46:Q46)&lt;1,IF($C46&lt;=R$4,1/$E$41,0),0)</f>
        <v>0</v>
      </c>
      <c r="S46" s="34">
        <f>IF(SUM($I46:R46)&lt;1,IF($C46&lt;=S$4,1/$E$41,0),0)</f>
        <v>0</v>
      </c>
      <c r="T46" s="34">
        <f>IF(SUM($I46:S46)&lt;1,IF($C46&lt;=T$4,1/$E$41,0),0)</f>
        <v>0</v>
      </c>
      <c r="U46" s="34">
        <f>IF(SUM($I46:T46)&lt;1,IF($C46&lt;=U$4,1/$E$41,0),0)</f>
        <v>0</v>
      </c>
      <c r="V46" s="34">
        <f>IF(SUM($I46:U46)&lt;1,IF($C46&lt;=V$4,1/$E$41,0),0)</f>
        <v>0</v>
      </c>
      <c r="W46" s="34">
        <f>IF(SUM($I46:V46)&lt;1,IF($C46&lt;=W$4,1/$E$41,0),0)</f>
        <v>0</v>
      </c>
      <c r="X46" s="34">
        <f>IF(SUM($I46:W46)&lt;1,IF($C46&lt;=X$4,1/$E$41,0),0)</f>
        <v>0</v>
      </c>
      <c r="Y46" s="34">
        <f>IF(SUM($I46:X46)&lt;1,IF($C46&lt;=Y$4,1/$E$41,0),0)</f>
        <v>0</v>
      </c>
      <c r="Z46" s="34">
        <f>IF(SUM($I46:Y46)&lt;1,IF($C46&lt;=Z$4,1/$E$41,0),0)</f>
        <v>0</v>
      </c>
      <c r="AA46" s="34">
        <f>IF(SUM($I46:Z46)&lt;1,IF($C46&lt;=AA$4,1/$E$41,0),0)</f>
        <v>0</v>
      </c>
      <c r="AB46" s="34">
        <f>IF(SUM($I46:AA46)&lt;1,IF($C46&lt;=AB$4,1/$E$41,0),0)</f>
        <v>0</v>
      </c>
      <c r="AC46" s="34">
        <f>IF(SUM($I46:AB46)&lt;1,IF($C46&lt;=AC$4,1/$E$41,0),0)</f>
        <v>0</v>
      </c>
      <c r="AD46" s="34">
        <f>IF(SUM($I46:AC46)&lt;1,IF($C46&lt;=AD$4,1/$E$41,0),0)</f>
        <v>0</v>
      </c>
      <c r="AE46" s="34">
        <f>IF(SUM($I46:AD46)&lt;1,IF($C46&lt;=AE$4,1/$E$41,0),0)</f>
        <v>0</v>
      </c>
      <c r="AF46" s="34">
        <f>IF(SUM($I46:AE46)&lt;1,IF($C46&lt;=AF$4,1/$E$41,0),0)</f>
        <v>0</v>
      </c>
      <c r="AG46" s="34">
        <f>IF(SUM($I46:AF46)&lt;1,IF($C46&lt;=AG$4,1/$E$41,0),0)</f>
        <v>0</v>
      </c>
      <c r="AH46" s="34">
        <f>IF(SUM($I46:AG46)&lt;1,IF($C46&lt;=AH$4,1/$E$41,0),0)</f>
        <v>0</v>
      </c>
      <c r="AI46" s="34">
        <f>IF(SUM($I46:AH46)&lt;1,IF($C46&lt;=AI$4,1/$E$41,0),0)</f>
        <v>0</v>
      </c>
      <c r="AJ46" s="34">
        <f>IF(SUM($I46:AI46)&lt;1,IF($C46&lt;=AJ$4,1/$E$41,0),0)</f>
        <v>0</v>
      </c>
      <c r="AK46" s="34">
        <f>IF(SUM($I46:AJ46)&lt;1,IF($C46&lt;=AK$4,1/$E$41,0),0)</f>
        <v>0</v>
      </c>
      <c r="AL46" s="34">
        <f>IF(SUM($I46:AK46)&lt;1,IF($C46&lt;=AL$4,1/$E$41,0),0)</f>
        <v>0</v>
      </c>
      <c r="AM46" s="34">
        <f>IF(SUM($I46:AL46)&lt;1,IF($C46&lt;=AM$4,1/$E$41,0),0)</f>
        <v>0</v>
      </c>
      <c r="AN46" s="34">
        <f>IF(SUM($I46:AM46)&lt;1,IF($C46&lt;=AN$4,1/$E$41,0),0)</f>
        <v>0</v>
      </c>
      <c r="AO46" s="34">
        <f>IF(SUM($I46:AN46)&lt;1,IF($C46&lt;=AO$4,1/$E$41,0),0)</f>
        <v>0</v>
      </c>
      <c r="AP46" s="34">
        <f>IF(SUM($I46:AO46)&lt;1,IF($C46&lt;=AP$4,1/$E$41,0),0)</f>
        <v>0</v>
      </c>
      <c r="AQ46" s="34">
        <f>IF(SUM($I46:AP46)&lt;1,IF($C46&lt;=AQ$4,1/$E$41,0),0)</f>
        <v>0</v>
      </c>
      <c r="AR46" s="34">
        <f>IF(SUM($I46:AQ46)&lt;1,IF($C46&lt;=AR$4,1/$E$41,0),0)</f>
        <v>0</v>
      </c>
      <c r="AS46" s="34">
        <f>IF(SUM($I46:AR46)&lt;1,IF($C46&lt;=AS$4,1/$E$41,0),0)</f>
        <v>0</v>
      </c>
      <c r="AT46" s="34">
        <f>IF(SUM($I46:AS46)&lt;1,IF($C46&lt;=AT$4,1/$E$41,0),0)</f>
        <v>0</v>
      </c>
      <c r="AU46" s="34">
        <f>IF(SUM($I46:AT46)&lt;1,IF($C46&lt;=AU$4,1/$E$41,0),0)</f>
        <v>0</v>
      </c>
      <c r="AV46" s="34">
        <f>IF(SUM($I46:AU46)&lt;1,IF($C46&lt;=AV$4,1/$E$41,0),0)</f>
        <v>0</v>
      </c>
      <c r="AW46" s="34">
        <f>IF(SUM($I46:AV46)&lt;1,IF($C46&lt;=AW$4,1/$E$41,0),0)</f>
        <v>0</v>
      </c>
      <c r="AX46" s="34">
        <f>IF(SUM($I46:AW46)&lt;1,IF($C46&lt;=AX$4,1/$E$41,0),0)</f>
        <v>0</v>
      </c>
      <c r="AY46" s="34">
        <f>IF(SUM($I46:AX46)&lt;1,IF($C46&lt;=AY$4,1/$E$41,0),0)</f>
        <v>0</v>
      </c>
      <c r="AZ46" s="34">
        <f>IF(SUM($I46:AY46)&lt;1,IF($C46&lt;=AZ$4,1/$E$41,0),0)</f>
        <v>0</v>
      </c>
      <c r="BA46" s="34">
        <f>IF(SUM($I46:AZ46)&lt;1,IF($C46&lt;=BA$4,1/$E$41,0),0)</f>
        <v>0</v>
      </c>
      <c r="BB46" s="34">
        <f>IF(SUM($I46:BA46)&lt;1,IF($C46&lt;=BB$4,1/$E$41,0),0)</f>
        <v>0</v>
      </c>
      <c r="BC46" s="34">
        <f>IF(SUM($I46:BB46)&lt;1,IF($C46&lt;=BC$4,1/$E$41,0),0)</f>
        <v>0</v>
      </c>
      <c r="BD46" s="34">
        <f>IF(SUM($I46:BC46)&lt;1,IF($C46&lt;=BD$4,1/$E$41,0),0)</f>
        <v>0</v>
      </c>
      <c r="BE46" s="34">
        <f>IF(SUM($I46:BD46)&lt;1,IF($C46&lt;=BE$4,1/$E$41,0),0)</f>
        <v>0</v>
      </c>
      <c r="BF46" s="34">
        <f>IF(SUM($I46:BE46)&lt;1,IF($C46&lt;=BF$4,1/$E$41,0),0)</f>
        <v>0</v>
      </c>
      <c r="BG46" s="34">
        <f>IF(SUM($I46:BF46)&lt;1,IF($C46&lt;=BG$4,1/$E$41,0),0)</f>
        <v>0</v>
      </c>
      <c r="BH46" s="34">
        <f>IF(SUM($I46:BG46)&lt;1,IF($C46&lt;=BH$4,1/$E$41,0),0)</f>
        <v>0</v>
      </c>
      <c r="BI46" s="34">
        <f>IF(SUM($I46:BH46)&lt;1,IF($C46&lt;=BI$4,1/$E$41,0),0)</f>
        <v>0</v>
      </c>
      <c r="BJ46" s="34">
        <f>IF(SUM($I46:BI46)&lt;1,IF($C46&lt;=BJ$4,1/$E$41,0),0)</f>
        <v>0</v>
      </c>
      <c r="BK46" s="34">
        <f>IF(SUM($I46:BJ46)&lt;1,IF($C46&lt;=BK$4,1/$E$41,0),0)</f>
        <v>0</v>
      </c>
      <c r="BL46" s="34">
        <f>IF(SUM($I46:BK46)&lt;1,IF($C46&lt;=BL$4,1/$E$41,0),0)</f>
        <v>0</v>
      </c>
      <c r="BM46" s="34">
        <f>IF(SUM($I46:BL46)&lt;1,IF($C46&lt;=BM$4,1/$E$41,0),0)</f>
        <v>0</v>
      </c>
      <c r="BN46" s="34">
        <f>IF(SUM($I46:BM46)&lt;1,IF($C46&lt;=BN$4,1/$E$41,0),0)</f>
        <v>0</v>
      </c>
      <c r="BO46" s="34">
        <f>IF(SUM($I46:BN46)&lt;1,IF($C46&lt;=BO$4,1/$E$41,0),0)</f>
        <v>0</v>
      </c>
      <c r="BP46" s="34">
        <f>IF(SUM($I46:BO46)&lt;1,IF($C46&lt;=BP$4,1/$E$41,0),0)</f>
        <v>0</v>
      </c>
      <c r="BQ46" s="34">
        <f>IF(SUM($I46:BP46)&lt;1,IF($C46&lt;=BQ$4,1/$E$41,0),0)</f>
        <v>0</v>
      </c>
      <c r="BR46" s="34">
        <f>IF(SUM($I46:BQ46)&lt;1,IF($C46&lt;=BR$4,1/$E$41,0),0)</f>
        <v>0</v>
      </c>
      <c r="BS46" s="34">
        <f>IF(SUM($I46:BR46)&lt;1,IF($C46&lt;=BS$4,1/$E$41,0),0)</f>
        <v>0</v>
      </c>
      <c r="BT46" s="34">
        <f>IF(SUM($I46:BS46)&lt;1,IF($C46&lt;=BT$4,1/$E$41,0),0)</f>
        <v>0</v>
      </c>
      <c r="BU46" s="34">
        <f>IF(SUM($I46:BT46)&lt;1,IF($C46&lt;=BU$4,1/$E$41,0),0)</f>
        <v>0</v>
      </c>
      <c r="BV46" s="34">
        <f>IF(SUM($I46:BU46)&lt;1,IF($C46&lt;=BV$4,1/$E$41,0),0)</f>
        <v>0</v>
      </c>
      <c r="BW46" s="34">
        <f>IF(SUM($I46:BV46)&lt;1,IF($C46&lt;=BW$4,1/$E$41,0),0)</f>
        <v>0</v>
      </c>
      <c r="BX46" s="34">
        <f>IF(SUM($I46:BW46)&lt;1,IF($C46&lt;=BX$4,1/$E$41,0),0)</f>
        <v>0</v>
      </c>
      <c r="BY46" s="34">
        <f>IF(SUM($I46:BX46)&lt;1,IF($C46&lt;=BY$4,1/$E$41,0),0)</f>
        <v>0</v>
      </c>
      <c r="BZ46" s="34">
        <f>IF(SUM($I46:BY46)&lt;1,IF($C46&lt;=BZ$4,1/$E$41,0),0)</f>
        <v>0</v>
      </c>
      <c r="CA46" s="34">
        <f>IF(SUM($I46:BZ46)&lt;1,IF($C46&lt;=CA$4,1/$E$41,0),0)</f>
        <v>0</v>
      </c>
      <c r="CB46" s="34">
        <f>IF(SUM($I46:CA46)&lt;1,IF($C46&lt;=CB$4,1/$E$41,0),0)</f>
        <v>0</v>
      </c>
      <c r="CC46" s="34">
        <f>IF(SUM($I46:CB46)&lt;1,IF($C46&lt;=CC$4,1/$E$41,0),0)</f>
        <v>0</v>
      </c>
      <c r="CD46" s="34">
        <f>IF(SUM($I46:CC46)&lt;1,IF($C46&lt;=CD$4,1/$E$41,0),0)</f>
        <v>0</v>
      </c>
      <c r="CE46" s="34">
        <f>IF(SUM($I46:CD46)&lt;1,IF($C46&lt;=CE$4,1/$E$41,0),0)</f>
        <v>0</v>
      </c>
      <c r="CF46" s="34">
        <f>IF(SUM($I46:CE46)&lt;1,IF($C46&lt;=CF$4,1/$E$41,0),0)</f>
        <v>0</v>
      </c>
      <c r="CG46" s="34">
        <f>IF(SUM($I46:CF46)&lt;1,IF($C46&lt;=CG$4,1/$E$41,0),0)</f>
        <v>0</v>
      </c>
      <c r="CH46" s="34">
        <f>IF(SUM($I46:CG46)&lt;1,IF($C46&lt;=CH$4,1/$E$41,0),0)</f>
        <v>0</v>
      </c>
      <c r="CI46" s="34">
        <f>IF(SUM($I46:CH46)&lt;1,IF($C46&lt;=CI$4,1/$E$41,0),0)</f>
        <v>0</v>
      </c>
      <c r="CJ46" s="34">
        <f>IF(SUM($I46:CI46)&lt;1,IF($C46&lt;=CJ$4,1/$E$41,0),0)</f>
        <v>0</v>
      </c>
      <c r="CK46" s="34">
        <f>IF(SUM($I46:CJ46)&lt;1,IF($C46&lt;=CK$4,1/$E$41,0),0)</f>
        <v>0</v>
      </c>
      <c r="CL46" s="34">
        <f>IF(SUM($I46:CK46)&lt;1,IF($C46&lt;=CL$4,1/$E$41,0),0)</f>
        <v>0</v>
      </c>
      <c r="CM46" s="34">
        <f>IF(SUM($I46:CL46)&lt;1,IF($C46&lt;=CM$4,1/$E$41,0),0)</f>
        <v>0</v>
      </c>
      <c r="CN46" s="34">
        <f>IF(SUM($I46:CM46)&lt;1,IF($C46&lt;=CN$4,1/$E$41,0),0)</f>
        <v>0</v>
      </c>
      <c r="CO46" s="34">
        <f>IF(SUM($I46:CN46)&lt;1,IF($C46&lt;=CO$4,1/$E$41,0),0)</f>
        <v>0</v>
      </c>
      <c r="CP46" s="34">
        <f>IF(SUM($I46:CO46)&lt;1,IF($C46&lt;=CP$4,1/$E$41,0),0)</f>
        <v>0</v>
      </c>
      <c r="CQ46" s="34">
        <f>IF(SUM($I46:CP46)&lt;1,IF($C46&lt;=CQ$4,1/$E$41,0),0)</f>
        <v>0</v>
      </c>
      <c r="CR46" s="34">
        <f>IF(SUM($I46:CQ46)&lt;1,IF($C46&lt;=CR$4,1/$E$41,0),0)</f>
        <v>0</v>
      </c>
      <c r="CS46" s="34">
        <f>IF(SUM($I46:CR46)&lt;1,IF($C46&lt;=CS$4,1/$E$41,0),0)</f>
        <v>0</v>
      </c>
      <c r="CT46" s="34">
        <f>IF(SUM($I46:CS46)&lt;1,IF($C46&lt;=CT$4,1/$E$41,0),0)</f>
        <v>0</v>
      </c>
      <c r="CU46" s="34">
        <f>IF(SUM($I46:CT46)&lt;1,IF($C46&lt;=CU$4,1/$E$41,0),0)</f>
        <v>0</v>
      </c>
      <c r="CV46" s="34">
        <f>IF(SUM($I46:CU46)&lt;1,IF($C46&lt;=CV$4,1/$E$41,0),0)</f>
        <v>0</v>
      </c>
      <c r="CW46" s="34">
        <f>IF(SUM($I46:CV46)&lt;1,IF($C46&lt;=CW$4,1/$E$41,0),0)</f>
        <v>0</v>
      </c>
      <c r="CX46" s="34">
        <f>IF(SUM($I46:CW46)&lt;1,IF($C46&lt;=CX$4,1/$E$41,0),0)</f>
        <v>0</v>
      </c>
      <c r="CY46" s="34">
        <f>IF(SUM($I46:CX46)&lt;1,IF($C46&lt;=CY$4,1/$E$41,0),0)</f>
        <v>0</v>
      </c>
      <c r="CZ46" s="34">
        <f>IF(SUM($I46:CY46)&lt;1,IF($C46&lt;=CZ$4,1/$E$41,0),0)</f>
        <v>0</v>
      </c>
      <c r="DA46" s="34">
        <f>IF(SUM($I46:CZ46)&lt;1,IF($C46&lt;=DA$4,1/$E$41,0),0)</f>
        <v>0</v>
      </c>
      <c r="DB46" s="34">
        <f>IF(SUM($I46:DA46)&lt;1,IF($C46&lt;=DB$4,1/$E$41,0),0)</f>
        <v>0</v>
      </c>
      <c r="DC46" s="34">
        <f>IF(SUM($I46:DB46)&lt;1,IF($C46&lt;=DC$4,1/$E$41,0),0)</f>
        <v>0</v>
      </c>
      <c r="DD46" s="34">
        <f>IF(SUM($I46:DC46)&lt;1,IF($C46&lt;=DD$4,1/$E$41,0),0)</f>
        <v>0</v>
      </c>
      <c r="DE46" s="34">
        <f>IF(SUM($I46:DD46)&lt;1,IF($C46&lt;=DE$4,1/$E$41,0),0)</f>
        <v>0</v>
      </c>
      <c r="DF46" s="34">
        <f>IF(SUM($I46:DE46)&lt;1,IF($C46&lt;=DF$4,1/$E$41,0),0)</f>
        <v>0</v>
      </c>
      <c r="DG46" s="34">
        <f>IF(SUM($I46:DF46)&lt;1,IF($C46&lt;=DG$4,1/$E$41,0),0)</f>
        <v>0</v>
      </c>
      <c r="DH46" s="34">
        <f>IF(SUM($I46:DG46)&lt;1,IF($C46&lt;=DH$4,1/$E$41,0),0)</f>
        <v>0</v>
      </c>
      <c r="DI46" s="34">
        <f>IF(SUM($I46:DH46)&lt;1,IF($C46&lt;=DI$4,1/$E$41,0),0)</f>
        <v>0</v>
      </c>
      <c r="DJ46" s="34">
        <f>IF(SUM($I46:DI46)&lt;1,IF($C46&lt;=DJ$4,1/$E$41,0),0)</f>
        <v>0</v>
      </c>
      <c r="DK46" s="34">
        <f>IF(SUM($I46:DJ46)&lt;1,IF($C46&lt;=DK$4,1/$E$41,0),0)</f>
        <v>0</v>
      </c>
      <c r="DL46" s="34">
        <f>IF(SUM($I46:DK46)&lt;1,IF($C46&lt;=DL$4,1/$E$41,0),0)</f>
        <v>0</v>
      </c>
      <c r="DM46" s="34">
        <f>IF(SUM($I46:DL46)&lt;1,IF($C46&lt;=DM$4,1/$E$41,0),0)</f>
        <v>0</v>
      </c>
    </row>
    <row r="47" spans="3:117" outlineLevel="1" x14ac:dyDescent="0.15">
      <c r="C47" s="50">
        <f t="shared" ref="C47:C110" si="48">C46+1</f>
        <v>3</v>
      </c>
      <c r="D47" s="5" t="s">
        <v>18</v>
      </c>
      <c r="E47" s="19">
        <f t="shared" si="47"/>
        <v>150000000</v>
      </c>
      <c r="I47" s="9"/>
      <c r="J47" s="34">
        <f>IF(SUM($I47:I47)&lt;1,IF($C47&lt;=J$4,1/$E$41,0),0)</f>
        <v>0</v>
      </c>
      <c r="K47" s="34">
        <f>IF(SUM($I47:J47)&lt;1,IF($C47&lt;=K$4,1/$E$41,0),0)</f>
        <v>0</v>
      </c>
      <c r="L47" s="34">
        <f>IF(SUM($I47:K47)&lt;1,IF($C47&lt;=L$4,1/$E$41,0),0)</f>
        <v>0.25</v>
      </c>
      <c r="M47" s="34">
        <f>IF(SUM($I47:L47)&lt;1,IF($C47&lt;=M$4,1/$E$41,0),0)</f>
        <v>0.25</v>
      </c>
      <c r="N47" s="34">
        <f>IF(SUM($I47:M47)&lt;1,IF($C47&lt;=N$4,1/$E$41,0),0)</f>
        <v>0.25</v>
      </c>
      <c r="O47" s="34">
        <f>IF(SUM($I47:N47)&lt;1,IF($C47&lt;=O$4,1/$E$41,0),0)</f>
        <v>0.25</v>
      </c>
      <c r="P47" s="34">
        <f>IF(SUM($I47:O47)&lt;1,IF($C47&lt;=P$4,1/$E$41,0),0)</f>
        <v>0</v>
      </c>
      <c r="Q47" s="34">
        <f>IF(SUM($I47:P47)&lt;1,IF($C47&lt;=Q$4,1/$E$41,0),0)</f>
        <v>0</v>
      </c>
      <c r="R47" s="34">
        <f>IF(SUM($I47:Q47)&lt;1,IF($C47&lt;=R$4,1/$E$41,0),0)</f>
        <v>0</v>
      </c>
      <c r="S47" s="34">
        <f>IF(SUM($I47:R47)&lt;1,IF($C47&lt;=S$4,1/$E$41,0),0)</f>
        <v>0</v>
      </c>
      <c r="T47" s="34">
        <f>IF(SUM($I47:S47)&lt;1,IF($C47&lt;=T$4,1/$E$41,0),0)</f>
        <v>0</v>
      </c>
      <c r="U47" s="34">
        <f>IF(SUM($I47:T47)&lt;1,IF($C47&lt;=U$4,1/$E$41,0),0)</f>
        <v>0</v>
      </c>
      <c r="V47" s="34">
        <f>IF(SUM($I47:U47)&lt;1,IF($C47&lt;=V$4,1/$E$41,0),0)</f>
        <v>0</v>
      </c>
      <c r="W47" s="34">
        <f>IF(SUM($I47:V47)&lt;1,IF($C47&lt;=W$4,1/$E$41,0),0)</f>
        <v>0</v>
      </c>
      <c r="X47" s="34">
        <f>IF(SUM($I47:W47)&lt;1,IF($C47&lt;=X$4,1/$E$41,0),0)</f>
        <v>0</v>
      </c>
      <c r="Y47" s="34">
        <f>IF(SUM($I47:X47)&lt;1,IF($C47&lt;=Y$4,1/$E$41,0),0)</f>
        <v>0</v>
      </c>
      <c r="Z47" s="34">
        <f>IF(SUM($I47:Y47)&lt;1,IF($C47&lt;=Z$4,1/$E$41,0),0)</f>
        <v>0</v>
      </c>
      <c r="AA47" s="34">
        <f>IF(SUM($I47:Z47)&lt;1,IF($C47&lt;=AA$4,1/$E$41,0),0)</f>
        <v>0</v>
      </c>
      <c r="AB47" s="34">
        <f>IF(SUM($I47:AA47)&lt;1,IF($C47&lt;=AB$4,1/$E$41,0),0)</f>
        <v>0</v>
      </c>
      <c r="AC47" s="34">
        <f>IF(SUM($I47:AB47)&lt;1,IF($C47&lt;=AC$4,1/$E$41,0),0)</f>
        <v>0</v>
      </c>
      <c r="AD47" s="34">
        <f>IF(SUM($I47:AC47)&lt;1,IF($C47&lt;=AD$4,1/$E$41,0),0)</f>
        <v>0</v>
      </c>
      <c r="AE47" s="34">
        <f>IF(SUM($I47:AD47)&lt;1,IF($C47&lt;=AE$4,1/$E$41,0),0)</f>
        <v>0</v>
      </c>
      <c r="AF47" s="34">
        <f>IF(SUM($I47:AE47)&lt;1,IF($C47&lt;=AF$4,1/$E$41,0),0)</f>
        <v>0</v>
      </c>
      <c r="AG47" s="34">
        <f>IF(SUM($I47:AF47)&lt;1,IF($C47&lt;=AG$4,1/$E$41,0),0)</f>
        <v>0</v>
      </c>
      <c r="AH47" s="34">
        <f>IF(SUM($I47:AG47)&lt;1,IF($C47&lt;=AH$4,1/$E$41,0),0)</f>
        <v>0</v>
      </c>
      <c r="AI47" s="34">
        <f>IF(SUM($I47:AH47)&lt;1,IF($C47&lt;=AI$4,1/$E$41,0),0)</f>
        <v>0</v>
      </c>
      <c r="AJ47" s="34">
        <f>IF(SUM($I47:AI47)&lt;1,IF($C47&lt;=AJ$4,1/$E$41,0),0)</f>
        <v>0</v>
      </c>
      <c r="AK47" s="34">
        <f>IF(SUM($I47:AJ47)&lt;1,IF($C47&lt;=AK$4,1/$E$41,0),0)</f>
        <v>0</v>
      </c>
      <c r="AL47" s="34">
        <f>IF(SUM($I47:AK47)&lt;1,IF($C47&lt;=AL$4,1/$E$41,0),0)</f>
        <v>0</v>
      </c>
      <c r="AM47" s="34">
        <f>IF(SUM($I47:AL47)&lt;1,IF($C47&lt;=AM$4,1/$E$41,0),0)</f>
        <v>0</v>
      </c>
      <c r="AN47" s="34">
        <f>IF(SUM($I47:AM47)&lt;1,IF($C47&lt;=AN$4,1/$E$41,0),0)</f>
        <v>0</v>
      </c>
      <c r="AO47" s="34">
        <f>IF(SUM($I47:AN47)&lt;1,IF($C47&lt;=AO$4,1/$E$41,0),0)</f>
        <v>0</v>
      </c>
      <c r="AP47" s="34">
        <f>IF(SUM($I47:AO47)&lt;1,IF($C47&lt;=AP$4,1/$E$41,0),0)</f>
        <v>0</v>
      </c>
      <c r="AQ47" s="34">
        <f>IF(SUM($I47:AP47)&lt;1,IF($C47&lt;=AQ$4,1/$E$41,0),0)</f>
        <v>0</v>
      </c>
      <c r="AR47" s="34">
        <f>IF(SUM($I47:AQ47)&lt;1,IF($C47&lt;=AR$4,1/$E$41,0),0)</f>
        <v>0</v>
      </c>
      <c r="AS47" s="34">
        <f>IF(SUM($I47:AR47)&lt;1,IF($C47&lt;=AS$4,1/$E$41,0),0)</f>
        <v>0</v>
      </c>
      <c r="AT47" s="34">
        <f>IF(SUM($I47:AS47)&lt;1,IF($C47&lt;=AT$4,1/$E$41,0),0)</f>
        <v>0</v>
      </c>
      <c r="AU47" s="34">
        <f>IF(SUM($I47:AT47)&lt;1,IF($C47&lt;=AU$4,1/$E$41,0),0)</f>
        <v>0</v>
      </c>
      <c r="AV47" s="34">
        <f>IF(SUM($I47:AU47)&lt;1,IF($C47&lt;=AV$4,1/$E$41,0),0)</f>
        <v>0</v>
      </c>
      <c r="AW47" s="34">
        <f>IF(SUM($I47:AV47)&lt;1,IF($C47&lt;=AW$4,1/$E$41,0),0)</f>
        <v>0</v>
      </c>
      <c r="AX47" s="34">
        <f>IF(SUM($I47:AW47)&lt;1,IF($C47&lt;=AX$4,1/$E$41,0),0)</f>
        <v>0</v>
      </c>
      <c r="AY47" s="34">
        <f>IF(SUM($I47:AX47)&lt;1,IF($C47&lt;=AY$4,1/$E$41,0),0)</f>
        <v>0</v>
      </c>
      <c r="AZ47" s="34">
        <f>IF(SUM($I47:AY47)&lt;1,IF($C47&lt;=AZ$4,1/$E$41,0),0)</f>
        <v>0</v>
      </c>
      <c r="BA47" s="34">
        <f>IF(SUM($I47:AZ47)&lt;1,IF($C47&lt;=BA$4,1/$E$41,0),0)</f>
        <v>0</v>
      </c>
      <c r="BB47" s="34">
        <f>IF(SUM($I47:BA47)&lt;1,IF($C47&lt;=BB$4,1/$E$41,0),0)</f>
        <v>0</v>
      </c>
      <c r="BC47" s="34">
        <f>IF(SUM($I47:BB47)&lt;1,IF($C47&lt;=BC$4,1/$E$41,0),0)</f>
        <v>0</v>
      </c>
      <c r="BD47" s="34">
        <f>IF(SUM($I47:BC47)&lt;1,IF($C47&lt;=BD$4,1/$E$41,0),0)</f>
        <v>0</v>
      </c>
      <c r="BE47" s="34">
        <f>IF(SUM($I47:BD47)&lt;1,IF($C47&lt;=BE$4,1/$E$41,0),0)</f>
        <v>0</v>
      </c>
      <c r="BF47" s="34">
        <f>IF(SUM($I47:BE47)&lt;1,IF($C47&lt;=BF$4,1/$E$41,0),0)</f>
        <v>0</v>
      </c>
      <c r="BG47" s="34">
        <f>IF(SUM($I47:BF47)&lt;1,IF($C47&lt;=BG$4,1/$E$41,0),0)</f>
        <v>0</v>
      </c>
      <c r="BH47" s="34">
        <f>IF(SUM($I47:BG47)&lt;1,IF($C47&lt;=BH$4,1/$E$41,0),0)</f>
        <v>0</v>
      </c>
      <c r="BI47" s="34">
        <f>IF(SUM($I47:BH47)&lt;1,IF($C47&lt;=BI$4,1/$E$41,0),0)</f>
        <v>0</v>
      </c>
      <c r="BJ47" s="34">
        <f>IF(SUM($I47:BI47)&lt;1,IF($C47&lt;=BJ$4,1/$E$41,0),0)</f>
        <v>0</v>
      </c>
      <c r="BK47" s="34">
        <f>IF(SUM($I47:BJ47)&lt;1,IF($C47&lt;=BK$4,1/$E$41,0),0)</f>
        <v>0</v>
      </c>
      <c r="BL47" s="34">
        <f>IF(SUM($I47:BK47)&lt;1,IF($C47&lt;=BL$4,1/$E$41,0),0)</f>
        <v>0</v>
      </c>
      <c r="BM47" s="34">
        <f>IF(SUM($I47:BL47)&lt;1,IF($C47&lt;=BM$4,1/$E$41,0),0)</f>
        <v>0</v>
      </c>
      <c r="BN47" s="34">
        <f>IF(SUM($I47:BM47)&lt;1,IF($C47&lt;=BN$4,1/$E$41,0),0)</f>
        <v>0</v>
      </c>
      <c r="BO47" s="34">
        <f>IF(SUM($I47:BN47)&lt;1,IF($C47&lt;=BO$4,1/$E$41,0),0)</f>
        <v>0</v>
      </c>
      <c r="BP47" s="34">
        <f>IF(SUM($I47:BO47)&lt;1,IF($C47&lt;=BP$4,1/$E$41,0),0)</f>
        <v>0</v>
      </c>
      <c r="BQ47" s="34">
        <f>IF(SUM($I47:BP47)&lt;1,IF($C47&lt;=BQ$4,1/$E$41,0),0)</f>
        <v>0</v>
      </c>
      <c r="BR47" s="34">
        <f>IF(SUM($I47:BQ47)&lt;1,IF($C47&lt;=BR$4,1/$E$41,0),0)</f>
        <v>0</v>
      </c>
      <c r="BS47" s="34">
        <f>IF(SUM($I47:BR47)&lt;1,IF($C47&lt;=BS$4,1/$E$41,0),0)</f>
        <v>0</v>
      </c>
      <c r="BT47" s="34">
        <f>IF(SUM($I47:BS47)&lt;1,IF($C47&lt;=BT$4,1/$E$41,0),0)</f>
        <v>0</v>
      </c>
      <c r="BU47" s="34">
        <f>IF(SUM($I47:BT47)&lt;1,IF($C47&lt;=BU$4,1/$E$41,0),0)</f>
        <v>0</v>
      </c>
      <c r="BV47" s="34">
        <f>IF(SUM($I47:BU47)&lt;1,IF($C47&lt;=BV$4,1/$E$41,0),0)</f>
        <v>0</v>
      </c>
      <c r="BW47" s="34">
        <f>IF(SUM($I47:BV47)&lt;1,IF($C47&lt;=BW$4,1/$E$41,0),0)</f>
        <v>0</v>
      </c>
      <c r="BX47" s="34">
        <f>IF(SUM($I47:BW47)&lt;1,IF($C47&lt;=BX$4,1/$E$41,0),0)</f>
        <v>0</v>
      </c>
      <c r="BY47" s="34">
        <f>IF(SUM($I47:BX47)&lt;1,IF($C47&lt;=BY$4,1/$E$41,0),0)</f>
        <v>0</v>
      </c>
      <c r="BZ47" s="34">
        <f>IF(SUM($I47:BY47)&lt;1,IF($C47&lt;=BZ$4,1/$E$41,0),0)</f>
        <v>0</v>
      </c>
      <c r="CA47" s="34">
        <f>IF(SUM($I47:BZ47)&lt;1,IF($C47&lt;=CA$4,1/$E$41,0),0)</f>
        <v>0</v>
      </c>
      <c r="CB47" s="34">
        <f>IF(SUM($I47:CA47)&lt;1,IF($C47&lt;=CB$4,1/$E$41,0),0)</f>
        <v>0</v>
      </c>
      <c r="CC47" s="34">
        <f>IF(SUM($I47:CB47)&lt;1,IF($C47&lt;=CC$4,1/$E$41,0),0)</f>
        <v>0</v>
      </c>
      <c r="CD47" s="34">
        <f>IF(SUM($I47:CC47)&lt;1,IF($C47&lt;=CD$4,1/$E$41,0),0)</f>
        <v>0</v>
      </c>
      <c r="CE47" s="34">
        <f>IF(SUM($I47:CD47)&lt;1,IF($C47&lt;=CE$4,1/$E$41,0),0)</f>
        <v>0</v>
      </c>
      <c r="CF47" s="34">
        <f>IF(SUM($I47:CE47)&lt;1,IF($C47&lt;=CF$4,1/$E$41,0),0)</f>
        <v>0</v>
      </c>
      <c r="CG47" s="34">
        <f>IF(SUM($I47:CF47)&lt;1,IF($C47&lt;=CG$4,1/$E$41,0),0)</f>
        <v>0</v>
      </c>
      <c r="CH47" s="34">
        <f>IF(SUM($I47:CG47)&lt;1,IF($C47&lt;=CH$4,1/$E$41,0),0)</f>
        <v>0</v>
      </c>
      <c r="CI47" s="34">
        <f>IF(SUM($I47:CH47)&lt;1,IF($C47&lt;=CI$4,1/$E$41,0),0)</f>
        <v>0</v>
      </c>
      <c r="CJ47" s="34">
        <f>IF(SUM($I47:CI47)&lt;1,IF($C47&lt;=CJ$4,1/$E$41,0),0)</f>
        <v>0</v>
      </c>
      <c r="CK47" s="34">
        <f>IF(SUM($I47:CJ47)&lt;1,IF($C47&lt;=CK$4,1/$E$41,0),0)</f>
        <v>0</v>
      </c>
      <c r="CL47" s="34">
        <f>IF(SUM($I47:CK47)&lt;1,IF($C47&lt;=CL$4,1/$E$41,0),0)</f>
        <v>0</v>
      </c>
      <c r="CM47" s="34">
        <f>IF(SUM($I47:CL47)&lt;1,IF($C47&lt;=CM$4,1/$E$41,0),0)</f>
        <v>0</v>
      </c>
      <c r="CN47" s="34">
        <f>IF(SUM($I47:CM47)&lt;1,IF($C47&lt;=CN$4,1/$E$41,0),0)</f>
        <v>0</v>
      </c>
      <c r="CO47" s="34">
        <f>IF(SUM($I47:CN47)&lt;1,IF($C47&lt;=CO$4,1/$E$41,0),0)</f>
        <v>0</v>
      </c>
      <c r="CP47" s="34">
        <f>IF(SUM($I47:CO47)&lt;1,IF($C47&lt;=CP$4,1/$E$41,0),0)</f>
        <v>0</v>
      </c>
      <c r="CQ47" s="34">
        <f>IF(SUM($I47:CP47)&lt;1,IF($C47&lt;=CQ$4,1/$E$41,0),0)</f>
        <v>0</v>
      </c>
      <c r="CR47" s="34">
        <f>IF(SUM($I47:CQ47)&lt;1,IF($C47&lt;=CR$4,1/$E$41,0),0)</f>
        <v>0</v>
      </c>
      <c r="CS47" s="34">
        <f>IF(SUM($I47:CR47)&lt;1,IF($C47&lt;=CS$4,1/$E$41,0),0)</f>
        <v>0</v>
      </c>
      <c r="CT47" s="34">
        <f>IF(SUM($I47:CS47)&lt;1,IF($C47&lt;=CT$4,1/$E$41,0),0)</f>
        <v>0</v>
      </c>
      <c r="CU47" s="34">
        <f>IF(SUM($I47:CT47)&lt;1,IF($C47&lt;=CU$4,1/$E$41,0),0)</f>
        <v>0</v>
      </c>
      <c r="CV47" s="34">
        <f>IF(SUM($I47:CU47)&lt;1,IF($C47&lt;=CV$4,1/$E$41,0),0)</f>
        <v>0</v>
      </c>
      <c r="CW47" s="34">
        <f>IF(SUM($I47:CV47)&lt;1,IF($C47&lt;=CW$4,1/$E$41,0),0)</f>
        <v>0</v>
      </c>
      <c r="CX47" s="34">
        <f>IF(SUM($I47:CW47)&lt;1,IF($C47&lt;=CX$4,1/$E$41,0),0)</f>
        <v>0</v>
      </c>
      <c r="CY47" s="34">
        <f>IF(SUM($I47:CX47)&lt;1,IF($C47&lt;=CY$4,1/$E$41,0),0)</f>
        <v>0</v>
      </c>
      <c r="CZ47" s="34">
        <f>IF(SUM($I47:CY47)&lt;1,IF($C47&lt;=CZ$4,1/$E$41,0),0)</f>
        <v>0</v>
      </c>
      <c r="DA47" s="34">
        <f>IF(SUM($I47:CZ47)&lt;1,IF($C47&lt;=DA$4,1/$E$41,0),0)</f>
        <v>0</v>
      </c>
      <c r="DB47" s="34">
        <f>IF(SUM($I47:DA47)&lt;1,IF($C47&lt;=DB$4,1/$E$41,0),0)</f>
        <v>0</v>
      </c>
      <c r="DC47" s="34">
        <f>IF(SUM($I47:DB47)&lt;1,IF($C47&lt;=DC$4,1/$E$41,0),0)</f>
        <v>0</v>
      </c>
      <c r="DD47" s="34">
        <f>IF(SUM($I47:DC47)&lt;1,IF($C47&lt;=DD$4,1/$E$41,0),0)</f>
        <v>0</v>
      </c>
      <c r="DE47" s="34">
        <f>IF(SUM($I47:DD47)&lt;1,IF($C47&lt;=DE$4,1/$E$41,0),0)</f>
        <v>0</v>
      </c>
      <c r="DF47" s="34">
        <f>IF(SUM($I47:DE47)&lt;1,IF($C47&lt;=DF$4,1/$E$41,0),0)</f>
        <v>0</v>
      </c>
      <c r="DG47" s="34">
        <f>IF(SUM($I47:DF47)&lt;1,IF($C47&lt;=DG$4,1/$E$41,0),0)</f>
        <v>0</v>
      </c>
      <c r="DH47" s="34">
        <f>IF(SUM($I47:DG47)&lt;1,IF($C47&lt;=DH$4,1/$E$41,0),0)</f>
        <v>0</v>
      </c>
      <c r="DI47" s="34">
        <f>IF(SUM($I47:DH47)&lt;1,IF($C47&lt;=DI$4,1/$E$41,0),0)</f>
        <v>0</v>
      </c>
      <c r="DJ47" s="34">
        <f>IF(SUM($I47:DI47)&lt;1,IF($C47&lt;=DJ$4,1/$E$41,0),0)</f>
        <v>0</v>
      </c>
      <c r="DK47" s="34">
        <f>IF(SUM($I47:DJ47)&lt;1,IF($C47&lt;=DK$4,1/$E$41,0),0)</f>
        <v>0</v>
      </c>
      <c r="DL47" s="34">
        <f>IF(SUM($I47:DK47)&lt;1,IF($C47&lt;=DL$4,1/$E$41,0),0)</f>
        <v>0</v>
      </c>
      <c r="DM47" s="34">
        <f>IF(SUM($I47:DL47)&lt;1,IF($C47&lt;=DM$4,1/$E$41,0),0)</f>
        <v>0</v>
      </c>
    </row>
    <row r="48" spans="3:117" outlineLevel="1" x14ac:dyDescent="0.15">
      <c r="C48" s="50">
        <f t="shared" si="48"/>
        <v>4</v>
      </c>
      <c r="D48" s="5" t="s">
        <v>18</v>
      </c>
      <c r="E48" s="19">
        <f t="shared" si="47"/>
        <v>132000000</v>
      </c>
      <c r="I48" s="9"/>
      <c r="J48" s="34">
        <f>IF(SUM($I48:I48)&lt;1,IF($C48&lt;=J$4,1/$E$41,0),0)</f>
        <v>0</v>
      </c>
      <c r="K48" s="34">
        <f>IF(SUM($I48:J48)&lt;1,IF($C48&lt;=K$4,1/$E$41,0),0)</f>
        <v>0</v>
      </c>
      <c r="L48" s="34">
        <f>IF(SUM($I48:K48)&lt;1,IF($C48&lt;=L$4,1/$E$41,0),0)</f>
        <v>0</v>
      </c>
      <c r="M48" s="34">
        <f>IF(SUM($I48:L48)&lt;1,IF($C48&lt;=M$4,1/$E$41,0),0)</f>
        <v>0.25</v>
      </c>
      <c r="N48" s="34">
        <f>IF(SUM($I48:M48)&lt;1,IF($C48&lt;=N$4,1/$E$41,0),0)</f>
        <v>0.25</v>
      </c>
      <c r="O48" s="34">
        <f>IF(SUM($I48:N48)&lt;1,IF($C48&lt;=O$4,1/$E$41,0),0)</f>
        <v>0.25</v>
      </c>
      <c r="P48" s="34">
        <f>IF(SUM($I48:O48)&lt;1,IF($C48&lt;=P$4,1/$E$41,0),0)</f>
        <v>0.25</v>
      </c>
      <c r="Q48" s="34">
        <f>IF(SUM($I48:P48)&lt;1,IF($C48&lt;=Q$4,1/$E$41,0),0)</f>
        <v>0</v>
      </c>
      <c r="R48" s="34">
        <f>IF(SUM($I48:Q48)&lt;1,IF($C48&lt;=R$4,1/$E$41,0),0)</f>
        <v>0</v>
      </c>
      <c r="S48" s="34">
        <f>IF(SUM($I48:R48)&lt;1,IF($C48&lt;=S$4,1/$E$41,0),0)</f>
        <v>0</v>
      </c>
      <c r="T48" s="34">
        <f>IF(SUM($I48:S48)&lt;1,IF($C48&lt;=T$4,1/$E$41,0),0)</f>
        <v>0</v>
      </c>
      <c r="U48" s="34">
        <f>IF(SUM($I48:T48)&lt;1,IF($C48&lt;=U$4,1/$E$41,0),0)</f>
        <v>0</v>
      </c>
      <c r="V48" s="34">
        <f>IF(SUM($I48:U48)&lt;1,IF($C48&lt;=V$4,1/$E$41,0),0)</f>
        <v>0</v>
      </c>
      <c r="W48" s="34">
        <f>IF(SUM($I48:V48)&lt;1,IF($C48&lt;=W$4,1/$E$41,0),0)</f>
        <v>0</v>
      </c>
      <c r="X48" s="34">
        <f>IF(SUM($I48:W48)&lt;1,IF($C48&lt;=X$4,1/$E$41,0),0)</f>
        <v>0</v>
      </c>
      <c r="Y48" s="34">
        <f>IF(SUM($I48:X48)&lt;1,IF($C48&lt;=Y$4,1/$E$41,0),0)</f>
        <v>0</v>
      </c>
      <c r="Z48" s="34">
        <f>IF(SUM($I48:Y48)&lt;1,IF($C48&lt;=Z$4,1/$E$41,0),0)</f>
        <v>0</v>
      </c>
      <c r="AA48" s="34">
        <f>IF(SUM($I48:Z48)&lt;1,IF($C48&lt;=AA$4,1/$E$41,0),0)</f>
        <v>0</v>
      </c>
      <c r="AB48" s="34">
        <f>IF(SUM($I48:AA48)&lt;1,IF($C48&lt;=AB$4,1/$E$41,0),0)</f>
        <v>0</v>
      </c>
      <c r="AC48" s="34">
        <f>IF(SUM($I48:AB48)&lt;1,IF($C48&lt;=AC$4,1/$E$41,0),0)</f>
        <v>0</v>
      </c>
      <c r="AD48" s="34">
        <f>IF(SUM($I48:AC48)&lt;1,IF($C48&lt;=AD$4,1/$E$41,0),0)</f>
        <v>0</v>
      </c>
      <c r="AE48" s="34">
        <f>IF(SUM($I48:AD48)&lt;1,IF($C48&lt;=AE$4,1/$E$41,0),0)</f>
        <v>0</v>
      </c>
      <c r="AF48" s="34">
        <f>IF(SUM($I48:AE48)&lt;1,IF($C48&lt;=AF$4,1/$E$41,0),0)</f>
        <v>0</v>
      </c>
      <c r="AG48" s="34">
        <f>IF(SUM($I48:AF48)&lt;1,IF($C48&lt;=AG$4,1/$E$41,0),0)</f>
        <v>0</v>
      </c>
      <c r="AH48" s="34">
        <f>IF(SUM($I48:AG48)&lt;1,IF($C48&lt;=AH$4,1/$E$41,0),0)</f>
        <v>0</v>
      </c>
      <c r="AI48" s="34">
        <f>IF(SUM($I48:AH48)&lt;1,IF($C48&lt;=AI$4,1/$E$41,0),0)</f>
        <v>0</v>
      </c>
      <c r="AJ48" s="34">
        <f>IF(SUM($I48:AI48)&lt;1,IF($C48&lt;=AJ$4,1/$E$41,0),0)</f>
        <v>0</v>
      </c>
      <c r="AK48" s="34">
        <f>IF(SUM($I48:AJ48)&lt;1,IF($C48&lt;=AK$4,1/$E$41,0),0)</f>
        <v>0</v>
      </c>
      <c r="AL48" s="34">
        <f>IF(SUM($I48:AK48)&lt;1,IF($C48&lt;=AL$4,1/$E$41,0),0)</f>
        <v>0</v>
      </c>
      <c r="AM48" s="34">
        <f>IF(SUM($I48:AL48)&lt;1,IF($C48&lt;=AM$4,1/$E$41,0),0)</f>
        <v>0</v>
      </c>
      <c r="AN48" s="34">
        <f>IF(SUM($I48:AM48)&lt;1,IF($C48&lt;=AN$4,1/$E$41,0),0)</f>
        <v>0</v>
      </c>
      <c r="AO48" s="34">
        <f>IF(SUM($I48:AN48)&lt;1,IF($C48&lt;=AO$4,1/$E$41,0),0)</f>
        <v>0</v>
      </c>
      <c r="AP48" s="34">
        <f>IF(SUM($I48:AO48)&lt;1,IF($C48&lt;=AP$4,1/$E$41,0),0)</f>
        <v>0</v>
      </c>
      <c r="AQ48" s="34">
        <f>IF(SUM($I48:AP48)&lt;1,IF($C48&lt;=AQ$4,1/$E$41,0),0)</f>
        <v>0</v>
      </c>
      <c r="AR48" s="34">
        <f>IF(SUM($I48:AQ48)&lt;1,IF($C48&lt;=AR$4,1/$E$41,0),0)</f>
        <v>0</v>
      </c>
      <c r="AS48" s="34">
        <f>IF(SUM($I48:AR48)&lt;1,IF($C48&lt;=AS$4,1/$E$41,0),0)</f>
        <v>0</v>
      </c>
      <c r="AT48" s="34">
        <f>IF(SUM($I48:AS48)&lt;1,IF($C48&lt;=AT$4,1/$E$41,0),0)</f>
        <v>0</v>
      </c>
      <c r="AU48" s="34">
        <f>IF(SUM($I48:AT48)&lt;1,IF($C48&lt;=AU$4,1/$E$41,0),0)</f>
        <v>0</v>
      </c>
      <c r="AV48" s="34">
        <f>IF(SUM($I48:AU48)&lt;1,IF($C48&lt;=AV$4,1/$E$41,0),0)</f>
        <v>0</v>
      </c>
      <c r="AW48" s="34">
        <f>IF(SUM($I48:AV48)&lt;1,IF($C48&lt;=AW$4,1/$E$41,0),0)</f>
        <v>0</v>
      </c>
      <c r="AX48" s="34">
        <f>IF(SUM($I48:AW48)&lt;1,IF($C48&lt;=AX$4,1/$E$41,0),0)</f>
        <v>0</v>
      </c>
      <c r="AY48" s="34">
        <f>IF(SUM($I48:AX48)&lt;1,IF($C48&lt;=AY$4,1/$E$41,0),0)</f>
        <v>0</v>
      </c>
      <c r="AZ48" s="34">
        <f>IF(SUM($I48:AY48)&lt;1,IF($C48&lt;=AZ$4,1/$E$41,0),0)</f>
        <v>0</v>
      </c>
      <c r="BA48" s="34">
        <f>IF(SUM($I48:AZ48)&lt;1,IF($C48&lt;=BA$4,1/$E$41,0),0)</f>
        <v>0</v>
      </c>
      <c r="BB48" s="34">
        <f>IF(SUM($I48:BA48)&lt;1,IF($C48&lt;=BB$4,1/$E$41,0),0)</f>
        <v>0</v>
      </c>
      <c r="BC48" s="34">
        <f>IF(SUM($I48:BB48)&lt;1,IF($C48&lt;=BC$4,1/$E$41,0),0)</f>
        <v>0</v>
      </c>
      <c r="BD48" s="34">
        <f>IF(SUM($I48:BC48)&lt;1,IF($C48&lt;=BD$4,1/$E$41,0),0)</f>
        <v>0</v>
      </c>
      <c r="BE48" s="34">
        <f>IF(SUM($I48:BD48)&lt;1,IF($C48&lt;=BE$4,1/$E$41,0),0)</f>
        <v>0</v>
      </c>
      <c r="BF48" s="34">
        <f>IF(SUM($I48:BE48)&lt;1,IF($C48&lt;=BF$4,1/$E$41,0),0)</f>
        <v>0</v>
      </c>
      <c r="BG48" s="34">
        <f>IF(SUM($I48:BF48)&lt;1,IF($C48&lt;=BG$4,1/$E$41,0),0)</f>
        <v>0</v>
      </c>
      <c r="BH48" s="34">
        <f>IF(SUM($I48:BG48)&lt;1,IF($C48&lt;=BH$4,1/$E$41,0),0)</f>
        <v>0</v>
      </c>
      <c r="BI48" s="34">
        <f>IF(SUM($I48:BH48)&lt;1,IF($C48&lt;=BI$4,1/$E$41,0),0)</f>
        <v>0</v>
      </c>
      <c r="BJ48" s="34">
        <f>IF(SUM($I48:BI48)&lt;1,IF($C48&lt;=BJ$4,1/$E$41,0),0)</f>
        <v>0</v>
      </c>
      <c r="BK48" s="34">
        <f>IF(SUM($I48:BJ48)&lt;1,IF($C48&lt;=BK$4,1/$E$41,0),0)</f>
        <v>0</v>
      </c>
      <c r="BL48" s="34">
        <f>IF(SUM($I48:BK48)&lt;1,IF($C48&lt;=BL$4,1/$E$41,0),0)</f>
        <v>0</v>
      </c>
      <c r="BM48" s="34">
        <f>IF(SUM($I48:BL48)&lt;1,IF($C48&lt;=BM$4,1/$E$41,0),0)</f>
        <v>0</v>
      </c>
      <c r="BN48" s="34">
        <f>IF(SUM($I48:BM48)&lt;1,IF($C48&lt;=BN$4,1/$E$41,0),0)</f>
        <v>0</v>
      </c>
      <c r="BO48" s="34">
        <f>IF(SUM($I48:BN48)&lt;1,IF($C48&lt;=BO$4,1/$E$41,0),0)</f>
        <v>0</v>
      </c>
      <c r="BP48" s="34">
        <f>IF(SUM($I48:BO48)&lt;1,IF($C48&lt;=BP$4,1/$E$41,0),0)</f>
        <v>0</v>
      </c>
      <c r="BQ48" s="34">
        <f>IF(SUM($I48:BP48)&lt;1,IF($C48&lt;=BQ$4,1/$E$41,0),0)</f>
        <v>0</v>
      </c>
      <c r="BR48" s="34">
        <f>IF(SUM($I48:BQ48)&lt;1,IF($C48&lt;=BR$4,1/$E$41,0),0)</f>
        <v>0</v>
      </c>
      <c r="BS48" s="34">
        <f>IF(SUM($I48:BR48)&lt;1,IF($C48&lt;=BS$4,1/$E$41,0),0)</f>
        <v>0</v>
      </c>
      <c r="BT48" s="34">
        <f>IF(SUM($I48:BS48)&lt;1,IF($C48&lt;=BT$4,1/$E$41,0),0)</f>
        <v>0</v>
      </c>
      <c r="BU48" s="34">
        <f>IF(SUM($I48:BT48)&lt;1,IF($C48&lt;=BU$4,1/$E$41,0),0)</f>
        <v>0</v>
      </c>
      <c r="BV48" s="34">
        <f>IF(SUM($I48:BU48)&lt;1,IF($C48&lt;=BV$4,1/$E$41,0),0)</f>
        <v>0</v>
      </c>
      <c r="BW48" s="34">
        <f>IF(SUM($I48:BV48)&lt;1,IF($C48&lt;=BW$4,1/$E$41,0),0)</f>
        <v>0</v>
      </c>
      <c r="BX48" s="34">
        <f>IF(SUM($I48:BW48)&lt;1,IF($C48&lt;=BX$4,1/$E$41,0),0)</f>
        <v>0</v>
      </c>
      <c r="BY48" s="34">
        <f>IF(SUM($I48:BX48)&lt;1,IF($C48&lt;=BY$4,1/$E$41,0),0)</f>
        <v>0</v>
      </c>
      <c r="BZ48" s="34">
        <f>IF(SUM($I48:BY48)&lt;1,IF($C48&lt;=BZ$4,1/$E$41,0),0)</f>
        <v>0</v>
      </c>
      <c r="CA48" s="34">
        <f>IF(SUM($I48:BZ48)&lt;1,IF($C48&lt;=CA$4,1/$E$41,0),0)</f>
        <v>0</v>
      </c>
      <c r="CB48" s="34">
        <f>IF(SUM($I48:CA48)&lt;1,IF($C48&lt;=CB$4,1/$E$41,0),0)</f>
        <v>0</v>
      </c>
      <c r="CC48" s="34">
        <f>IF(SUM($I48:CB48)&lt;1,IF($C48&lt;=CC$4,1/$E$41,0),0)</f>
        <v>0</v>
      </c>
      <c r="CD48" s="34">
        <f>IF(SUM($I48:CC48)&lt;1,IF($C48&lt;=CD$4,1/$E$41,0),0)</f>
        <v>0</v>
      </c>
      <c r="CE48" s="34">
        <f>IF(SUM($I48:CD48)&lt;1,IF($C48&lt;=CE$4,1/$E$41,0),0)</f>
        <v>0</v>
      </c>
      <c r="CF48" s="34">
        <f>IF(SUM($I48:CE48)&lt;1,IF($C48&lt;=CF$4,1/$E$41,0),0)</f>
        <v>0</v>
      </c>
      <c r="CG48" s="34">
        <f>IF(SUM($I48:CF48)&lt;1,IF($C48&lt;=CG$4,1/$E$41,0),0)</f>
        <v>0</v>
      </c>
      <c r="CH48" s="34">
        <f>IF(SUM($I48:CG48)&lt;1,IF($C48&lt;=CH$4,1/$E$41,0),0)</f>
        <v>0</v>
      </c>
      <c r="CI48" s="34">
        <f>IF(SUM($I48:CH48)&lt;1,IF($C48&lt;=CI$4,1/$E$41,0),0)</f>
        <v>0</v>
      </c>
      <c r="CJ48" s="34">
        <f>IF(SUM($I48:CI48)&lt;1,IF($C48&lt;=CJ$4,1/$E$41,0),0)</f>
        <v>0</v>
      </c>
      <c r="CK48" s="34">
        <f>IF(SUM($I48:CJ48)&lt;1,IF($C48&lt;=CK$4,1/$E$41,0),0)</f>
        <v>0</v>
      </c>
      <c r="CL48" s="34">
        <f>IF(SUM($I48:CK48)&lt;1,IF($C48&lt;=CL$4,1/$E$41,0),0)</f>
        <v>0</v>
      </c>
      <c r="CM48" s="34">
        <f>IF(SUM($I48:CL48)&lt;1,IF($C48&lt;=CM$4,1/$E$41,0),0)</f>
        <v>0</v>
      </c>
      <c r="CN48" s="34">
        <f>IF(SUM($I48:CM48)&lt;1,IF($C48&lt;=CN$4,1/$E$41,0),0)</f>
        <v>0</v>
      </c>
      <c r="CO48" s="34">
        <f>IF(SUM($I48:CN48)&lt;1,IF($C48&lt;=CO$4,1/$E$41,0),0)</f>
        <v>0</v>
      </c>
      <c r="CP48" s="34">
        <f>IF(SUM($I48:CO48)&lt;1,IF($C48&lt;=CP$4,1/$E$41,0),0)</f>
        <v>0</v>
      </c>
      <c r="CQ48" s="34">
        <f>IF(SUM($I48:CP48)&lt;1,IF($C48&lt;=CQ$4,1/$E$41,0),0)</f>
        <v>0</v>
      </c>
      <c r="CR48" s="34">
        <f>IF(SUM($I48:CQ48)&lt;1,IF($C48&lt;=CR$4,1/$E$41,0),0)</f>
        <v>0</v>
      </c>
      <c r="CS48" s="34">
        <f>IF(SUM($I48:CR48)&lt;1,IF($C48&lt;=CS$4,1/$E$41,0),0)</f>
        <v>0</v>
      </c>
      <c r="CT48" s="34">
        <f>IF(SUM($I48:CS48)&lt;1,IF($C48&lt;=CT$4,1/$E$41,0),0)</f>
        <v>0</v>
      </c>
      <c r="CU48" s="34">
        <f>IF(SUM($I48:CT48)&lt;1,IF($C48&lt;=CU$4,1/$E$41,0),0)</f>
        <v>0</v>
      </c>
      <c r="CV48" s="34">
        <f>IF(SUM($I48:CU48)&lt;1,IF($C48&lt;=CV$4,1/$E$41,0),0)</f>
        <v>0</v>
      </c>
      <c r="CW48" s="34">
        <f>IF(SUM($I48:CV48)&lt;1,IF($C48&lt;=CW$4,1/$E$41,0),0)</f>
        <v>0</v>
      </c>
      <c r="CX48" s="34">
        <f>IF(SUM($I48:CW48)&lt;1,IF($C48&lt;=CX$4,1/$E$41,0),0)</f>
        <v>0</v>
      </c>
      <c r="CY48" s="34">
        <f>IF(SUM($I48:CX48)&lt;1,IF($C48&lt;=CY$4,1/$E$41,0),0)</f>
        <v>0</v>
      </c>
      <c r="CZ48" s="34">
        <f>IF(SUM($I48:CY48)&lt;1,IF($C48&lt;=CZ$4,1/$E$41,0),0)</f>
        <v>0</v>
      </c>
      <c r="DA48" s="34">
        <f>IF(SUM($I48:CZ48)&lt;1,IF($C48&lt;=DA$4,1/$E$41,0),0)</f>
        <v>0</v>
      </c>
      <c r="DB48" s="34">
        <f>IF(SUM($I48:DA48)&lt;1,IF($C48&lt;=DB$4,1/$E$41,0),0)</f>
        <v>0</v>
      </c>
      <c r="DC48" s="34">
        <f>IF(SUM($I48:DB48)&lt;1,IF($C48&lt;=DC$4,1/$E$41,0),0)</f>
        <v>0</v>
      </c>
      <c r="DD48" s="34">
        <f>IF(SUM($I48:DC48)&lt;1,IF($C48&lt;=DD$4,1/$E$41,0),0)</f>
        <v>0</v>
      </c>
      <c r="DE48" s="34">
        <f>IF(SUM($I48:DD48)&lt;1,IF($C48&lt;=DE$4,1/$E$41,0),0)</f>
        <v>0</v>
      </c>
      <c r="DF48" s="34">
        <f>IF(SUM($I48:DE48)&lt;1,IF($C48&lt;=DF$4,1/$E$41,0),0)</f>
        <v>0</v>
      </c>
      <c r="DG48" s="34">
        <f>IF(SUM($I48:DF48)&lt;1,IF($C48&lt;=DG$4,1/$E$41,0),0)</f>
        <v>0</v>
      </c>
      <c r="DH48" s="34">
        <f>IF(SUM($I48:DG48)&lt;1,IF($C48&lt;=DH$4,1/$E$41,0),0)</f>
        <v>0</v>
      </c>
      <c r="DI48" s="34">
        <f>IF(SUM($I48:DH48)&lt;1,IF($C48&lt;=DI$4,1/$E$41,0),0)</f>
        <v>0</v>
      </c>
      <c r="DJ48" s="34">
        <f>IF(SUM($I48:DI48)&lt;1,IF($C48&lt;=DJ$4,1/$E$41,0),0)</f>
        <v>0</v>
      </c>
      <c r="DK48" s="34">
        <f>IF(SUM($I48:DJ48)&lt;1,IF($C48&lt;=DK$4,1/$E$41,0),0)</f>
        <v>0</v>
      </c>
      <c r="DL48" s="34">
        <f>IF(SUM($I48:DK48)&lt;1,IF($C48&lt;=DL$4,1/$E$41,0),0)</f>
        <v>0</v>
      </c>
      <c r="DM48" s="34">
        <f>IF(SUM($I48:DL48)&lt;1,IF($C48&lt;=DM$4,1/$E$41,0),0)</f>
        <v>0</v>
      </c>
    </row>
    <row r="49" spans="3:117" outlineLevel="1" x14ac:dyDescent="0.15">
      <c r="C49" s="50">
        <f t="shared" si="48"/>
        <v>5</v>
      </c>
      <c r="D49" s="5" t="s">
        <v>18</v>
      </c>
      <c r="E49" s="19">
        <f t="shared" si="47"/>
        <v>114000000</v>
      </c>
      <c r="I49" s="9"/>
      <c r="J49" s="34">
        <f>IF(SUM($I49:I49)&lt;1,IF($C49&lt;=J$4,1/$E$41,0),0)</f>
        <v>0</v>
      </c>
      <c r="K49" s="34">
        <f>IF(SUM($I49:J49)&lt;1,IF($C49&lt;=K$4,1/$E$41,0),0)</f>
        <v>0</v>
      </c>
      <c r="L49" s="34">
        <f>IF(SUM($I49:K49)&lt;1,IF($C49&lt;=L$4,1/$E$41,0),0)</f>
        <v>0</v>
      </c>
      <c r="M49" s="34">
        <f>IF(SUM($I49:L49)&lt;1,IF($C49&lt;=M$4,1/$E$41,0),0)</f>
        <v>0</v>
      </c>
      <c r="N49" s="34">
        <f>IF(SUM($I49:M49)&lt;1,IF($C49&lt;=N$4,1/$E$41,0),0)</f>
        <v>0.25</v>
      </c>
      <c r="O49" s="34">
        <f>IF(SUM($I49:N49)&lt;1,IF($C49&lt;=O$4,1/$E$41,0),0)</f>
        <v>0.25</v>
      </c>
      <c r="P49" s="34">
        <f>IF(SUM($I49:O49)&lt;1,IF($C49&lt;=P$4,1/$E$41,0),0)</f>
        <v>0.25</v>
      </c>
      <c r="Q49" s="34">
        <f>IF(SUM($I49:P49)&lt;1,IF($C49&lt;=Q$4,1/$E$41,0),0)</f>
        <v>0.25</v>
      </c>
      <c r="R49" s="34">
        <f>IF(SUM($I49:Q49)&lt;1,IF($C49&lt;=R$4,1/$E$41,0),0)</f>
        <v>0</v>
      </c>
      <c r="S49" s="34">
        <f>IF(SUM($I49:R49)&lt;1,IF($C49&lt;=S$4,1/$E$41,0),0)</f>
        <v>0</v>
      </c>
      <c r="T49" s="34">
        <f>IF(SUM($I49:S49)&lt;1,IF($C49&lt;=T$4,1/$E$41,0),0)</f>
        <v>0</v>
      </c>
      <c r="U49" s="34">
        <f>IF(SUM($I49:T49)&lt;1,IF($C49&lt;=U$4,1/$E$41,0),0)</f>
        <v>0</v>
      </c>
      <c r="V49" s="34">
        <f>IF(SUM($I49:U49)&lt;1,IF($C49&lt;=V$4,1/$E$41,0),0)</f>
        <v>0</v>
      </c>
      <c r="W49" s="34">
        <f>IF(SUM($I49:V49)&lt;1,IF($C49&lt;=W$4,1/$E$41,0),0)</f>
        <v>0</v>
      </c>
      <c r="X49" s="34">
        <f>IF(SUM($I49:W49)&lt;1,IF($C49&lt;=X$4,1/$E$41,0),0)</f>
        <v>0</v>
      </c>
      <c r="Y49" s="34">
        <f>IF(SUM($I49:X49)&lt;1,IF($C49&lt;=Y$4,1/$E$41,0),0)</f>
        <v>0</v>
      </c>
      <c r="Z49" s="34">
        <f>IF(SUM($I49:Y49)&lt;1,IF($C49&lt;=Z$4,1/$E$41,0),0)</f>
        <v>0</v>
      </c>
      <c r="AA49" s="34">
        <f>IF(SUM($I49:Z49)&lt;1,IF($C49&lt;=AA$4,1/$E$41,0),0)</f>
        <v>0</v>
      </c>
      <c r="AB49" s="34">
        <f>IF(SUM($I49:AA49)&lt;1,IF($C49&lt;=AB$4,1/$E$41,0),0)</f>
        <v>0</v>
      </c>
      <c r="AC49" s="34">
        <f>IF(SUM($I49:AB49)&lt;1,IF($C49&lt;=AC$4,1/$E$41,0),0)</f>
        <v>0</v>
      </c>
      <c r="AD49" s="34">
        <f>IF(SUM($I49:AC49)&lt;1,IF($C49&lt;=AD$4,1/$E$41,0),0)</f>
        <v>0</v>
      </c>
      <c r="AE49" s="34">
        <f>IF(SUM($I49:AD49)&lt;1,IF($C49&lt;=AE$4,1/$E$41,0),0)</f>
        <v>0</v>
      </c>
      <c r="AF49" s="34">
        <f>IF(SUM($I49:AE49)&lt;1,IF($C49&lt;=AF$4,1/$E$41,0),0)</f>
        <v>0</v>
      </c>
      <c r="AG49" s="34">
        <f>IF(SUM($I49:AF49)&lt;1,IF($C49&lt;=AG$4,1/$E$41,0),0)</f>
        <v>0</v>
      </c>
      <c r="AH49" s="34">
        <f>IF(SUM($I49:AG49)&lt;1,IF($C49&lt;=AH$4,1/$E$41,0),0)</f>
        <v>0</v>
      </c>
      <c r="AI49" s="34">
        <f>IF(SUM($I49:AH49)&lt;1,IF($C49&lt;=AI$4,1/$E$41,0),0)</f>
        <v>0</v>
      </c>
      <c r="AJ49" s="34">
        <f>IF(SUM($I49:AI49)&lt;1,IF($C49&lt;=AJ$4,1/$E$41,0),0)</f>
        <v>0</v>
      </c>
      <c r="AK49" s="34">
        <f>IF(SUM($I49:AJ49)&lt;1,IF($C49&lt;=AK$4,1/$E$41,0),0)</f>
        <v>0</v>
      </c>
      <c r="AL49" s="34">
        <f>IF(SUM($I49:AK49)&lt;1,IF($C49&lt;=AL$4,1/$E$41,0),0)</f>
        <v>0</v>
      </c>
      <c r="AM49" s="34">
        <f>IF(SUM($I49:AL49)&lt;1,IF($C49&lt;=AM$4,1/$E$41,0),0)</f>
        <v>0</v>
      </c>
      <c r="AN49" s="34">
        <f>IF(SUM($I49:AM49)&lt;1,IF($C49&lt;=AN$4,1/$E$41,0),0)</f>
        <v>0</v>
      </c>
      <c r="AO49" s="34">
        <f>IF(SUM($I49:AN49)&lt;1,IF($C49&lt;=AO$4,1/$E$41,0),0)</f>
        <v>0</v>
      </c>
      <c r="AP49" s="34">
        <f>IF(SUM($I49:AO49)&lt;1,IF($C49&lt;=AP$4,1/$E$41,0),0)</f>
        <v>0</v>
      </c>
      <c r="AQ49" s="34">
        <f>IF(SUM($I49:AP49)&lt;1,IF($C49&lt;=AQ$4,1/$E$41,0),0)</f>
        <v>0</v>
      </c>
      <c r="AR49" s="34">
        <f>IF(SUM($I49:AQ49)&lt;1,IF($C49&lt;=AR$4,1/$E$41,0),0)</f>
        <v>0</v>
      </c>
      <c r="AS49" s="34">
        <f>IF(SUM($I49:AR49)&lt;1,IF($C49&lt;=AS$4,1/$E$41,0),0)</f>
        <v>0</v>
      </c>
      <c r="AT49" s="34">
        <f>IF(SUM($I49:AS49)&lt;1,IF($C49&lt;=AT$4,1/$E$41,0),0)</f>
        <v>0</v>
      </c>
      <c r="AU49" s="34">
        <f>IF(SUM($I49:AT49)&lt;1,IF($C49&lt;=AU$4,1/$E$41,0),0)</f>
        <v>0</v>
      </c>
      <c r="AV49" s="34">
        <f>IF(SUM($I49:AU49)&lt;1,IF($C49&lt;=AV$4,1/$E$41,0),0)</f>
        <v>0</v>
      </c>
      <c r="AW49" s="34">
        <f>IF(SUM($I49:AV49)&lt;1,IF($C49&lt;=AW$4,1/$E$41,0),0)</f>
        <v>0</v>
      </c>
      <c r="AX49" s="34">
        <f>IF(SUM($I49:AW49)&lt;1,IF($C49&lt;=AX$4,1/$E$41,0),0)</f>
        <v>0</v>
      </c>
      <c r="AY49" s="34">
        <f>IF(SUM($I49:AX49)&lt;1,IF($C49&lt;=AY$4,1/$E$41,0),0)</f>
        <v>0</v>
      </c>
      <c r="AZ49" s="34">
        <f>IF(SUM($I49:AY49)&lt;1,IF($C49&lt;=AZ$4,1/$E$41,0),0)</f>
        <v>0</v>
      </c>
      <c r="BA49" s="34">
        <f>IF(SUM($I49:AZ49)&lt;1,IF($C49&lt;=BA$4,1/$E$41,0),0)</f>
        <v>0</v>
      </c>
      <c r="BB49" s="34">
        <f>IF(SUM($I49:BA49)&lt;1,IF($C49&lt;=BB$4,1/$E$41,0),0)</f>
        <v>0</v>
      </c>
      <c r="BC49" s="34">
        <f>IF(SUM($I49:BB49)&lt;1,IF($C49&lt;=BC$4,1/$E$41,0),0)</f>
        <v>0</v>
      </c>
      <c r="BD49" s="34">
        <f>IF(SUM($I49:BC49)&lt;1,IF($C49&lt;=BD$4,1/$E$41,0),0)</f>
        <v>0</v>
      </c>
      <c r="BE49" s="34">
        <f>IF(SUM($I49:BD49)&lt;1,IF($C49&lt;=BE$4,1/$E$41,0),0)</f>
        <v>0</v>
      </c>
      <c r="BF49" s="34">
        <f>IF(SUM($I49:BE49)&lt;1,IF($C49&lt;=BF$4,1/$E$41,0),0)</f>
        <v>0</v>
      </c>
      <c r="BG49" s="34">
        <f>IF(SUM($I49:BF49)&lt;1,IF($C49&lt;=BG$4,1/$E$41,0),0)</f>
        <v>0</v>
      </c>
      <c r="BH49" s="34">
        <f>IF(SUM($I49:BG49)&lt;1,IF($C49&lt;=BH$4,1/$E$41,0),0)</f>
        <v>0</v>
      </c>
      <c r="BI49" s="34">
        <f>IF(SUM($I49:BH49)&lt;1,IF($C49&lt;=BI$4,1/$E$41,0),0)</f>
        <v>0</v>
      </c>
      <c r="BJ49" s="34">
        <f>IF(SUM($I49:BI49)&lt;1,IF($C49&lt;=BJ$4,1/$E$41,0),0)</f>
        <v>0</v>
      </c>
      <c r="BK49" s="34">
        <f>IF(SUM($I49:BJ49)&lt;1,IF($C49&lt;=BK$4,1/$E$41,0),0)</f>
        <v>0</v>
      </c>
      <c r="BL49" s="34">
        <f>IF(SUM($I49:BK49)&lt;1,IF($C49&lt;=BL$4,1/$E$41,0),0)</f>
        <v>0</v>
      </c>
      <c r="BM49" s="34">
        <f>IF(SUM($I49:BL49)&lt;1,IF($C49&lt;=BM$4,1/$E$41,0),0)</f>
        <v>0</v>
      </c>
      <c r="BN49" s="34">
        <f>IF(SUM($I49:BM49)&lt;1,IF($C49&lt;=BN$4,1/$E$41,0),0)</f>
        <v>0</v>
      </c>
      <c r="BO49" s="34">
        <f>IF(SUM($I49:BN49)&lt;1,IF($C49&lt;=BO$4,1/$E$41,0),0)</f>
        <v>0</v>
      </c>
      <c r="BP49" s="34">
        <f>IF(SUM($I49:BO49)&lt;1,IF($C49&lt;=BP$4,1/$E$41,0),0)</f>
        <v>0</v>
      </c>
      <c r="BQ49" s="34">
        <f>IF(SUM($I49:BP49)&lt;1,IF($C49&lt;=BQ$4,1/$E$41,0),0)</f>
        <v>0</v>
      </c>
      <c r="BR49" s="34">
        <f>IF(SUM($I49:BQ49)&lt;1,IF($C49&lt;=BR$4,1/$E$41,0),0)</f>
        <v>0</v>
      </c>
      <c r="BS49" s="34">
        <f>IF(SUM($I49:BR49)&lt;1,IF($C49&lt;=BS$4,1/$E$41,0),0)</f>
        <v>0</v>
      </c>
      <c r="BT49" s="34">
        <f>IF(SUM($I49:BS49)&lt;1,IF($C49&lt;=BT$4,1/$E$41,0),0)</f>
        <v>0</v>
      </c>
      <c r="BU49" s="34">
        <f>IF(SUM($I49:BT49)&lt;1,IF($C49&lt;=BU$4,1/$E$41,0),0)</f>
        <v>0</v>
      </c>
      <c r="BV49" s="34">
        <f>IF(SUM($I49:BU49)&lt;1,IF($C49&lt;=BV$4,1/$E$41,0),0)</f>
        <v>0</v>
      </c>
      <c r="BW49" s="34">
        <f>IF(SUM($I49:BV49)&lt;1,IF($C49&lt;=BW$4,1/$E$41,0),0)</f>
        <v>0</v>
      </c>
      <c r="BX49" s="34">
        <f>IF(SUM($I49:BW49)&lt;1,IF($C49&lt;=BX$4,1/$E$41,0),0)</f>
        <v>0</v>
      </c>
      <c r="BY49" s="34">
        <f>IF(SUM($I49:BX49)&lt;1,IF($C49&lt;=BY$4,1/$E$41,0),0)</f>
        <v>0</v>
      </c>
      <c r="BZ49" s="34">
        <f>IF(SUM($I49:BY49)&lt;1,IF($C49&lt;=BZ$4,1/$E$41,0),0)</f>
        <v>0</v>
      </c>
      <c r="CA49" s="34">
        <f>IF(SUM($I49:BZ49)&lt;1,IF($C49&lt;=CA$4,1/$E$41,0),0)</f>
        <v>0</v>
      </c>
      <c r="CB49" s="34">
        <f>IF(SUM($I49:CA49)&lt;1,IF($C49&lt;=CB$4,1/$E$41,0),0)</f>
        <v>0</v>
      </c>
      <c r="CC49" s="34">
        <f>IF(SUM($I49:CB49)&lt;1,IF($C49&lt;=CC$4,1/$E$41,0),0)</f>
        <v>0</v>
      </c>
      <c r="CD49" s="34">
        <f>IF(SUM($I49:CC49)&lt;1,IF($C49&lt;=CD$4,1/$E$41,0),0)</f>
        <v>0</v>
      </c>
      <c r="CE49" s="34">
        <f>IF(SUM($I49:CD49)&lt;1,IF($C49&lt;=CE$4,1/$E$41,0),0)</f>
        <v>0</v>
      </c>
      <c r="CF49" s="34">
        <f>IF(SUM($I49:CE49)&lt;1,IF($C49&lt;=CF$4,1/$E$41,0),0)</f>
        <v>0</v>
      </c>
      <c r="CG49" s="34">
        <f>IF(SUM($I49:CF49)&lt;1,IF($C49&lt;=CG$4,1/$E$41,0),0)</f>
        <v>0</v>
      </c>
      <c r="CH49" s="34">
        <f>IF(SUM($I49:CG49)&lt;1,IF($C49&lt;=CH$4,1/$E$41,0),0)</f>
        <v>0</v>
      </c>
      <c r="CI49" s="34">
        <f>IF(SUM($I49:CH49)&lt;1,IF($C49&lt;=CI$4,1/$E$41,0),0)</f>
        <v>0</v>
      </c>
      <c r="CJ49" s="34">
        <f>IF(SUM($I49:CI49)&lt;1,IF($C49&lt;=CJ$4,1/$E$41,0),0)</f>
        <v>0</v>
      </c>
      <c r="CK49" s="34">
        <f>IF(SUM($I49:CJ49)&lt;1,IF($C49&lt;=CK$4,1/$E$41,0),0)</f>
        <v>0</v>
      </c>
      <c r="CL49" s="34">
        <f>IF(SUM($I49:CK49)&lt;1,IF($C49&lt;=CL$4,1/$E$41,0),0)</f>
        <v>0</v>
      </c>
      <c r="CM49" s="34">
        <f>IF(SUM($I49:CL49)&lt;1,IF($C49&lt;=CM$4,1/$E$41,0),0)</f>
        <v>0</v>
      </c>
      <c r="CN49" s="34">
        <f>IF(SUM($I49:CM49)&lt;1,IF($C49&lt;=CN$4,1/$E$41,0),0)</f>
        <v>0</v>
      </c>
      <c r="CO49" s="34">
        <f>IF(SUM($I49:CN49)&lt;1,IF($C49&lt;=CO$4,1/$E$41,0),0)</f>
        <v>0</v>
      </c>
      <c r="CP49" s="34">
        <f>IF(SUM($I49:CO49)&lt;1,IF($C49&lt;=CP$4,1/$E$41,0),0)</f>
        <v>0</v>
      </c>
      <c r="CQ49" s="34">
        <f>IF(SUM($I49:CP49)&lt;1,IF($C49&lt;=CQ$4,1/$E$41,0),0)</f>
        <v>0</v>
      </c>
      <c r="CR49" s="34">
        <f>IF(SUM($I49:CQ49)&lt;1,IF($C49&lt;=CR$4,1/$E$41,0),0)</f>
        <v>0</v>
      </c>
      <c r="CS49" s="34">
        <f>IF(SUM($I49:CR49)&lt;1,IF($C49&lt;=CS$4,1/$E$41,0),0)</f>
        <v>0</v>
      </c>
      <c r="CT49" s="34">
        <f>IF(SUM($I49:CS49)&lt;1,IF($C49&lt;=CT$4,1/$E$41,0),0)</f>
        <v>0</v>
      </c>
      <c r="CU49" s="34">
        <f>IF(SUM($I49:CT49)&lt;1,IF($C49&lt;=CU$4,1/$E$41,0),0)</f>
        <v>0</v>
      </c>
      <c r="CV49" s="34">
        <f>IF(SUM($I49:CU49)&lt;1,IF($C49&lt;=CV$4,1/$E$41,0),0)</f>
        <v>0</v>
      </c>
      <c r="CW49" s="34">
        <f>IF(SUM($I49:CV49)&lt;1,IF($C49&lt;=CW$4,1/$E$41,0),0)</f>
        <v>0</v>
      </c>
      <c r="CX49" s="34">
        <f>IF(SUM($I49:CW49)&lt;1,IF($C49&lt;=CX$4,1/$E$41,0),0)</f>
        <v>0</v>
      </c>
      <c r="CY49" s="34">
        <f>IF(SUM($I49:CX49)&lt;1,IF($C49&lt;=CY$4,1/$E$41,0),0)</f>
        <v>0</v>
      </c>
      <c r="CZ49" s="34">
        <f>IF(SUM($I49:CY49)&lt;1,IF($C49&lt;=CZ$4,1/$E$41,0),0)</f>
        <v>0</v>
      </c>
      <c r="DA49" s="34">
        <f>IF(SUM($I49:CZ49)&lt;1,IF($C49&lt;=DA$4,1/$E$41,0),0)</f>
        <v>0</v>
      </c>
      <c r="DB49" s="34">
        <f>IF(SUM($I49:DA49)&lt;1,IF($C49&lt;=DB$4,1/$E$41,0),0)</f>
        <v>0</v>
      </c>
      <c r="DC49" s="34">
        <f>IF(SUM($I49:DB49)&lt;1,IF($C49&lt;=DC$4,1/$E$41,0),0)</f>
        <v>0</v>
      </c>
      <c r="DD49" s="34">
        <f>IF(SUM($I49:DC49)&lt;1,IF($C49&lt;=DD$4,1/$E$41,0),0)</f>
        <v>0</v>
      </c>
      <c r="DE49" s="34">
        <f>IF(SUM($I49:DD49)&lt;1,IF($C49&lt;=DE$4,1/$E$41,0),0)</f>
        <v>0</v>
      </c>
      <c r="DF49" s="34">
        <f>IF(SUM($I49:DE49)&lt;1,IF($C49&lt;=DF$4,1/$E$41,0),0)</f>
        <v>0</v>
      </c>
      <c r="DG49" s="34">
        <f>IF(SUM($I49:DF49)&lt;1,IF($C49&lt;=DG$4,1/$E$41,0),0)</f>
        <v>0</v>
      </c>
      <c r="DH49" s="34">
        <f>IF(SUM($I49:DG49)&lt;1,IF($C49&lt;=DH$4,1/$E$41,0),0)</f>
        <v>0</v>
      </c>
      <c r="DI49" s="34">
        <f>IF(SUM($I49:DH49)&lt;1,IF($C49&lt;=DI$4,1/$E$41,0),0)</f>
        <v>0</v>
      </c>
      <c r="DJ49" s="34">
        <f>IF(SUM($I49:DI49)&lt;1,IF($C49&lt;=DJ$4,1/$E$41,0),0)</f>
        <v>0</v>
      </c>
      <c r="DK49" s="34">
        <f>IF(SUM($I49:DJ49)&lt;1,IF($C49&lt;=DK$4,1/$E$41,0),0)</f>
        <v>0</v>
      </c>
      <c r="DL49" s="34">
        <f>IF(SUM($I49:DK49)&lt;1,IF($C49&lt;=DL$4,1/$E$41,0),0)</f>
        <v>0</v>
      </c>
      <c r="DM49" s="34">
        <f>IF(SUM($I49:DL49)&lt;1,IF($C49&lt;=DM$4,1/$E$41,0),0)</f>
        <v>0</v>
      </c>
    </row>
    <row r="50" spans="3:117" outlineLevel="1" x14ac:dyDescent="0.15">
      <c r="C50" s="50">
        <f t="shared" si="48"/>
        <v>6</v>
      </c>
      <c r="D50" s="5" t="s">
        <v>18</v>
      </c>
      <c r="E50" s="19">
        <f t="shared" si="47"/>
        <v>78000000</v>
      </c>
      <c r="I50" s="9"/>
      <c r="J50" s="34">
        <f>IF(SUM($I50:I50)&lt;1,IF($C50&lt;=J$4,1/$E$41,0),0)</f>
        <v>0</v>
      </c>
      <c r="K50" s="34">
        <f>IF(SUM($I50:J50)&lt;1,IF($C50&lt;=K$4,1/$E$41,0),0)</f>
        <v>0</v>
      </c>
      <c r="L50" s="34">
        <f>IF(SUM($I50:K50)&lt;1,IF($C50&lt;=L$4,1/$E$41,0),0)</f>
        <v>0</v>
      </c>
      <c r="M50" s="34">
        <f>IF(SUM($I50:L50)&lt;1,IF($C50&lt;=M$4,1/$E$41,0),0)</f>
        <v>0</v>
      </c>
      <c r="N50" s="34">
        <f>IF(SUM($I50:M50)&lt;1,IF($C50&lt;=N$4,1/$E$41,0),0)</f>
        <v>0</v>
      </c>
      <c r="O50" s="34">
        <f>IF(SUM($I50:N50)&lt;1,IF($C50&lt;=O$4,1/$E$41,0),0)</f>
        <v>0.25</v>
      </c>
      <c r="P50" s="34">
        <f>IF(SUM($I50:O50)&lt;1,IF($C50&lt;=P$4,1/$E$41,0),0)</f>
        <v>0.25</v>
      </c>
      <c r="Q50" s="34">
        <f>IF(SUM($I50:P50)&lt;1,IF($C50&lt;=Q$4,1/$E$41,0),0)</f>
        <v>0.25</v>
      </c>
      <c r="R50" s="34">
        <f>IF(SUM($I50:Q50)&lt;1,IF($C50&lt;=R$4,1/$E$41,0),0)</f>
        <v>0.25</v>
      </c>
      <c r="S50" s="34">
        <f>IF(SUM($I50:R50)&lt;1,IF($C50&lt;=S$4,1/$E$41,0),0)</f>
        <v>0</v>
      </c>
      <c r="T50" s="34">
        <f>IF(SUM($I50:S50)&lt;1,IF($C50&lt;=T$4,1/$E$41,0),0)</f>
        <v>0</v>
      </c>
      <c r="U50" s="34">
        <f>IF(SUM($I50:T50)&lt;1,IF($C50&lt;=U$4,1/$E$41,0),0)</f>
        <v>0</v>
      </c>
      <c r="V50" s="34">
        <f>IF(SUM($I50:U50)&lt;1,IF($C50&lt;=V$4,1/$E$41,0),0)</f>
        <v>0</v>
      </c>
      <c r="W50" s="34">
        <f>IF(SUM($I50:V50)&lt;1,IF($C50&lt;=W$4,1/$E$41,0),0)</f>
        <v>0</v>
      </c>
      <c r="X50" s="34">
        <f>IF(SUM($I50:W50)&lt;1,IF($C50&lt;=X$4,1/$E$41,0),0)</f>
        <v>0</v>
      </c>
      <c r="Y50" s="34">
        <f>IF(SUM($I50:X50)&lt;1,IF($C50&lt;=Y$4,1/$E$41,0),0)</f>
        <v>0</v>
      </c>
      <c r="Z50" s="34">
        <f>IF(SUM($I50:Y50)&lt;1,IF($C50&lt;=Z$4,1/$E$41,0),0)</f>
        <v>0</v>
      </c>
      <c r="AA50" s="34">
        <f>IF(SUM($I50:Z50)&lt;1,IF($C50&lt;=AA$4,1/$E$41,0),0)</f>
        <v>0</v>
      </c>
      <c r="AB50" s="34">
        <f>IF(SUM($I50:AA50)&lt;1,IF($C50&lt;=AB$4,1/$E$41,0),0)</f>
        <v>0</v>
      </c>
      <c r="AC50" s="34">
        <f>IF(SUM($I50:AB50)&lt;1,IF($C50&lt;=AC$4,1/$E$41,0),0)</f>
        <v>0</v>
      </c>
      <c r="AD50" s="34">
        <f>IF(SUM($I50:AC50)&lt;1,IF($C50&lt;=AD$4,1/$E$41,0),0)</f>
        <v>0</v>
      </c>
      <c r="AE50" s="34">
        <f>IF(SUM($I50:AD50)&lt;1,IF($C50&lt;=AE$4,1/$E$41,0),0)</f>
        <v>0</v>
      </c>
      <c r="AF50" s="34">
        <f>IF(SUM($I50:AE50)&lt;1,IF($C50&lt;=AF$4,1/$E$41,0),0)</f>
        <v>0</v>
      </c>
      <c r="AG50" s="34">
        <f>IF(SUM($I50:AF50)&lt;1,IF($C50&lt;=AG$4,1/$E$41,0),0)</f>
        <v>0</v>
      </c>
      <c r="AH50" s="34">
        <f>IF(SUM($I50:AG50)&lt;1,IF($C50&lt;=AH$4,1/$E$41,0),0)</f>
        <v>0</v>
      </c>
      <c r="AI50" s="34">
        <f>IF(SUM($I50:AH50)&lt;1,IF($C50&lt;=AI$4,1/$E$41,0),0)</f>
        <v>0</v>
      </c>
      <c r="AJ50" s="34">
        <f>IF(SUM($I50:AI50)&lt;1,IF($C50&lt;=AJ$4,1/$E$41,0),0)</f>
        <v>0</v>
      </c>
      <c r="AK50" s="34">
        <f>IF(SUM($I50:AJ50)&lt;1,IF($C50&lt;=AK$4,1/$E$41,0),0)</f>
        <v>0</v>
      </c>
      <c r="AL50" s="34">
        <f>IF(SUM($I50:AK50)&lt;1,IF($C50&lt;=AL$4,1/$E$41,0),0)</f>
        <v>0</v>
      </c>
      <c r="AM50" s="34">
        <f>IF(SUM($I50:AL50)&lt;1,IF($C50&lt;=AM$4,1/$E$41,0),0)</f>
        <v>0</v>
      </c>
      <c r="AN50" s="34">
        <f>IF(SUM($I50:AM50)&lt;1,IF($C50&lt;=AN$4,1/$E$41,0),0)</f>
        <v>0</v>
      </c>
      <c r="AO50" s="34">
        <f>IF(SUM($I50:AN50)&lt;1,IF($C50&lt;=AO$4,1/$E$41,0),0)</f>
        <v>0</v>
      </c>
      <c r="AP50" s="34">
        <f>IF(SUM($I50:AO50)&lt;1,IF($C50&lt;=AP$4,1/$E$41,0),0)</f>
        <v>0</v>
      </c>
      <c r="AQ50" s="34">
        <f>IF(SUM($I50:AP50)&lt;1,IF($C50&lt;=AQ$4,1/$E$41,0),0)</f>
        <v>0</v>
      </c>
      <c r="AR50" s="34">
        <f>IF(SUM($I50:AQ50)&lt;1,IF($C50&lt;=AR$4,1/$E$41,0),0)</f>
        <v>0</v>
      </c>
      <c r="AS50" s="34">
        <f>IF(SUM($I50:AR50)&lt;1,IF($C50&lt;=AS$4,1/$E$41,0),0)</f>
        <v>0</v>
      </c>
      <c r="AT50" s="34">
        <f>IF(SUM($I50:AS50)&lt;1,IF($C50&lt;=AT$4,1/$E$41,0),0)</f>
        <v>0</v>
      </c>
      <c r="AU50" s="34">
        <f>IF(SUM($I50:AT50)&lt;1,IF($C50&lt;=AU$4,1/$E$41,0),0)</f>
        <v>0</v>
      </c>
      <c r="AV50" s="34">
        <f>IF(SUM($I50:AU50)&lt;1,IF($C50&lt;=AV$4,1/$E$41,0),0)</f>
        <v>0</v>
      </c>
      <c r="AW50" s="34">
        <f>IF(SUM($I50:AV50)&lt;1,IF($C50&lt;=AW$4,1/$E$41,0),0)</f>
        <v>0</v>
      </c>
      <c r="AX50" s="34">
        <f>IF(SUM($I50:AW50)&lt;1,IF($C50&lt;=AX$4,1/$E$41,0),0)</f>
        <v>0</v>
      </c>
      <c r="AY50" s="34">
        <f>IF(SUM($I50:AX50)&lt;1,IF($C50&lt;=AY$4,1/$E$41,0),0)</f>
        <v>0</v>
      </c>
      <c r="AZ50" s="34">
        <f>IF(SUM($I50:AY50)&lt;1,IF($C50&lt;=AZ$4,1/$E$41,0),0)</f>
        <v>0</v>
      </c>
      <c r="BA50" s="34">
        <f>IF(SUM($I50:AZ50)&lt;1,IF($C50&lt;=BA$4,1/$E$41,0),0)</f>
        <v>0</v>
      </c>
      <c r="BB50" s="34">
        <f>IF(SUM($I50:BA50)&lt;1,IF($C50&lt;=BB$4,1/$E$41,0),0)</f>
        <v>0</v>
      </c>
      <c r="BC50" s="34">
        <f>IF(SUM($I50:BB50)&lt;1,IF($C50&lt;=BC$4,1/$E$41,0),0)</f>
        <v>0</v>
      </c>
      <c r="BD50" s="34">
        <f>IF(SUM($I50:BC50)&lt;1,IF($C50&lt;=BD$4,1/$E$41,0),0)</f>
        <v>0</v>
      </c>
      <c r="BE50" s="34">
        <f>IF(SUM($I50:BD50)&lt;1,IF($C50&lt;=BE$4,1/$E$41,0),0)</f>
        <v>0</v>
      </c>
      <c r="BF50" s="34">
        <f>IF(SUM($I50:BE50)&lt;1,IF($C50&lt;=BF$4,1/$E$41,0),0)</f>
        <v>0</v>
      </c>
      <c r="BG50" s="34">
        <f>IF(SUM($I50:BF50)&lt;1,IF($C50&lt;=BG$4,1/$E$41,0),0)</f>
        <v>0</v>
      </c>
      <c r="BH50" s="34">
        <f>IF(SUM($I50:BG50)&lt;1,IF($C50&lt;=BH$4,1/$E$41,0),0)</f>
        <v>0</v>
      </c>
      <c r="BI50" s="34">
        <f>IF(SUM($I50:BH50)&lt;1,IF($C50&lt;=BI$4,1/$E$41,0),0)</f>
        <v>0</v>
      </c>
      <c r="BJ50" s="34">
        <f>IF(SUM($I50:BI50)&lt;1,IF($C50&lt;=BJ$4,1/$E$41,0),0)</f>
        <v>0</v>
      </c>
      <c r="BK50" s="34">
        <f>IF(SUM($I50:BJ50)&lt;1,IF($C50&lt;=BK$4,1/$E$41,0),0)</f>
        <v>0</v>
      </c>
      <c r="BL50" s="34">
        <f>IF(SUM($I50:BK50)&lt;1,IF($C50&lt;=BL$4,1/$E$41,0),0)</f>
        <v>0</v>
      </c>
      <c r="BM50" s="34">
        <f>IF(SUM($I50:BL50)&lt;1,IF($C50&lt;=BM$4,1/$E$41,0),0)</f>
        <v>0</v>
      </c>
      <c r="BN50" s="34">
        <f>IF(SUM($I50:BM50)&lt;1,IF($C50&lt;=BN$4,1/$E$41,0),0)</f>
        <v>0</v>
      </c>
      <c r="BO50" s="34">
        <f>IF(SUM($I50:BN50)&lt;1,IF($C50&lt;=BO$4,1/$E$41,0),0)</f>
        <v>0</v>
      </c>
      <c r="BP50" s="34">
        <f>IF(SUM($I50:BO50)&lt;1,IF($C50&lt;=BP$4,1/$E$41,0),0)</f>
        <v>0</v>
      </c>
      <c r="BQ50" s="34">
        <f>IF(SUM($I50:BP50)&lt;1,IF($C50&lt;=BQ$4,1/$E$41,0),0)</f>
        <v>0</v>
      </c>
      <c r="BR50" s="34">
        <f>IF(SUM($I50:BQ50)&lt;1,IF($C50&lt;=BR$4,1/$E$41,0),0)</f>
        <v>0</v>
      </c>
      <c r="BS50" s="34">
        <f>IF(SUM($I50:BR50)&lt;1,IF($C50&lt;=BS$4,1/$E$41,0),0)</f>
        <v>0</v>
      </c>
      <c r="BT50" s="34">
        <f>IF(SUM($I50:BS50)&lt;1,IF($C50&lt;=BT$4,1/$E$41,0),0)</f>
        <v>0</v>
      </c>
      <c r="BU50" s="34">
        <f>IF(SUM($I50:BT50)&lt;1,IF($C50&lt;=BU$4,1/$E$41,0),0)</f>
        <v>0</v>
      </c>
      <c r="BV50" s="34">
        <f>IF(SUM($I50:BU50)&lt;1,IF($C50&lt;=BV$4,1/$E$41,0),0)</f>
        <v>0</v>
      </c>
      <c r="BW50" s="34">
        <f>IF(SUM($I50:BV50)&lt;1,IF($C50&lt;=BW$4,1/$E$41,0),0)</f>
        <v>0</v>
      </c>
      <c r="BX50" s="34">
        <f>IF(SUM($I50:BW50)&lt;1,IF($C50&lt;=BX$4,1/$E$41,0),0)</f>
        <v>0</v>
      </c>
      <c r="BY50" s="34">
        <f>IF(SUM($I50:BX50)&lt;1,IF($C50&lt;=BY$4,1/$E$41,0),0)</f>
        <v>0</v>
      </c>
      <c r="BZ50" s="34">
        <f>IF(SUM($I50:BY50)&lt;1,IF($C50&lt;=BZ$4,1/$E$41,0),0)</f>
        <v>0</v>
      </c>
      <c r="CA50" s="34">
        <f>IF(SUM($I50:BZ50)&lt;1,IF($C50&lt;=CA$4,1/$E$41,0),0)</f>
        <v>0</v>
      </c>
      <c r="CB50" s="34">
        <f>IF(SUM($I50:CA50)&lt;1,IF($C50&lt;=CB$4,1/$E$41,0),0)</f>
        <v>0</v>
      </c>
      <c r="CC50" s="34">
        <f>IF(SUM($I50:CB50)&lt;1,IF($C50&lt;=CC$4,1/$E$41,0),0)</f>
        <v>0</v>
      </c>
      <c r="CD50" s="34">
        <f>IF(SUM($I50:CC50)&lt;1,IF($C50&lt;=CD$4,1/$E$41,0),0)</f>
        <v>0</v>
      </c>
      <c r="CE50" s="34">
        <f>IF(SUM($I50:CD50)&lt;1,IF($C50&lt;=CE$4,1/$E$41,0),0)</f>
        <v>0</v>
      </c>
      <c r="CF50" s="34">
        <f>IF(SUM($I50:CE50)&lt;1,IF($C50&lt;=CF$4,1/$E$41,0),0)</f>
        <v>0</v>
      </c>
      <c r="CG50" s="34">
        <f>IF(SUM($I50:CF50)&lt;1,IF($C50&lt;=CG$4,1/$E$41,0),0)</f>
        <v>0</v>
      </c>
      <c r="CH50" s="34">
        <f>IF(SUM($I50:CG50)&lt;1,IF($C50&lt;=CH$4,1/$E$41,0),0)</f>
        <v>0</v>
      </c>
      <c r="CI50" s="34">
        <f>IF(SUM($I50:CH50)&lt;1,IF($C50&lt;=CI$4,1/$E$41,0),0)</f>
        <v>0</v>
      </c>
      <c r="CJ50" s="34">
        <f>IF(SUM($I50:CI50)&lt;1,IF($C50&lt;=CJ$4,1/$E$41,0),0)</f>
        <v>0</v>
      </c>
      <c r="CK50" s="34">
        <f>IF(SUM($I50:CJ50)&lt;1,IF($C50&lt;=CK$4,1/$E$41,0),0)</f>
        <v>0</v>
      </c>
      <c r="CL50" s="34">
        <f>IF(SUM($I50:CK50)&lt;1,IF($C50&lt;=CL$4,1/$E$41,0),0)</f>
        <v>0</v>
      </c>
      <c r="CM50" s="34">
        <f>IF(SUM($I50:CL50)&lt;1,IF($C50&lt;=CM$4,1/$E$41,0),0)</f>
        <v>0</v>
      </c>
      <c r="CN50" s="34">
        <f>IF(SUM($I50:CM50)&lt;1,IF($C50&lt;=CN$4,1/$E$41,0),0)</f>
        <v>0</v>
      </c>
      <c r="CO50" s="34">
        <f>IF(SUM($I50:CN50)&lt;1,IF($C50&lt;=CO$4,1/$E$41,0),0)</f>
        <v>0</v>
      </c>
      <c r="CP50" s="34">
        <f>IF(SUM($I50:CO50)&lt;1,IF($C50&lt;=CP$4,1/$E$41,0),0)</f>
        <v>0</v>
      </c>
      <c r="CQ50" s="34">
        <f>IF(SUM($I50:CP50)&lt;1,IF($C50&lt;=CQ$4,1/$E$41,0),0)</f>
        <v>0</v>
      </c>
      <c r="CR50" s="34">
        <f>IF(SUM($I50:CQ50)&lt;1,IF($C50&lt;=CR$4,1/$E$41,0),0)</f>
        <v>0</v>
      </c>
      <c r="CS50" s="34">
        <f>IF(SUM($I50:CR50)&lt;1,IF($C50&lt;=CS$4,1/$E$41,0),0)</f>
        <v>0</v>
      </c>
      <c r="CT50" s="34">
        <f>IF(SUM($I50:CS50)&lt;1,IF($C50&lt;=CT$4,1/$E$41,0),0)</f>
        <v>0</v>
      </c>
      <c r="CU50" s="34">
        <f>IF(SUM($I50:CT50)&lt;1,IF($C50&lt;=CU$4,1/$E$41,0),0)</f>
        <v>0</v>
      </c>
      <c r="CV50" s="34">
        <f>IF(SUM($I50:CU50)&lt;1,IF($C50&lt;=CV$4,1/$E$41,0),0)</f>
        <v>0</v>
      </c>
      <c r="CW50" s="34">
        <f>IF(SUM($I50:CV50)&lt;1,IF($C50&lt;=CW$4,1/$E$41,0),0)</f>
        <v>0</v>
      </c>
      <c r="CX50" s="34">
        <f>IF(SUM($I50:CW50)&lt;1,IF($C50&lt;=CX$4,1/$E$41,0),0)</f>
        <v>0</v>
      </c>
      <c r="CY50" s="34">
        <f>IF(SUM($I50:CX50)&lt;1,IF($C50&lt;=CY$4,1/$E$41,0),0)</f>
        <v>0</v>
      </c>
      <c r="CZ50" s="34">
        <f>IF(SUM($I50:CY50)&lt;1,IF($C50&lt;=CZ$4,1/$E$41,0),0)</f>
        <v>0</v>
      </c>
      <c r="DA50" s="34">
        <f>IF(SUM($I50:CZ50)&lt;1,IF($C50&lt;=DA$4,1/$E$41,0),0)</f>
        <v>0</v>
      </c>
      <c r="DB50" s="34">
        <f>IF(SUM($I50:DA50)&lt;1,IF($C50&lt;=DB$4,1/$E$41,0),0)</f>
        <v>0</v>
      </c>
      <c r="DC50" s="34">
        <f>IF(SUM($I50:DB50)&lt;1,IF($C50&lt;=DC$4,1/$E$41,0),0)</f>
        <v>0</v>
      </c>
      <c r="DD50" s="34">
        <f>IF(SUM($I50:DC50)&lt;1,IF($C50&lt;=DD$4,1/$E$41,0),0)</f>
        <v>0</v>
      </c>
      <c r="DE50" s="34">
        <f>IF(SUM($I50:DD50)&lt;1,IF($C50&lt;=DE$4,1/$E$41,0),0)</f>
        <v>0</v>
      </c>
      <c r="DF50" s="34">
        <f>IF(SUM($I50:DE50)&lt;1,IF($C50&lt;=DF$4,1/$E$41,0),0)</f>
        <v>0</v>
      </c>
      <c r="DG50" s="34">
        <f>IF(SUM($I50:DF50)&lt;1,IF($C50&lt;=DG$4,1/$E$41,0),0)</f>
        <v>0</v>
      </c>
      <c r="DH50" s="34">
        <f>IF(SUM($I50:DG50)&lt;1,IF($C50&lt;=DH$4,1/$E$41,0),0)</f>
        <v>0</v>
      </c>
      <c r="DI50" s="34">
        <f>IF(SUM($I50:DH50)&lt;1,IF($C50&lt;=DI$4,1/$E$41,0),0)</f>
        <v>0</v>
      </c>
      <c r="DJ50" s="34">
        <f>IF(SUM($I50:DI50)&lt;1,IF($C50&lt;=DJ$4,1/$E$41,0),0)</f>
        <v>0</v>
      </c>
      <c r="DK50" s="34">
        <f>IF(SUM($I50:DJ50)&lt;1,IF($C50&lt;=DK$4,1/$E$41,0),0)</f>
        <v>0</v>
      </c>
      <c r="DL50" s="34">
        <f>IF(SUM($I50:DK50)&lt;1,IF($C50&lt;=DL$4,1/$E$41,0),0)</f>
        <v>0</v>
      </c>
      <c r="DM50" s="34">
        <f>IF(SUM($I50:DL50)&lt;1,IF($C50&lt;=DM$4,1/$E$41,0),0)</f>
        <v>0</v>
      </c>
    </row>
    <row r="51" spans="3:117" outlineLevel="1" x14ac:dyDescent="0.15">
      <c r="C51" s="50">
        <f t="shared" si="48"/>
        <v>7</v>
      </c>
      <c r="D51" s="5" t="s">
        <v>18</v>
      </c>
      <c r="E51" s="19">
        <f t="shared" si="47"/>
        <v>18000000</v>
      </c>
      <c r="I51" s="9"/>
      <c r="J51" s="34">
        <f>IF(SUM($I51:I51)&lt;1,IF($C51&lt;=J$4,1/$E$41,0),0)</f>
        <v>0</v>
      </c>
      <c r="K51" s="34">
        <f>IF(SUM($I51:J51)&lt;1,IF($C51&lt;=K$4,1/$E$41,0),0)</f>
        <v>0</v>
      </c>
      <c r="L51" s="34">
        <f>IF(SUM($I51:K51)&lt;1,IF($C51&lt;=L$4,1/$E$41,0),0)</f>
        <v>0</v>
      </c>
      <c r="M51" s="34">
        <f>IF(SUM($I51:L51)&lt;1,IF($C51&lt;=M$4,1/$E$41,0),0)</f>
        <v>0</v>
      </c>
      <c r="N51" s="34">
        <f>IF(SUM($I51:M51)&lt;1,IF($C51&lt;=N$4,1/$E$41,0),0)</f>
        <v>0</v>
      </c>
      <c r="O51" s="34">
        <f>IF(SUM($I51:N51)&lt;1,IF($C51&lt;=O$4,1/$E$41,0),0)</f>
        <v>0</v>
      </c>
      <c r="P51" s="34">
        <f>IF(SUM($I51:O51)&lt;1,IF($C51&lt;=P$4,1/$E$41,0),0)</f>
        <v>0.25</v>
      </c>
      <c r="Q51" s="34">
        <f>IF(SUM($I51:P51)&lt;1,IF($C51&lt;=Q$4,1/$E$41,0),0)</f>
        <v>0.25</v>
      </c>
      <c r="R51" s="34">
        <f>IF(SUM($I51:Q51)&lt;1,IF($C51&lt;=R$4,1/$E$41,0),0)</f>
        <v>0.25</v>
      </c>
      <c r="S51" s="34">
        <f>IF(SUM($I51:R51)&lt;1,IF($C51&lt;=S$4,1/$E$41,0),0)</f>
        <v>0.25</v>
      </c>
      <c r="T51" s="34">
        <f>IF(SUM($I51:S51)&lt;1,IF($C51&lt;=T$4,1/$E$41,0),0)</f>
        <v>0</v>
      </c>
      <c r="U51" s="34">
        <f>IF(SUM($I51:T51)&lt;1,IF($C51&lt;=U$4,1/$E$41,0),0)</f>
        <v>0</v>
      </c>
      <c r="V51" s="34">
        <f>IF(SUM($I51:U51)&lt;1,IF($C51&lt;=V$4,1/$E$41,0),0)</f>
        <v>0</v>
      </c>
      <c r="W51" s="34">
        <f>IF(SUM($I51:V51)&lt;1,IF($C51&lt;=W$4,1/$E$41,0),0)</f>
        <v>0</v>
      </c>
      <c r="X51" s="34">
        <f>IF(SUM($I51:W51)&lt;1,IF($C51&lt;=X$4,1/$E$41,0),0)</f>
        <v>0</v>
      </c>
      <c r="Y51" s="34">
        <f>IF(SUM($I51:X51)&lt;1,IF($C51&lt;=Y$4,1/$E$41,0),0)</f>
        <v>0</v>
      </c>
      <c r="Z51" s="34">
        <f>IF(SUM($I51:Y51)&lt;1,IF($C51&lt;=Z$4,1/$E$41,0),0)</f>
        <v>0</v>
      </c>
      <c r="AA51" s="34">
        <f>IF(SUM($I51:Z51)&lt;1,IF($C51&lt;=AA$4,1/$E$41,0),0)</f>
        <v>0</v>
      </c>
      <c r="AB51" s="34">
        <f>IF(SUM($I51:AA51)&lt;1,IF($C51&lt;=AB$4,1/$E$41,0),0)</f>
        <v>0</v>
      </c>
      <c r="AC51" s="34">
        <f>IF(SUM($I51:AB51)&lt;1,IF($C51&lt;=AC$4,1/$E$41,0),0)</f>
        <v>0</v>
      </c>
      <c r="AD51" s="34">
        <f>IF(SUM($I51:AC51)&lt;1,IF($C51&lt;=AD$4,1/$E$41,0),0)</f>
        <v>0</v>
      </c>
      <c r="AE51" s="34">
        <f>IF(SUM($I51:AD51)&lt;1,IF($C51&lt;=AE$4,1/$E$41,0),0)</f>
        <v>0</v>
      </c>
      <c r="AF51" s="34">
        <f>IF(SUM($I51:AE51)&lt;1,IF($C51&lt;=AF$4,1/$E$41,0),0)</f>
        <v>0</v>
      </c>
      <c r="AG51" s="34">
        <f>IF(SUM($I51:AF51)&lt;1,IF($C51&lt;=AG$4,1/$E$41,0),0)</f>
        <v>0</v>
      </c>
      <c r="AH51" s="34">
        <f>IF(SUM($I51:AG51)&lt;1,IF($C51&lt;=AH$4,1/$E$41,0),0)</f>
        <v>0</v>
      </c>
      <c r="AI51" s="34">
        <f>IF(SUM($I51:AH51)&lt;1,IF($C51&lt;=AI$4,1/$E$41,0),0)</f>
        <v>0</v>
      </c>
      <c r="AJ51" s="34">
        <f>IF(SUM($I51:AI51)&lt;1,IF($C51&lt;=AJ$4,1/$E$41,0),0)</f>
        <v>0</v>
      </c>
      <c r="AK51" s="34">
        <f>IF(SUM($I51:AJ51)&lt;1,IF($C51&lt;=AK$4,1/$E$41,0),0)</f>
        <v>0</v>
      </c>
      <c r="AL51" s="34">
        <f>IF(SUM($I51:AK51)&lt;1,IF($C51&lt;=AL$4,1/$E$41,0),0)</f>
        <v>0</v>
      </c>
      <c r="AM51" s="34">
        <f>IF(SUM($I51:AL51)&lt;1,IF($C51&lt;=AM$4,1/$E$41,0),0)</f>
        <v>0</v>
      </c>
      <c r="AN51" s="34">
        <f>IF(SUM($I51:AM51)&lt;1,IF($C51&lt;=AN$4,1/$E$41,0),0)</f>
        <v>0</v>
      </c>
      <c r="AO51" s="34">
        <f>IF(SUM($I51:AN51)&lt;1,IF($C51&lt;=AO$4,1/$E$41,0),0)</f>
        <v>0</v>
      </c>
      <c r="AP51" s="34">
        <f>IF(SUM($I51:AO51)&lt;1,IF($C51&lt;=AP$4,1/$E$41,0),0)</f>
        <v>0</v>
      </c>
      <c r="AQ51" s="34">
        <f>IF(SUM($I51:AP51)&lt;1,IF($C51&lt;=AQ$4,1/$E$41,0),0)</f>
        <v>0</v>
      </c>
      <c r="AR51" s="34">
        <f>IF(SUM($I51:AQ51)&lt;1,IF($C51&lt;=AR$4,1/$E$41,0),0)</f>
        <v>0</v>
      </c>
      <c r="AS51" s="34">
        <f>IF(SUM($I51:AR51)&lt;1,IF($C51&lt;=AS$4,1/$E$41,0),0)</f>
        <v>0</v>
      </c>
      <c r="AT51" s="34">
        <f>IF(SUM($I51:AS51)&lt;1,IF($C51&lt;=AT$4,1/$E$41,0),0)</f>
        <v>0</v>
      </c>
      <c r="AU51" s="34">
        <f>IF(SUM($I51:AT51)&lt;1,IF($C51&lt;=AU$4,1/$E$41,0),0)</f>
        <v>0</v>
      </c>
      <c r="AV51" s="34">
        <f>IF(SUM($I51:AU51)&lt;1,IF($C51&lt;=AV$4,1/$E$41,0),0)</f>
        <v>0</v>
      </c>
      <c r="AW51" s="34">
        <f>IF(SUM($I51:AV51)&lt;1,IF($C51&lt;=AW$4,1/$E$41,0),0)</f>
        <v>0</v>
      </c>
      <c r="AX51" s="34">
        <f>IF(SUM($I51:AW51)&lt;1,IF($C51&lt;=AX$4,1/$E$41,0),0)</f>
        <v>0</v>
      </c>
      <c r="AY51" s="34">
        <f>IF(SUM($I51:AX51)&lt;1,IF($C51&lt;=AY$4,1/$E$41,0),0)</f>
        <v>0</v>
      </c>
      <c r="AZ51" s="34">
        <f>IF(SUM($I51:AY51)&lt;1,IF($C51&lt;=AZ$4,1/$E$41,0),0)</f>
        <v>0</v>
      </c>
      <c r="BA51" s="34">
        <f>IF(SUM($I51:AZ51)&lt;1,IF($C51&lt;=BA$4,1/$E$41,0),0)</f>
        <v>0</v>
      </c>
      <c r="BB51" s="34">
        <f>IF(SUM($I51:BA51)&lt;1,IF($C51&lt;=BB$4,1/$E$41,0),0)</f>
        <v>0</v>
      </c>
      <c r="BC51" s="34">
        <f>IF(SUM($I51:BB51)&lt;1,IF($C51&lt;=BC$4,1/$E$41,0),0)</f>
        <v>0</v>
      </c>
      <c r="BD51" s="34">
        <f>IF(SUM($I51:BC51)&lt;1,IF($C51&lt;=BD$4,1/$E$41,0),0)</f>
        <v>0</v>
      </c>
      <c r="BE51" s="34">
        <f>IF(SUM($I51:BD51)&lt;1,IF($C51&lt;=BE$4,1/$E$41,0),0)</f>
        <v>0</v>
      </c>
      <c r="BF51" s="34">
        <f>IF(SUM($I51:BE51)&lt;1,IF($C51&lt;=BF$4,1/$E$41,0),0)</f>
        <v>0</v>
      </c>
      <c r="BG51" s="34">
        <f>IF(SUM($I51:BF51)&lt;1,IF($C51&lt;=BG$4,1/$E$41,0),0)</f>
        <v>0</v>
      </c>
      <c r="BH51" s="34">
        <f>IF(SUM($I51:BG51)&lt;1,IF($C51&lt;=BH$4,1/$E$41,0),0)</f>
        <v>0</v>
      </c>
      <c r="BI51" s="34">
        <f>IF(SUM($I51:BH51)&lt;1,IF($C51&lt;=BI$4,1/$E$41,0),0)</f>
        <v>0</v>
      </c>
      <c r="BJ51" s="34">
        <f>IF(SUM($I51:BI51)&lt;1,IF($C51&lt;=BJ$4,1/$E$41,0),0)</f>
        <v>0</v>
      </c>
      <c r="BK51" s="34">
        <f>IF(SUM($I51:BJ51)&lt;1,IF($C51&lt;=BK$4,1/$E$41,0),0)</f>
        <v>0</v>
      </c>
      <c r="BL51" s="34">
        <f>IF(SUM($I51:BK51)&lt;1,IF($C51&lt;=BL$4,1/$E$41,0),0)</f>
        <v>0</v>
      </c>
      <c r="BM51" s="34">
        <f>IF(SUM($I51:BL51)&lt;1,IF($C51&lt;=BM$4,1/$E$41,0),0)</f>
        <v>0</v>
      </c>
      <c r="BN51" s="34">
        <f>IF(SUM($I51:BM51)&lt;1,IF($C51&lt;=BN$4,1/$E$41,0),0)</f>
        <v>0</v>
      </c>
      <c r="BO51" s="34">
        <f>IF(SUM($I51:BN51)&lt;1,IF($C51&lt;=BO$4,1/$E$41,0),0)</f>
        <v>0</v>
      </c>
      <c r="BP51" s="34">
        <f>IF(SUM($I51:BO51)&lt;1,IF($C51&lt;=BP$4,1/$E$41,0),0)</f>
        <v>0</v>
      </c>
      <c r="BQ51" s="34">
        <f>IF(SUM($I51:BP51)&lt;1,IF($C51&lt;=BQ$4,1/$E$41,0),0)</f>
        <v>0</v>
      </c>
      <c r="BR51" s="34">
        <f>IF(SUM($I51:BQ51)&lt;1,IF($C51&lt;=BR$4,1/$E$41,0),0)</f>
        <v>0</v>
      </c>
      <c r="BS51" s="34">
        <f>IF(SUM($I51:BR51)&lt;1,IF($C51&lt;=BS$4,1/$E$41,0),0)</f>
        <v>0</v>
      </c>
      <c r="BT51" s="34">
        <f>IF(SUM($I51:BS51)&lt;1,IF($C51&lt;=BT$4,1/$E$41,0),0)</f>
        <v>0</v>
      </c>
      <c r="BU51" s="34">
        <f>IF(SUM($I51:BT51)&lt;1,IF($C51&lt;=BU$4,1/$E$41,0),0)</f>
        <v>0</v>
      </c>
      <c r="BV51" s="34">
        <f>IF(SUM($I51:BU51)&lt;1,IF($C51&lt;=BV$4,1/$E$41,0),0)</f>
        <v>0</v>
      </c>
      <c r="BW51" s="34">
        <f>IF(SUM($I51:BV51)&lt;1,IF($C51&lt;=BW$4,1/$E$41,0),0)</f>
        <v>0</v>
      </c>
      <c r="BX51" s="34">
        <f>IF(SUM($I51:BW51)&lt;1,IF($C51&lt;=BX$4,1/$E$41,0),0)</f>
        <v>0</v>
      </c>
      <c r="BY51" s="34">
        <f>IF(SUM($I51:BX51)&lt;1,IF($C51&lt;=BY$4,1/$E$41,0),0)</f>
        <v>0</v>
      </c>
      <c r="BZ51" s="34">
        <f>IF(SUM($I51:BY51)&lt;1,IF($C51&lt;=BZ$4,1/$E$41,0),0)</f>
        <v>0</v>
      </c>
      <c r="CA51" s="34">
        <f>IF(SUM($I51:BZ51)&lt;1,IF($C51&lt;=CA$4,1/$E$41,0),0)</f>
        <v>0</v>
      </c>
      <c r="CB51" s="34">
        <f>IF(SUM($I51:CA51)&lt;1,IF($C51&lt;=CB$4,1/$E$41,0),0)</f>
        <v>0</v>
      </c>
      <c r="CC51" s="34">
        <f>IF(SUM($I51:CB51)&lt;1,IF($C51&lt;=CC$4,1/$E$41,0),0)</f>
        <v>0</v>
      </c>
      <c r="CD51" s="34">
        <f>IF(SUM($I51:CC51)&lt;1,IF($C51&lt;=CD$4,1/$E$41,0),0)</f>
        <v>0</v>
      </c>
      <c r="CE51" s="34">
        <f>IF(SUM($I51:CD51)&lt;1,IF($C51&lt;=CE$4,1/$E$41,0),0)</f>
        <v>0</v>
      </c>
      <c r="CF51" s="34">
        <f>IF(SUM($I51:CE51)&lt;1,IF($C51&lt;=CF$4,1/$E$41,0),0)</f>
        <v>0</v>
      </c>
      <c r="CG51" s="34">
        <f>IF(SUM($I51:CF51)&lt;1,IF($C51&lt;=CG$4,1/$E$41,0),0)</f>
        <v>0</v>
      </c>
      <c r="CH51" s="34">
        <f>IF(SUM($I51:CG51)&lt;1,IF($C51&lt;=CH$4,1/$E$41,0),0)</f>
        <v>0</v>
      </c>
      <c r="CI51" s="34">
        <f>IF(SUM($I51:CH51)&lt;1,IF($C51&lt;=CI$4,1/$E$41,0),0)</f>
        <v>0</v>
      </c>
      <c r="CJ51" s="34">
        <f>IF(SUM($I51:CI51)&lt;1,IF($C51&lt;=CJ$4,1/$E$41,0),0)</f>
        <v>0</v>
      </c>
      <c r="CK51" s="34">
        <f>IF(SUM($I51:CJ51)&lt;1,IF($C51&lt;=CK$4,1/$E$41,0),0)</f>
        <v>0</v>
      </c>
      <c r="CL51" s="34">
        <f>IF(SUM($I51:CK51)&lt;1,IF($C51&lt;=CL$4,1/$E$41,0),0)</f>
        <v>0</v>
      </c>
      <c r="CM51" s="34">
        <f>IF(SUM($I51:CL51)&lt;1,IF($C51&lt;=CM$4,1/$E$41,0),0)</f>
        <v>0</v>
      </c>
      <c r="CN51" s="34">
        <f>IF(SUM($I51:CM51)&lt;1,IF($C51&lt;=CN$4,1/$E$41,0),0)</f>
        <v>0</v>
      </c>
      <c r="CO51" s="34">
        <f>IF(SUM($I51:CN51)&lt;1,IF($C51&lt;=CO$4,1/$E$41,0),0)</f>
        <v>0</v>
      </c>
      <c r="CP51" s="34">
        <f>IF(SUM($I51:CO51)&lt;1,IF($C51&lt;=CP$4,1/$E$41,0),0)</f>
        <v>0</v>
      </c>
      <c r="CQ51" s="34">
        <f>IF(SUM($I51:CP51)&lt;1,IF($C51&lt;=CQ$4,1/$E$41,0),0)</f>
        <v>0</v>
      </c>
      <c r="CR51" s="34">
        <f>IF(SUM($I51:CQ51)&lt;1,IF($C51&lt;=CR$4,1/$E$41,0),0)</f>
        <v>0</v>
      </c>
      <c r="CS51" s="34">
        <f>IF(SUM($I51:CR51)&lt;1,IF($C51&lt;=CS$4,1/$E$41,0),0)</f>
        <v>0</v>
      </c>
      <c r="CT51" s="34">
        <f>IF(SUM($I51:CS51)&lt;1,IF($C51&lt;=CT$4,1/$E$41,0),0)</f>
        <v>0</v>
      </c>
      <c r="CU51" s="34">
        <f>IF(SUM($I51:CT51)&lt;1,IF($C51&lt;=CU$4,1/$E$41,0),0)</f>
        <v>0</v>
      </c>
      <c r="CV51" s="34">
        <f>IF(SUM($I51:CU51)&lt;1,IF($C51&lt;=CV$4,1/$E$41,0),0)</f>
        <v>0</v>
      </c>
      <c r="CW51" s="34">
        <f>IF(SUM($I51:CV51)&lt;1,IF($C51&lt;=CW$4,1/$E$41,0),0)</f>
        <v>0</v>
      </c>
      <c r="CX51" s="34">
        <f>IF(SUM($I51:CW51)&lt;1,IF($C51&lt;=CX$4,1/$E$41,0),0)</f>
        <v>0</v>
      </c>
      <c r="CY51" s="34">
        <f>IF(SUM($I51:CX51)&lt;1,IF($C51&lt;=CY$4,1/$E$41,0),0)</f>
        <v>0</v>
      </c>
      <c r="CZ51" s="34">
        <f>IF(SUM($I51:CY51)&lt;1,IF($C51&lt;=CZ$4,1/$E$41,0),0)</f>
        <v>0</v>
      </c>
      <c r="DA51" s="34">
        <f>IF(SUM($I51:CZ51)&lt;1,IF($C51&lt;=DA$4,1/$E$41,0),0)</f>
        <v>0</v>
      </c>
      <c r="DB51" s="34">
        <f>IF(SUM($I51:DA51)&lt;1,IF($C51&lt;=DB$4,1/$E$41,0),0)</f>
        <v>0</v>
      </c>
      <c r="DC51" s="34">
        <f>IF(SUM($I51:DB51)&lt;1,IF($C51&lt;=DC$4,1/$E$41,0),0)</f>
        <v>0</v>
      </c>
      <c r="DD51" s="34">
        <f>IF(SUM($I51:DC51)&lt;1,IF($C51&lt;=DD$4,1/$E$41,0),0)</f>
        <v>0</v>
      </c>
      <c r="DE51" s="34">
        <f>IF(SUM($I51:DD51)&lt;1,IF($C51&lt;=DE$4,1/$E$41,0),0)</f>
        <v>0</v>
      </c>
      <c r="DF51" s="34">
        <f>IF(SUM($I51:DE51)&lt;1,IF($C51&lt;=DF$4,1/$E$41,0),0)</f>
        <v>0</v>
      </c>
      <c r="DG51" s="34">
        <f>IF(SUM($I51:DF51)&lt;1,IF($C51&lt;=DG$4,1/$E$41,0),0)</f>
        <v>0</v>
      </c>
      <c r="DH51" s="34">
        <f>IF(SUM($I51:DG51)&lt;1,IF($C51&lt;=DH$4,1/$E$41,0),0)</f>
        <v>0</v>
      </c>
      <c r="DI51" s="34">
        <f>IF(SUM($I51:DH51)&lt;1,IF($C51&lt;=DI$4,1/$E$41,0),0)</f>
        <v>0</v>
      </c>
      <c r="DJ51" s="34">
        <f>IF(SUM($I51:DI51)&lt;1,IF($C51&lt;=DJ$4,1/$E$41,0),0)</f>
        <v>0</v>
      </c>
      <c r="DK51" s="34">
        <f>IF(SUM($I51:DJ51)&lt;1,IF($C51&lt;=DK$4,1/$E$41,0),0)</f>
        <v>0</v>
      </c>
      <c r="DL51" s="34">
        <f>IF(SUM($I51:DK51)&lt;1,IF($C51&lt;=DL$4,1/$E$41,0),0)</f>
        <v>0</v>
      </c>
      <c r="DM51" s="34">
        <f>IF(SUM($I51:DL51)&lt;1,IF($C51&lt;=DM$4,1/$E$41,0),0)</f>
        <v>0</v>
      </c>
    </row>
    <row r="52" spans="3:117" outlineLevel="1" x14ac:dyDescent="0.15">
      <c r="C52" s="50">
        <f t="shared" si="48"/>
        <v>8</v>
      </c>
      <c r="D52" s="5" t="s">
        <v>18</v>
      </c>
      <c r="E52" s="19">
        <f t="shared" si="47"/>
        <v>22000000</v>
      </c>
      <c r="I52" s="9"/>
      <c r="J52" s="34">
        <f>IF(SUM($I52:I52)&lt;1,IF($C52&lt;=J$4,1/$E$41,0),0)</f>
        <v>0</v>
      </c>
      <c r="K52" s="34">
        <f>IF(SUM($I52:J52)&lt;1,IF($C52&lt;=K$4,1/$E$41,0),0)</f>
        <v>0</v>
      </c>
      <c r="L52" s="34">
        <f>IF(SUM($I52:K52)&lt;1,IF($C52&lt;=L$4,1/$E$41,0),0)</f>
        <v>0</v>
      </c>
      <c r="M52" s="34">
        <f>IF(SUM($I52:L52)&lt;1,IF($C52&lt;=M$4,1/$E$41,0),0)</f>
        <v>0</v>
      </c>
      <c r="N52" s="34">
        <f>IF(SUM($I52:M52)&lt;1,IF($C52&lt;=N$4,1/$E$41,0),0)</f>
        <v>0</v>
      </c>
      <c r="O52" s="34">
        <f>IF(SUM($I52:N52)&lt;1,IF($C52&lt;=O$4,1/$E$41,0),0)</f>
        <v>0</v>
      </c>
      <c r="P52" s="34">
        <f>IF(SUM($I52:O52)&lt;1,IF($C52&lt;=P$4,1/$E$41,0),0)</f>
        <v>0</v>
      </c>
      <c r="Q52" s="34">
        <f>IF(SUM($I52:P52)&lt;1,IF($C52&lt;=Q$4,1/$E$41,0),0)</f>
        <v>0.25</v>
      </c>
      <c r="R52" s="34">
        <f>IF(SUM($I52:Q52)&lt;1,IF($C52&lt;=R$4,1/$E$41,0),0)</f>
        <v>0.25</v>
      </c>
      <c r="S52" s="34">
        <f>IF(SUM($I52:R52)&lt;1,IF($C52&lt;=S$4,1/$E$41,0),0)</f>
        <v>0.25</v>
      </c>
      <c r="T52" s="34">
        <f>IF(SUM($I52:S52)&lt;1,IF($C52&lt;=T$4,1/$E$41,0),0)</f>
        <v>0.25</v>
      </c>
      <c r="U52" s="34">
        <f>IF(SUM($I52:T52)&lt;1,IF($C52&lt;=U$4,1/$E$41,0),0)</f>
        <v>0</v>
      </c>
      <c r="V52" s="34">
        <f>IF(SUM($I52:U52)&lt;1,IF($C52&lt;=V$4,1/$E$41,0),0)</f>
        <v>0</v>
      </c>
      <c r="W52" s="34">
        <f>IF(SUM($I52:V52)&lt;1,IF($C52&lt;=W$4,1/$E$41,0),0)</f>
        <v>0</v>
      </c>
      <c r="X52" s="34">
        <f>IF(SUM($I52:W52)&lt;1,IF($C52&lt;=X$4,1/$E$41,0),0)</f>
        <v>0</v>
      </c>
      <c r="Y52" s="34">
        <f>IF(SUM($I52:X52)&lt;1,IF($C52&lt;=Y$4,1/$E$41,0),0)</f>
        <v>0</v>
      </c>
      <c r="Z52" s="34">
        <f>IF(SUM($I52:Y52)&lt;1,IF($C52&lt;=Z$4,1/$E$41,0),0)</f>
        <v>0</v>
      </c>
      <c r="AA52" s="34">
        <f>IF(SUM($I52:Z52)&lt;1,IF($C52&lt;=AA$4,1/$E$41,0),0)</f>
        <v>0</v>
      </c>
      <c r="AB52" s="34">
        <f>IF(SUM($I52:AA52)&lt;1,IF($C52&lt;=AB$4,1/$E$41,0),0)</f>
        <v>0</v>
      </c>
      <c r="AC52" s="34">
        <f>IF(SUM($I52:AB52)&lt;1,IF($C52&lt;=AC$4,1/$E$41,0),0)</f>
        <v>0</v>
      </c>
      <c r="AD52" s="34">
        <f>IF(SUM($I52:AC52)&lt;1,IF($C52&lt;=AD$4,1/$E$41,0),0)</f>
        <v>0</v>
      </c>
      <c r="AE52" s="34">
        <f>IF(SUM($I52:AD52)&lt;1,IF($C52&lt;=AE$4,1/$E$41,0),0)</f>
        <v>0</v>
      </c>
      <c r="AF52" s="34">
        <f>IF(SUM($I52:AE52)&lt;1,IF($C52&lt;=AF$4,1/$E$41,0),0)</f>
        <v>0</v>
      </c>
      <c r="AG52" s="34">
        <f>IF(SUM($I52:AF52)&lt;1,IF($C52&lt;=AG$4,1/$E$41,0),0)</f>
        <v>0</v>
      </c>
      <c r="AH52" s="34">
        <f>IF(SUM($I52:AG52)&lt;1,IF($C52&lt;=AH$4,1/$E$41,0),0)</f>
        <v>0</v>
      </c>
      <c r="AI52" s="34">
        <f>IF(SUM($I52:AH52)&lt;1,IF($C52&lt;=AI$4,1/$E$41,0),0)</f>
        <v>0</v>
      </c>
      <c r="AJ52" s="34">
        <f>IF(SUM($I52:AI52)&lt;1,IF($C52&lt;=AJ$4,1/$E$41,0),0)</f>
        <v>0</v>
      </c>
      <c r="AK52" s="34">
        <f>IF(SUM($I52:AJ52)&lt;1,IF($C52&lt;=AK$4,1/$E$41,0),0)</f>
        <v>0</v>
      </c>
      <c r="AL52" s="34">
        <f>IF(SUM($I52:AK52)&lt;1,IF($C52&lt;=AL$4,1/$E$41,0),0)</f>
        <v>0</v>
      </c>
      <c r="AM52" s="34">
        <f>IF(SUM($I52:AL52)&lt;1,IF($C52&lt;=AM$4,1/$E$41,0),0)</f>
        <v>0</v>
      </c>
      <c r="AN52" s="34">
        <f>IF(SUM($I52:AM52)&lt;1,IF($C52&lt;=AN$4,1/$E$41,0),0)</f>
        <v>0</v>
      </c>
      <c r="AO52" s="34">
        <f>IF(SUM($I52:AN52)&lt;1,IF($C52&lt;=AO$4,1/$E$41,0),0)</f>
        <v>0</v>
      </c>
      <c r="AP52" s="34">
        <f>IF(SUM($I52:AO52)&lt;1,IF($C52&lt;=AP$4,1/$E$41,0),0)</f>
        <v>0</v>
      </c>
      <c r="AQ52" s="34">
        <f>IF(SUM($I52:AP52)&lt;1,IF($C52&lt;=AQ$4,1/$E$41,0),0)</f>
        <v>0</v>
      </c>
      <c r="AR52" s="34">
        <f>IF(SUM($I52:AQ52)&lt;1,IF($C52&lt;=AR$4,1/$E$41,0),0)</f>
        <v>0</v>
      </c>
      <c r="AS52" s="34">
        <f>IF(SUM($I52:AR52)&lt;1,IF($C52&lt;=AS$4,1/$E$41,0),0)</f>
        <v>0</v>
      </c>
      <c r="AT52" s="34">
        <f>IF(SUM($I52:AS52)&lt;1,IF($C52&lt;=AT$4,1/$E$41,0),0)</f>
        <v>0</v>
      </c>
      <c r="AU52" s="34">
        <f>IF(SUM($I52:AT52)&lt;1,IF($C52&lt;=AU$4,1/$E$41,0),0)</f>
        <v>0</v>
      </c>
      <c r="AV52" s="34">
        <f>IF(SUM($I52:AU52)&lt;1,IF($C52&lt;=AV$4,1/$E$41,0),0)</f>
        <v>0</v>
      </c>
      <c r="AW52" s="34">
        <f>IF(SUM($I52:AV52)&lt;1,IF($C52&lt;=AW$4,1/$E$41,0),0)</f>
        <v>0</v>
      </c>
      <c r="AX52" s="34">
        <f>IF(SUM($I52:AW52)&lt;1,IF($C52&lt;=AX$4,1/$E$41,0),0)</f>
        <v>0</v>
      </c>
      <c r="AY52" s="34">
        <f>IF(SUM($I52:AX52)&lt;1,IF($C52&lt;=AY$4,1/$E$41,0),0)</f>
        <v>0</v>
      </c>
      <c r="AZ52" s="34">
        <f>IF(SUM($I52:AY52)&lt;1,IF($C52&lt;=AZ$4,1/$E$41,0),0)</f>
        <v>0</v>
      </c>
      <c r="BA52" s="34">
        <f>IF(SUM($I52:AZ52)&lt;1,IF($C52&lt;=BA$4,1/$E$41,0),0)</f>
        <v>0</v>
      </c>
      <c r="BB52" s="34">
        <f>IF(SUM($I52:BA52)&lt;1,IF($C52&lt;=BB$4,1/$E$41,0),0)</f>
        <v>0</v>
      </c>
      <c r="BC52" s="34">
        <f>IF(SUM($I52:BB52)&lt;1,IF($C52&lt;=BC$4,1/$E$41,0),0)</f>
        <v>0</v>
      </c>
      <c r="BD52" s="34">
        <f>IF(SUM($I52:BC52)&lt;1,IF($C52&lt;=BD$4,1/$E$41,0),0)</f>
        <v>0</v>
      </c>
      <c r="BE52" s="34">
        <f>IF(SUM($I52:BD52)&lt;1,IF($C52&lt;=BE$4,1/$E$41,0),0)</f>
        <v>0</v>
      </c>
      <c r="BF52" s="34">
        <f>IF(SUM($I52:BE52)&lt;1,IF($C52&lt;=BF$4,1/$E$41,0),0)</f>
        <v>0</v>
      </c>
      <c r="BG52" s="34">
        <f>IF(SUM($I52:BF52)&lt;1,IF($C52&lt;=BG$4,1/$E$41,0),0)</f>
        <v>0</v>
      </c>
      <c r="BH52" s="34">
        <f>IF(SUM($I52:BG52)&lt;1,IF($C52&lt;=BH$4,1/$E$41,0),0)</f>
        <v>0</v>
      </c>
      <c r="BI52" s="34">
        <f>IF(SUM($I52:BH52)&lt;1,IF($C52&lt;=BI$4,1/$E$41,0),0)</f>
        <v>0</v>
      </c>
      <c r="BJ52" s="34">
        <f>IF(SUM($I52:BI52)&lt;1,IF($C52&lt;=BJ$4,1/$E$41,0),0)</f>
        <v>0</v>
      </c>
      <c r="BK52" s="34">
        <f>IF(SUM($I52:BJ52)&lt;1,IF($C52&lt;=BK$4,1/$E$41,0),0)</f>
        <v>0</v>
      </c>
      <c r="BL52" s="34">
        <f>IF(SUM($I52:BK52)&lt;1,IF($C52&lt;=BL$4,1/$E$41,0),0)</f>
        <v>0</v>
      </c>
      <c r="BM52" s="34">
        <f>IF(SUM($I52:BL52)&lt;1,IF($C52&lt;=BM$4,1/$E$41,0),0)</f>
        <v>0</v>
      </c>
      <c r="BN52" s="34">
        <f>IF(SUM($I52:BM52)&lt;1,IF($C52&lt;=BN$4,1/$E$41,0),0)</f>
        <v>0</v>
      </c>
      <c r="BO52" s="34">
        <f>IF(SUM($I52:BN52)&lt;1,IF($C52&lt;=BO$4,1/$E$41,0),0)</f>
        <v>0</v>
      </c>
      <c r="BP52" s="34">
        <f>IF(SUM($I52:BO52)&lt;1,IF($C52&lt;=BP$4,1/$E$41,0),0)</f>
        <v>0</v>
      </c>
      <c r="BQ52" s="34">
        <f>IF(SUM($I52:BP52)&lt;1,IF($C52&lt;=BQ$4,1/$E$41,0),0)</f>
        <v>0</v>
      </c>
      <c r="BR52" s="34">
        <f>IF(SUM($I52:BQ52)&lt;1,IF($C52&lt;=BR$4,1/$E$41,0),0)</f>
        <v>0</v>
      </c>
      <c r="BS52" s="34">
        <f>IF(SUM($I52:BR52)&lt;1,IF($C52&lt;=BS$4,1/$E$41,0),0)</f>
        <v>0</v>
      </c>
      <c r="BT52" s="34">
        <f>IF(SUM($I52:BS52)&lt;1,IF($C52&lt;=BT$4,1/$E$41,0),0)</f>
        <v>0</v>
      </c>
      <c r="BU52" s="34">
        <f>IF(SUM($I52:BT52)&lt;1,IF($C52&lt;=BU$4,1/$E$41,0),0)</f>
        <v>0</v>
      </c>
      <c r="BV52" s="34">
        <f>IF(SUM($I52:BU52)&lt;1,IF($C52&lt;=BV$4,1/$E$41,0),0)</f>
        <v>0</v>
      </c>
      <c r="BW52" s="34">
        <f>IF(SUM($I52:BV52)&lt;1,IF($C52&lt;=BW$4,1/$E$41,0),0)</f>
        <v>0</v>
      </c>
      <c r="BX52" s="34">
        <f>IF(SUM($I52:BW52)&lt;1,IF($C52&lt;=BX$4,1/$E$41,0),0)</f>
        <v>0</v>
      </c>
      <c r="BY52" s="34">
        <f>IF(SUM($I52:BX52)&lt;1,IF($C52&lt;=BY$4,1/$E$41,0),0)</f>
        <v>0</v>
      </c>
      <c r="BZ52" s="34">
        <f>IF(SUM($I52:BY52)&lt;1,IF($C52&lt;=BZ$4,1/$E$41,0),0)</f>
        <v>0</v>
      </c>
      <c r="CA52" s="34">
        <f>IF(SUM($I52:BZ52)&lt;1,IF($C52&lt;=CA$4,1/$E$41,0),0)</f>
        <v>0</v>
      </c>
      <c r="CB52" s="34">
        <f>IF(SUM($I52:CA52)&lt;1,IF($C52&lt;=CB$4,1/$E$41,0),0)</f>
        <v>0</v>
      </c>
      <c r="CC52" s="34">
        <f>IF(SUM($I52:CB52)&lt;1,IF($C52&lt;=CC$4,1/$E$41,0),0)</f>
        <v>0</v>
      </c>
      <c r="CD52" s="34">
        <f>IF(SUM($I52:CC52)&lt;1,IF($C52&lt;=CD$4,1/$E$41,0),0)</f>
        <v>0</v>
      </c>
      <c r="CE52" s="34">
        <f>IF(SUM($I52:CD52)&lt;1,IF($C52&lt;=CE$4,1/$E$41,0),0)</f>
        <v>0</v>
      </c>
      <c r="CF52" s="34">
        <f>IF(SUM($I52:CE52)&lt;1,IF($C52&lt;=CF$4,1/$E$41,0),0)</f>
        <v>0</v>
      </c>
      <c r="CG52" s="34">
        <f>IF(SUM($I52:CF52)&lt;1,IF($C52&lt;=CG$4,1/$E$41,0),0)</f>
        <v>0</v>
      </c>
      <c r="CH52" s="34">
        <f>IF(SUM($I52:CG52)&lt;1,IF($C52&lt;=CH$4,1/$E$41,0),0)</f>
        <v>0</v>
      </c>
      <c r="CI52" s="34">
        <f>IF(SUM($I52:CH52)&lt;1,IF($C52&lt;=CI$4,1/$E$41,0),0)</f>
        <v>0</v>
      </c>
      <c r="CJ52" s="34">
        <f>IF(SUM($I52:CI52)&lt;1,IF($C52&lt;=CJ$4,1/$E$41,0),0)</f>
        <v>0</v>
      </c>
      <c r="CK52" s="34">
        <f>IF(SUM($I52:CJ52)&lt;1,IF($C52&lt;=CK$4,1/$E$41,0),0)</f>
        <v>0</v>
      </c>
      <c r="CL52" s="34">
        <f>IF(SUM($I52:CK52)&lt;1,IF($C52&lt;=CL$4,1/$E$41,0),0)</f>
        <v>0</v>
      </c>
      <c r="CM52" s="34">
        <f>IF(SUM($I52:CL52)&lt;1,IF($C52&lt;=CM$4,1/$E$41,0),0)</f>
        <v>0</v>
      </c>
      <c r="CN52" s="34">
        <f>IF(SUM($I52:CM52)&lt;1,IF($C52&lt;=CN$4,1/$E$41,0),0)</f>
        <v>0</v>
      </c>
      <c r="CO52" s="34">
        <f>IF(SUM($I52:CN52)&lt;1,IF($C52&lt;=CO$4,1/$E$41,0),0)</f>
        <v>0</v>
      </c>
      <c r="CP52" s="34">
        <f>IF(SUM($I52:CO52)&lt;1,IF($C52&lt;=CP$4,1/$E$41,0),0)</f>
        <v>0</v>
      </c>
      <c r="CQ52" s="34">
        <f>IF(SUM($I52:CP52)&lt;1,IF($C52&lt;=CQ$4,1/$E$41,0),0)</f>
        <v>0</v>
      </c>
      <c r="CR52" s="34">
        <f>IF(SUM($I52:CQ52)&lt;1,IF($C52&lt;=CR$4,1/$E$41,0),0)</f>
        <v>0</v>
      </c>
      <c r="CS52" s="34">
        <f>IF(SUM($I52:CR52)&lt;1,IF($C52&lt;=CS$4,1/$E$41,0),0)</f>
        <v>0</v>
      </c>
      <c r="CT52" s="34">
        <f>IF(SUM($I52:CS52)&lt;1,IF($C52&lt;=CT$4,1/$E$41,0),0)</f>
        <v>0</v>
      </c>
      <c r="CU52" s="34">
        <f>IF(SUM($I52:CT52)&lt;1,IF($C52&lt;=CU$4,1/$E$41,0),0)</f>
        <v>0</v>
      </c>
      <c r="CV52" s="34">
        <f>IF(SUM($I52:CU52)&lt;1,IF($C52&lt;=CV$4,1/$E$41,0),0)</f>
        <v>0</v>
      </c>
      <c r="CW52" s="34">
        <f>IF(SUM($I52:CV52)&lt;1,IF($C52&lt;=CW$4,1/$E$41,0),0)</f>
        <v>0</v>
      </c>
      <c r="CX52" s="34">
        <f>IF(SUM($I52:CW52)&lt;1,IF($C52&lt;=CX$4,1/$E$41,0),0)</f>
        <v>0</v>
      </c>
      <c r="CY52" s="34">
        <f>IF(SUM($I52:CX52)&lt;1,IF($C52&lt;=CY$4,1/$E$41,0),0)</f>
        <v>0</v>
      </c>
      <c r="CZ52" s="34">
        <f>IF(SUM($I52:CY52)&lt;1,IF($C52&lt;=CZ$4,1/$E$41,0),0)</f>
        <v>0</v>
      </c>
      <c r="DA52" s="34">
        <f>IF(SUM($I52:CZ52)&lt;1,IF($C52&lt;=DA$4,1/$E$41,0),0)</f>
        <v>0</v>
      </c>
      <c r="DB52" s="34">
        <f>IF(SUM($I52:DA52)&lt;1,IF($C52&lt;=DB$4,1/$E$41,0),0)</f>
        <v>0</v>
      </c>
      <c r="DC52" s="34">
        <f>IF(SUM($I52:DB52)&lt;1,IF($C52&lt;=DC$4,1/$E$41,0),0)</f>
        <v>0</v>
      </c>
      <c r="DD52" s="34">
        <f>IF(SUM($I52:DC52)&lt;1,IF($C52&lt;=DD$4,1/$E$41,0),0)</f>
        <v>0</v>
      </c>
      <c r="DE52" s="34">
        <f>IF(SUM($I52:DD52)&lt;1,IF($C52&lt;=DE$4,1/$E$41,0),0)</f>
        <v>0</v>
      </c>
      <c r="DF52" s="34">
        <f>IF(SUM($I52:DE52)&lt;1,IF($C52&lt;=DF$4,1/$E$41,0),0)</f>
        <v>0</v>
      </c>
      <c r="DG52" s="34">
        <f>IF(SUM($I52:DF52)&lt;1,IF($C52&lt;=DG$4,1/$E$41,0),0)</f>
        <v>0</v>
      </c>
      <c r="DH52" s="34">
        <f>IF(SUM($I52:DG52)&lt;1,IF($C52&lt;=DH$4,1/$E$41,0),0)</f>
        <v>0</v>
      </c>
      <c r="DI52" s="34">
        <f>IF(SUM($I52:DH52)&lt;1,IF($C52&lt;=DI$4,1/$E$41,0),0)</f>
        <v>0</v>
      </c>
      <c r="DJ52" s="34">
        <f>IF(SUM($I52:DI52)&lt;1,IF($C52&lt;=DJ$4,1/$E$41,0),0)</f>
        <v>0</v>
      </c>
      <c r="DK52" s="34">
        <f>IF(SUM($I52:DJ52)&lt;1,IF($C52&lt;=DK$4,1/$E$41,0),0)</f>
        <v>0</v>
      </c>
      <c r="DL52" s="34">
        <f>IF(SUM($I52:DK52)&lt;1,IF($C52&lt;=DL$4,1/$E$41,0),0)</f>
        <v>0</v>
      </c>
      <c r="DM52" s="34">
        <f>IF(SUM($I52:DL52)&lt;1,IF($C52&lt;=DM$4,1/$E$41,0),0)</f>
        <v>0</v>
      </c>
    </row>
    <row r="53" spans="3:117" outlineLevel="1" x14ac:dyDescent="0.15">
      <c r="C53" s="50">
        <f t="shared" si="48"/>
        <v>9</v>
      </c>
      <c r="D53" s="5" t="s">
        <v>18</v>
      </c>
      <c r="E53" s="19">
        <f t="shared" si="47"/>
        <v>10000000</v>
      </c>
      <c r="I53" s="9"/>
      <c r="J53" s="34">
        <f>IF(SUM($I53:I53)&lt;1,IF($C53&lt;=J$4,1/$E$41,0),0)</f>
        <v>0</v>
      </c>
      <c r="K53" s="34">
        <f>IF(SUM($I53:J53)&lt;1,IF($C53&lt;=K$4,1/$E$41,0),0)</f>
        <v>0</v>
      </c>
      <c r="L53" s="34">
        <f>IF(SUM($I53:K53)&lt;1,IF($C53&lt;=L$4,1/$E$41,0),0)</f>
        <v>0</v>
      </c>
      <c r="M53" s="34">
        <f>IF(SUM($I53:L53)&lt;1,IF($C53&lt;=M$4,1/$E$41,0),0)</f>
        <v>0</v>
      </c>
      <c r="N53" s="34">
        <f>IF(SUM($I53:M53)&lt;1,IF($C53&lt;=N$4,1/$E$41,0),0)</f>
        <v>0</v>
      </c>
      <c r="O53" s="34">
        <f>IF(SUM($I53:N53)&lt;1,IF($C53&lt;=O$4,1/$E$41,0),0)</f>
        <v>0</v>
      </c>
      <c r="P53" s="34">
        <f>IF(SUM($I53:O53)&lt;1,IF($C53&lt;=P$4,1/$E$41,0),0)</f>
        <v>0</v>
      </c>
      <c r="Q53" s="34">
        <f>IF(SUM($I53:P53)&lt;1,IF($C53&lt;=Q$4,1/$E$41,0),0)</f>
        <v>0</v>
      </c>
      <c r="R53" s="34">
        <f>IF(SUM($I53:Q53)&lt;1,IF($C53&lt;=R$4,1/$E$41,0),0)</f>
        <v>0.25</v>
      </c>
      <c r="S53" s="34">
        <f>IF(SUM($I53:R53)&lt;1,IF($C53&lt;=S$4,1/$E$41,0),0)</f>
        <v>0.25</v>
      </c>
      <c r="T53" s="34">
        <f>IF(SUM($I53:S53)&lt;1,IF($C53&lt;=T$4,1/$E$41,0),0)</f>
        <v>0.25</v>
      </c>
      <c r="U53" s="34">
        <f>IF(SUM($I53:T53)&lt;1,IF($C53&lt;=U$4,1/$E$41,0),0)</f>
        <v>0.25</v>
      </c>
      <c r="V53" s="34">
        <f>IF(SUM($I53:U53)&lt;1,IF($C53&lt;=V$4,1/$E$41,0),0)</f>
        <v>0</v>
      </c>
      <c r="W53" s="34">
        <f>IF(SUM($I53:V53)&lt;1,IF($C53&lt;=W$4,1/$E$41,0),0)</f>
        <v>0</v>
      </c>
      <c r="X53" s="34">
        <f>IF(SUM($I53:W53)&lt;1,IF($C53&lt;=X$4,1/$E$41,0),0)</f>
        <v>0</v>
      </c>
      <c r="Y53" s="34">
        <f>IF(SUM($I53:X53)&lt;1,IF($C53&lt;=Y$4,1/$E$41,0),0)</f>
        <v>0</v>
      </c>
      <c r="Z53" s="34">
        <f>IF(SUM($I53:Y53)&lt;1,IF($C53&lt;=Z$4,1/$E$41,0),0)</f>
        <v>0</v>
      </c>
      <c r="AA53" s="34">
        <f>IF(SUM($I53:Z53)&lt;1,IF($C53&lt;=AA$4,1/$E$41,0),0)</f>
        <v>0</v>
      </c>
      <c r="AB53" s="34">
        <f>IF(SUM($I53:AA53)&lt;1,IF($C53&lt;=AB$4,1/$E$41,0),0)</f>
        <v>0</v>
      </c>
      <c r="AC53" s="34">
        <f>IF(SUM($I53:AB53)&lt;1,IF($C53&lt;=AC$4,1/$E$41,0),0)</f>
        <v>0</v>
      </c>
      <c r="AD53" s="34">
        <f>IF(SUM($I53:AC53)&lt;1,IF($C53&lt;=AD$4,1/$E$41,0),0)</f>
        <v>0</v>
      </c>
      <c r="AE53" s="34">
        <f>IF(SUM($I53:AD53)&lt;1,IF($C53&lt;=AE$4,1/$E$41,0),0)</f>
        <v>0</v>
      </c>
      <c r="AF53" s="34">
        <f>IF(SUM($I53:AE53)&lt;1,IF($C53&lt;=AF$4,1/$E$41,0),0)</f>
        <v>0</v>
      </c>
      <c r="AG53" s="34">
        <f>IF(SUM($I53:AF53)&lt;1,IF($C53&lt;=AG$4,1/$E$41,0),0)</f>
        <v>0</v>
      </c>
      <c r="AH53" s="34">
        <f>IF(SUM($I53:AG53)&lt;1,IF($C53&lt;=AH$4,1/$E$41,0),0)</f>
        <v>0</v>
      </c>
      <c r="AI53" s="34">
        <f>IF(SUM($I53:AH53)&lt;1,IF($C53&lt;=AI$4,1/$E$41,0),0)</f>
        <v>0</v>
      </c>
      <c r="AJ53" s="34">
        <f>IF(SUM($I53:AI53)&lt;1,IF($C53&lt;=AJ$4,1/$E$41,0),0)</f>
        <v>0</v>
      </c>
      <c r="AK53" s="34">
        <f>IF(SUM($I53:AJ53)&lt;1,IF($C53&lt;=AK$4,1/$E$41,0),0)</f>
        <v>0</v>
      </c>
      <c r="AL53" s="34">
        <f>IF(SUM($I53:AK53)&lt;1,IF($C53&lt;=AL$4,1/$E$41,0),0)</f>
        <v>0</v>
      </c>
      <c r="AM53" s="34">
        <f>IF(SUM($I53:AL53)&lt;1,IF($C53&lt;=AM$4,1/$E$41,0),0)</f>
        <v>0</v>
      </c>
      <c r="AN53" s="34">
        <f>IF(SUM($I53:AM53)&lt;1,IF($C53&lt;=AN$4,1/$E$41,0),0)</f>
        <v>0</v>
      </c>
      <c r="AO53" s="34">
        <f>IF(SUM($I53:AN53)&lt;1,IF($C53&lt;=AO$4,1/$E$41,0),0)</f>
        <v>0</v>
      </c>
      <c r="AP53" s="34">
        <f>IF(SUM($I53:AO53)&lt;1,IF($C53&lt;=AP$4,1/$E$41,0),0)</f>
        <v>0</v>
      </c>
      <c r="AQ53" s="34">
        <f>IF(SUM($I53:AP53)&lt;1,IF($C53&lt;=AQ$4,1/$E$41,0),0)</f>
        <v>0</v>
      </c>
      <c r="AR53" s="34">
        <f>IF(SUM($I53:AQ53)&lt;1,IF($C53&lt;=AR$4,1/$E$41,0),0)</f>
        <v>0</v>
      </c>
      <c r="AS53" s="34">
        <f>IF(SUM($I53:AR53)&lt;1,IF($C53&lt;=AS$4,1/$E$41,0),0)</f>
        <v>0</v>
      </c>
      <c r="AT53" s="34">
        <f>IF(SUM($I53:AS53)&lt;1,IF($C53&lt;=AT$4,1/$E$41,0),0)</f>
        <v>0</v>
      </c>
      <c r="AU53" s="34">
        <f>IF(SUM($I53:AT53)&lt;1,IF($C53&lt;=AU$4,1/$E$41,0),0)</f>
        <v>0</v>
      </c>
      <c r="AV53" s="34">
        <f>IF(SUM($I53:AU53)&lt;1,IF($C53&lt;=AV$4,1/$E$41,0),0)</f>
        <v>0</v>
      </c>
      <c r="AW53" s="34">
        <f>IF(SUM($I53:AV53)&lt;1,IF($C53&lt;=AW$4,1/$E$41,0),0)</f>
        <v>0</v>
      </c>
      <c r="AX53" s="34">
        <f>IF(SUM($I53:AW53)&lt;1,IF($C53&lt;=AX$4,1/$E$41,0),0)</f>
        <v>0</v>
      </c>
      <c r="AY53" s="34">
        <f>IF(SUM($I53:AX53)&lt;1,IF($C53&lt;=AY$4,1/$E$41,0),0)</f>
        <v>0</v>
      </c>
      <c r="AZ53" s="34">
        <f>IF(SUM($I53:AY53)&lt;1,IF($C53&lt;=AZ$4,1/$E$41,0),0)</f>
        <v>0</v>
      </c>
      <c r="BA53" s="34">
        <f>IF(SUM($I53:AZ53)&lt;1,IF($C53&lt;=BA$4,1/$E$41,0),0)</f>
        <v>0</v>
      </c>
      <c r="BB53" s="34">
        <f>IF(SUM($I53:BA53)&lt;1,IF($C53&lt;=BB$4,1/$E$41,0),0)</f>
        <v>0</v>
      </c>
      <c r="BC53" s="34">
        <f>IF(SUM($I53:BB53)&lt;1,IF($C53&lt;=BC$4,1/$E$41,0),0)</f>
        <v>0</v>
      </c>
      <c r="BD53" s="34">
        <f>IF(SUM($I53:BC53)&lt;1,IF($C53&lt;=BD$4,1/$E$41,0),0)</f>
        <v>0</v>
      </c>
      <c r="BE53" s="34">
        <f>IF(SUM($I53:BD53)&lt;1,IF($C53&lt;=BE$4,1/$E$41,0),0)</f>
        <v>0</v>
      </c>
      <c r="BF53" s="34">
        <f>IF(SUM($I53:BE53)&lt;1,IF($C53&lt;=BF$4,1/$E$41,0),0)</f>
        <v>0</v>
      </c>
      <c r="BG53" s="34">
        <f>IF(SUM($I53:BF53)&lt;1,IF($C53&lt;=BG$4,1/$E$41,0),0)</f>
        <v>0</v>
      </c>
      <c r="BH53" s="34">
        <f>IF(SUM($I53:BG53)&lt;1,IF($C53&lt;=BH$4,1/$E$41,0),0)</f>
        <v>0</v>
      </c>
      <c r="BI53" s="34">
        <f>IF(SUM($I53:BH53)&lt;1,IF($C53&lt;=BI$4,1/$E$41,0),0)</f>
        <v>0</v>
      </c>
      <c r="BJ53" s="34">
        <f>IF(SUM($I53:BI53)&lt;1,IF($C53&lt;=BJ$4,1/$E$41,0),0)</f>
        <v>0</v>
      </c>
      <c r="BK53" s="34">
        <f>IF(SUM($I53:BJ53)&lt;1,IF($C53&lt;=BK$4,1/$E$41,0),0)</f>
        <v>0</v>
      </c>
      <c r="BL53" s="34">
        <f>IF(SUM($I53:BK53)&lt;1,IF($C53&lt;=BL$4,1/$E$41,0),0)</f>
        <v>0</v>
      </c>
      <c r="BM53" s="34">
        <f>IF(SUM($I53:BL53)&lt;1,IF($C53&lt;=BM$4,1/$E$41,0),0)</f>
        <v>0</v>
      </c>
      <c r="BN53" s="34">
        <f>IF(SUM($I53:BM53)&lt;1,IF($C53&lt;=BN$4,1/$E$41,0),0)</f>
        <v>0</v>
      </c>
      <c r="BO53" s="34">
        <f>IF(SUM($I53:BN53)&lt;1,IF($C53&lt;=BO$4,1/$E$41,0),0)</f>
        <v>0</v>
      </c>
      <c r="BP53" s="34">
        <f>IF(SUM($I53:BO53)&lt;1,IF($C53&lt;=BP$4,1/$E$41,0),0)</f>
        <v>0</v>
      </c>
      <c r="BQ53" s="34">
        <f>IF(SUM($I53:BP53)&lt;1,IF($C53&lt;=BQ$4,1/$E$41,0),0)</f>
        <v>0</v>
      </c>
      <c r="BR53" s="34">
        <f>IF(SUM($I53:BQ53)&lt;1,IF($C53&lt;=BR$4,1/$E$41,0),0)</f>
        <v>0</v>
      </c>
      <c r="BS53" s="34">
        <f>IF(SUM($I53:BR53)&lt;1,IF($C53&lt;=BS$4,1/$E$41,0),0)</f>
        <v>0</v>
      </c>
      <c r="BT53" s="34">
        <f>IF(SUM($I53:BS53)&lt;1,IF($C53&lt;=BT$4,1/$E$41,0),0)</f>
        <v>0</v>
      </c>
      <c r="BU53" s="34">
        <f>IF(SUM($I53:BT53)&lt;1,IF($C53&lt;=BU$4,1/$E$41,0),0)</f>
        <v>0</v>
      </c>
      <c r="BV53" s="34">
        <f>IF(SUM($I53:BU53)&lt;1,IF($C53&lt;=BV$4,1/$E$41,0),0)</f>
        <v>0</v>
      </c>
      <c r="BW53" s="34">
        <f>IF(SUM($I53:BV53)&lt;1,IF($C53&lt;=BW$4,1/$E$41,0),0)</f>
        <v>0</v>
      </c>
      <c r="BX53" s="34">
        <f>IF(SUM($I53:BW53)&lt;1,IF($C53&lt;=BX$4,1/$E$41,0),0)</f>
        <v>0</v>
      </c>
      <c r="BY53" s="34">
        <f>IF(SUM($I53:BX53)&lt;1,IF($C53&lt;=BY$4,1/$E$41,0),0)</f>
        <v>0</v>
      </c>
      <c r="BZ53" s="34">
        <f>IF(SUM($I53:BY53)&lt;1,IF($C53&lt;=BZ$4,1/$E$41,0),0)</f>
        <v>0</v>
      </c>
      <c r="CA53" s="34">
        <f>IF(SUM($I53:BZ53)&lt;1,IF($C53&lt;=CA$4,1/$E$41,0),0)</f>
        <v>0</v>
      </c>
      <c r="CB53" s="34">
        <f>IF(SUM($I53:CA53)&lt;1,IF($C53&lt;=CB$4,1/$E$41,0),0)</f>
        <v>0</v>
      </c>
      <c r="CC53" s="34">
        <f>IF(SUM($I53:CB53)&lt;1,IF($C53&lt;=CC$4,1/$E$41,0),0)</f>
        <v>0</v>
      </c>
      <c r="CD53" s="34">
        <f>IF(SUM($I53:CC53)&lt;1,IF($C53&lt;=CD$4,1/$E$41,0),0)</f>
        <v>0</v>
      </c>
      <c r="CE53" s="34">
        <f>IF(SUM($I53:CD53)&lt;1,IF($C53&lt;=CE$4,1/$E$41,0),0)</f>
        <v>0</v>
      </c>
      <c r="CF53" s="34">
        <f>IF(SUM($I53:CE53)&lt;1,IF($C53&lt;=CF$4,1/$E$41,0),0)</f>
        <v>0</v>
      </c>
      <c r="CG53" s="34">
        <f>IF(SUM($I53:CF53)&lt;1,IF($C53&lt;=CG$4,1/$E$41,0),0)</f>
        <v>0</v>
      </c>
      <c r="CH53" s="34">
        <f>IF(SUM($I53:CG53)&lt;1,IF($C53&lt;=CH$4,1/$E$41,0),0)</f>
        <v>0</v>
      </c>
      <c r="CI53" s="34">
        <f>IF(SUM($I53:CH53)&lt;1,IF($C53&lt;=CI$4,1/$E$41,0),0)</f>
        <v>0</v>
      </c>
      <c r="CJ53" s="34">
        <f>IF(SUM($I53:CI53)&lt;1,IF($C53&lt;=CJ$4,1/$E$41,0),0)</f>
        <v>0</v>
      </c>
      <c r="CK53" s="34">
        <f>IF(SUM($I53:CJ53)&lt;1,IF($C53&lt;=CK$4,1/$E$41,0),0)</f>
        <v>0</v>
      </c>
      <c r="CL53" s="34">
        <f>IF(SUM($I53:CK53)&lt;1,IF($C53&lt;=CL$4,1/$E$41,0),0)</f>
        <v>0</v>
      </c>
      <c r="CM53" s="34">
        <f>IF(SUM($I53:CL53)&lt;1,IF($C53&lt;=CM$4,1/$E$41,0),0)</f>
        <v>0</v>
      </c>
      <c r="CN53" s="34">
        <f>IF(SUM($I53:CM53)&lt;1,IF($C53&lt;=CN$4,1/$E$41,0),0)</f>
        <v>0</v>
      </c>
      <c r="CO53" s="34">
        <f>IF(SUM($I53:CN53)&lt;1,IF($C53&lt;=CO$4,1/$E$41,0),0)</f>
        <v>0</v>
      </c>
      <c r="CP53" s="34">
        <f>IF(SUM($I53:CO53)&lt;1,IF($C53&lt;=CP$4,1/$E$41,0),0)</f>
        <v>0</v>
      </c>
      <c r="CQ53" s="34">
        <f>IF(SUM($I53:CP53)&lt;1,IF($C53&lt;=CQ$4,1/$E$41,0),0)</f>
        <v>0</v>
      </c>
      <c r="CR53" s="34">
        <f>IF(SUM($I53:CQ53)&lt;1,IF($C53&lt;=CR$4,1/$E$41,0),0)</f>
        <v>0</v>
      </c>
      <c r="CS53" s="34">
        <f>IF(SUM($I53:CR53)&lt;1,IF($C53&lt;=CS$4,1/$E$41,0),0)</f>
        <v>0</v>
      </c>
      <c r="CT53" s="34">
        <f>IF(SUM($I53:CS53)&lt;1,IF($C53&lt;=CT$4,1/$E$41,0),0)</f>
        <v>0</v>
      </c>
      <c r="CU53" s="34">
        <f>IF(SUM($I53:CT53)&lt;1,IF($C53&lt;=CU$4,1/$E$41,0),0)</f>
        <v>0</v>
      </c>
      <c r="CV53" s="34">
        <f>IF(SUM($I53:CU53)&lt;1,IF($C53&lt;=CV$4,1/$E$41,0),0)</f>
        <v>0</v>
      </c>
      <c r="CW53" s="34">
        <f>IF(SUM($I53:CV53)&lt;1,IF($C53&lt;=CW$4,1/$E$41,0),0)</f>
        <v>0</v>
      </c>
      <c r="CX53" s="34">
        <f>IF(SUM($I53:CW53)&lt;1,IF($C53&lt;=CX$4,1/$E$41,0),0)</f>
        <v>0</v>
      </c>
      <c r="CY53" s="34">
        <f>IF(SUM($I53:CX53)&lt;1,IF($C53&lt;=CY$4,1/$E$41,0),0)</f>
        <v>0</v>
      </c>
      <c r="CZ53" s="34">
        <f>IF(SUM($I53:CY53)&lt;1,IF($C53&lt;=CZ$4,1/$E$41,0),0)</f>
        <v>0</v>
      </c>
      <c r="DA53" s="34">
        <f>IF(SUM($I53:CZ53)&lt;1,IF($C53&lt;=DA$4,1/$E$41,0),0)</f>
        <v>0</v>
      </c>
      <c r="DB53" s="34">
        <f>IF(SUM($I53:DA53)&lt;1,IF($C53&lt;=DB$4,1/$E$41,0),0)</f>
        <v>0</v>
      </c>
      <c r="DC53" s="34">
        <f>IF(SUM($I53:DB53)&lt;1,IF($C53&lt;=DC$4,1/$E$41,0),0)</f>
        <v>0</v>
      </c>
      <c r="DD53" s="34">
        <f>IF(SUM($I53:DC53)&lt;1,IF($C53&lt;=DD$4,1/$E$41,0),0)</f>
        <v>0</v>
      </c>
      <c r="DE53" s="34">
        <f>IF(SUM($I53:DD53)&lt;1,IF($C53&lt;=DE$4,1/$E$41,0),0)</f>
        <v>0</v>
      </c>
      <c r="DF53" s="34">
        <f>IF(SUM($I53:DE53)&lt;1,IF($C53&lt;=DF$4,1/$E$41,0),0)</f>
        <v>0</v>
      </c>
      <c r="DG53" s="34">
        <f>IF(SUM($I53:DF53)&lt;1,IF($C53&lt;=DG$4,1/$E$41,0),0)</f>
        <v>0</v>
      </c>
      <c r="DH53" s="34">
        <f>IF(SUM($I53:DG53)&lt;1,IF($C53&lt;=DH$4,1/$E$41,0),0)</f>
        <v>0</v>
      </c>
      <c r="DI53" s="34">
        <f>IF(SUM($I53:DH53)&lt;1,IF($C53&lt;=DI$4,1/$E$41,0),0)</f>
        <v>0</v>
      </c>
      <c r="DJ53" s="34">
        <f>IF(SUM($I53:DI53)&lt;1,IF($C53&lt;=DJ$4,1/$E$41,0),0)</f>
        <v>0</v>
      </c>
      <c r="DK53" s="34">
        <f>IF(SUM($I53:DJ53)&lt;1,IF($C53&lt;=DK$4,1/$E$41,0),0)</f>
        <v>0</v>
      </c>
      <c r="DL53" s="34">
        <f>IF(SUM($I53:DK53)&lt;1,IF($C53&lt;=DL$4,1/$E$41,0),0)</f>
        <v>0</v>
      </c>
      <c r="DM53" s="34">
        <f>IF(SUM($I53:DL53)&lt;1,IF($C53&lt;=DM$4,1/$E$41,0),0)</f>
        <v>0</v>
      </c>
    </row>
    <row r="54" spans="3:117" outlineLevel="1" x14ac:dyDescent="0.15">
      <c r="C54" s="50">
        <f t="shared" si="48"/>
        <v>10</v>
      </c>
      <c r="D54" s="5" t="s">
        <v>18</v>
      </c>
      <c r="E54" s="19">
        <f t="shared" si="47"/>
        <v>10000000</v>
      </c>
      <c r="I54" s="9"/>
      <c r="J54" s="34">
        <f>IF(SUM($I54:I54)&lt;1,IF($C54&lt;=J$4,1/$E$41,0),0)</f>
        <v>0</v>
      </c>
      <c r="K54" s="34">
        <f>IF(SUM($I54:J54)&lt;1,IF($C54&lt;=K$4,1/$E$41,0),0)</f>
        <v>0</v>
      </c>
      <c r="L54" s="34">
        <f>IF(SUM($I54:K54)&lt;1,IF($C54&lt;=L$4,1/$E$41,0),0)</f>
        <v>0</v>
      </c>
      <c r="M54" s="34">
        <f>IF(SUM($I54:L54)&lt;1,IF($C54&lt;=M$4,1/$E$41,0),0)</f>
        <v>0</v>
      </c>
      <c r="N54" s="34">
        <f>IF(SUM($I54:M54)&lt;1,IF($C54&lt;=N$4,1/$E$41,0),0)</f>
        <v>0</v>
      </c>
      <c r="O54" s="34">
        <f>IF(SUM($I54:N54)&lt;1,IF($C54&lt;=O$4,1/$E$41,0),0)</f>
        <v>0</v>
      </c>
      <c r="P54" s="34">
        <f>IF(SUM($I54:O54)&lt;1,IF($C54&lt;=P$4,1/$E$41,0),0)</f>
        <v>0</v>
      </c>
      <c r="Q54" s="34">
        <f>IF(SUM($I54:P54)&lt;1,IF($C54&lt;=Q$4,1/$E$41,0),0)</f>
        <v>0</v>
      </c>
      <c r="R54" s="34">
        <f>IF(SUM($I54:Q54)&lt;1,IF($C54&lt;=R$4,1/$E$41,0),0)</f>
        <v>0</v>
      </c>
      <c r="S54" s="34">
        <f>IF(SUM($I54:R54)&lt;1,IF($C54&lt;=S$4,1/$E$41,0),0)</f>
        <v>0.25</v>
      </c>
      <c r="T54" s="34">
        <f>IF(SUM($I54:S54)&lt;1,IF($C54&lt;=T$4,1/$E$41,0),0)</f>
        <v>0.25</v>
      </c>
      <c r="U54" s="34">
        <f>IF(SUM($I54:T54)&lt;1,IF($C54&lt;=U$4,1/$E$41,0),0)</f>
        <v>0.25</v>
      </c>
      <c r="V54" s="34">
        <f>IF(SUM($I54:U54)&lt;1,IF($C54&lt;=V$4,1/$E$41,0),0)</f>
        <v>0.25</v>
      </c>
      <c r="W54" s="34">
        <f>IF(SUM($I54:V54)&lt;1,IF($C54&lt;=W$4,1/$E$41,0),0)</f>
        <v>0</v>
      </c>
      <c r="X54" s="34">
        <f>IF(SUM($I54:W54)&lt;1,IF($C54&lt;=X$4,1/$E$41,0),0)</f>
        <v>0</v>
      </c>
      <c r="Y54" s="34">
        <f>IF(SUM($I54:X54)&lt;1,IF($C54&lt;=Y$4,1/$E$41,0),0)</f>
        <v>0</v>
      </c>
      <c r="Z54" s="34">
        <f>IF(SUM($I54:Y54)&lt;1,IF($C54&lt;=Z$4,1/$E$41,0),0)</f>
        <v>0</v>
      </c>
      <c r="AA54" s="34">
        <f>IF(SUM($I54:Z54)&lt;1,IF($C54&lt;=AA$4,1/$E$41,0),0)</f>
        <v>0</v>
      </c>
      <c r="AB54" s="34">
        <f>IF(SUM($I54:AA54)&lt;1,IF($C54&lt;=AB$4,1/$E$41,0),0)</f>
        <v>0</v>
      </c>
      <c r="AC54" s="34">
        <f>IF(SUM($I54:AB54)&lt;1,IF($C54&lt;=AC$4,1/$E$41,0),0)</f>
        <v>0</v>
      </c>
      <c r="AD54" s="34">
        <f>IF(SUM($I54:AC54)&lt;1,IF($C54&lt;=AD$4,1/$E$41,0),0)</f>
        <v>0</v>
      </c>
      <c r="AE54" s="34">
        <f>IF(SUM($I54:AD54)&lt;1,IF($C54&lt;=AE$4,1/$E$41,0),0)</f>
        <v>0</v>
      </c>
      <c r="AF54" s="34">
        <f>IF(SUM($I54:AE54)&lt;1,IF($C54&lt;=AF$4,1/$E$41,0),0)</f>
        <v>0</v>
      </c>
      <c r="AG54" s="34">
        <f>IF(SUM($I54:AF54)&lt;1,IF($C54&lt;=AG$4,1/$E$41,0),0)</f>
        <v>0</v>
      </c>
      <c r="AH54" s="34">
        <f>IF(SUM($I54:AG54)&lt;1,IF($C54&lt;=AH$4,1/$E$41,0),0)</f>
        <v>0</v>
      </c>
      <c r="AI54" s="34">
        <f>IF(SUM($I54:AH54)&lt;1,IF($C54&lt;=AI$4,1/$E$41,0),0)</f>
        <v>0</v>
      </c>
      <c r="AJ54" s="34">
        <f>IF(SUM($I54:AI54)&lt;1,IF($C54&lt;=AJ$4,1/$E$41,0),0)</f>
        <v>0</v>
      </c>
      <c r="AK54" s="34">
        <f>IF(SUM($I54:AJ54)&lt;1,IF($C54&lt;=AK$4,1/$E$41,0),0)</f>
        <v>0</v>
      </c>
      <c r="AL54" s="34">
        <f>IF(SUM($I54:AK54)&lt;1,IF($C54&lt;=AL$4,1/$E$41,0),0)</f>
        <v>0</v>
      </c>
      <c r="AM54" s="34">
        <f>IF(SUM($I54:AL54)&lt;1,IF($C54&lt;=AM$4,1/$E$41,0),0)</f>
        <v>0</v>
      </c>
      <c r="AN54" s="34">
        <f>IF(SUM($I54:AM54)&lt;1,IF($C54&lt;=AN$4,1/$E$41,0),0)</f>
        <v>0</v>
      </c>
      <c r="AO54" s="34">
        <f>IF(SUM($I54:AN54)&lt;1,IF($C54&lt;=AO$4,1/$E$41,0),0)</f>
        <v>0</v>
      </c>
      <c r="AP54" s="34">
        <f>IF(SUM($I54:AO54)&lt;1,IF($C54&lt;=AP$4,1/$E$41,0),0)</f>
        <v>0</v>
      </c>
      <c r="AQ54" s="34">
        <f>IF(SUM($I54:AP54)&lt;1,IF($C54&lt;=AQ$4,1/$E$41,0),0)</f>
        <v>0</v>
      </c>
      <c r="AR54" s="34">
        <f>IF(SUM($I54:AQ54)&lt;1,IF($C54&lt;=AR$4,1/$E$41,0),0)</f>
        <v>0</v>
      </c>
      <c r="AS54" s="34">
        <f>IF(SUM($I54:AR54)&lt;1,IF($C54&lt;=AS$4,1/$E$41,0),0)</f>
        <v>0</v>
      </c>
      <c r="AT54" s="34">
        <f>IF(SUM($I54:AS54)&lt;1,IF($C54&lt;=AT$4,1/$E$41,0),0)</f>
        <v>0</v>
      </c>
      <c r="AU54" s="34">
        <f>IF(SUM($I54:AT54)&lt;1,IF($C54&lt;=AU$4,1/$E$41,0),0)</f>
        <v>0</v>
      </c>
      <c r="AV54" s="34">
        <f>IF(SUM($I54:AU54)&lt;1,IF($C54&lt;=AV$4,1/$E$41,0),0)</f>
        <v>0</v>
      </c>
      <c r="AW54" s="34">
        <f>IF(SUM($I54:AV54)&lt;1,IF($C54&lt;=AW$4,1/$E$41,0),0)</f>
        <v>0</v>
      </c>
      <c r="AX54" s="34">
        <f>IF(SUM($I54:AW54)&lt;1,IF($C54&lt;=AX$4,1/$E$41,0),0)</f>
        <v>0</v>
      </c>
      <c r="AY54" s="34">
        <f>IF(SUM($I54:AX54)&lt;1,IF($C54&lt;=AY$4,1/$E$41,0),0)</f>
        <v>0</v>
      </c>
      <c r="AZ54" s="34">
        <f>IF(SUM($I54:AY54)&lt;1,IF($C54&lt;=AZ$4,1/$E$41,0),0)</f>
        <v>0</v>
      </c>
      <c r="BA54" s="34">
        <f>IF(SUM($I54:AZ54)&lt;1,IF($C54&lt;=BA$4,1/$E$41,0),0)</f>
        <v>0</v>
      </c>
      <c r="BB54" s="34">
        <f>IF(SUM($I54:BA54)&lt;1,IF($C54&lt;=BB$4,1/$E$41,0),0)</f>
        <v>0</v>
      </c>
      <c r="BC54" s="34">
        <f>IF(SUM($I54:BB54)&lt;1,IF($C54&lt;=BC$4,1/$E$41,0),0)</f>
        <v>0</v>
      </c>
      <c r="BD54" s="34">
        <f>IF(SUM($I54:BC54)&lt;1,IF($C54&lt;=BD$4,1/$E$41,0),0)</f>
        <v>0</v>
      </c>
      <c r="BE54" s="34">
        <f>IF(SUM($I54:BD54)&lt;1,IF($C54&lt;=BE$4,1/$E$41,0),0)</f>
        <v>0</v>
      </c>
      <c r="BF54" s="34">
        <f>IF(SUM($I54:BE54)&lt;1,IF($C54&lt;=BF$4,1/$E$41,0),0)</f>
        <v>0</v>
      </c>
      <c r="BG54" s="34">
        <f>IF(SUM($I54:BF54)&lt;1,IF($C54&lt;=BG$4,1/$E$41,0),0)</f>
        <v>0</v>
      </c>
      <c r="BH54" s="34">
        <f>IF(SUM($I54:BG54)&lt;1,IF($C54&lt;=BH$4,1/$E$41,0),0)</f>
        <v>0</v>
      </c>
      <c r="BI54" s="34">
        <f>IF(SUM($I54:BH54)&lt;1,IF($C54&lt;=BI$4,1/$E$41,0),0)</f>
        <v>0</v>
      </c>
      <c r="BJ54" s="34">
        <f>IF(SUM($I54:BI54)&lt;1,IF($C54&lt;=BJ$4,1/$E$41,0),0)</f>
        <v>0</v>
      </c>
      <c r="BK54" s="34">
        <f>IF(SUM($I54:BJ54)&lt;1,IF($C54&lt;=BK$4,1/$E$41,0),0)</f>
        <v>0</v>
      </c>
      <c r="BL54" s="34">
        <f>IF(SUM($I54:BK54)&lt;1,IF($C54&lt;=BL$4,1/$E$41,0),0)</f>
        <v>0</v>
      </c>
      <c r="BM54" s="34">
        <f>IF(SUM($I54:BL54)&lt;1,IF($C54&lt;=BM$4,1/$E$41,0),0)</f>
        <v>0</v>
      </c>
      <c r="BN54" s="34">
        <f>IF(SUM($I54:BM54)&lt;1,IF($C54&lt;=BN$4,1/$E$41,0),0)</f>
        <v>0</v>
      </c>
      <c r="BO54" s="34">
        <f>IF(SUM($I54:BN54)&lt;1,IF($C54&lt;=BO$4,1/$E$41,0),0)</f>
        <v>0</v>
      </c>
      <c r="BP54" s="34">
        <f>IF(SUM($I54:BO54)&lt;1,IF($C54&lt;=BP$4,1/$E$41,0),0)</f>
        <v>0</v>
      </c>
      <c r="BQ54" s="34">
        <f>IF(SUM($I54:BP54)&lt;1,IF($C54&lt;=BQ$4,1/$E$41,0),0)</f>
        <v>0</v>
      </c>
      <c r="BR54" s="34">
        <f>IF(SUM($I54:BQ54)&lt;1,IF($C54&lt;=BR$4,1/$E$41,0),0)</f>
        <v>0</v>
      </c>
      <c r="BS54" s="34">
        <f>IF(SUM($I54:BR54)&lt;1,IF($C54&lt;=BS$4,1/$E$41,0),0)</f>
        <v>0</v>
      </c>
      <c r="BT54" s="34">
        <f>IF(SUM($I54:BS54)&lt;1,IF($C54&lt;=BT$4,1/$E$41,0),0)</f>
        <v>0</v>
      </c>
      <c r="BU54" s="34">
        <f>IF(SUM($I54:BT54)&lt;1,IF($C54&lt;=BU$4,1/$E$41,0),0)</f>
        <v>0</v>
      </c>
      <c r="BV54" s="34">
        <f>IF(SUM($I54:BU54)&lt;1,IF($C54&lt;=BV$4,1/$E$41,0),0)</f>
        <v>0</v>
      </c>
      <c r="BW54" s="34">
        <f>IF(SUM($I54:BV54)&lt;1,IF($C54&lt;=BW$4,1/$E$41,0),0)</f>
        <v>0</v>
      </c>
      <c r="BX54" s="34">
        <f>IF(SUM($I54:BW54)&lt;1,IF($C54&lt;=BX$4,1/$E$41,0),0)</f>
        <v>0</v>
      </c>
      <c r="BY54" s="34">
        <f>IF(SUM($I54:BX54)&lt;1,IF($C54&lt;=BY$4,1/$E$41,0),0)</f>
        <v>0</v>
      </c>
      <c r="BZ54" s="34">
        <f>IF(SUM($I54:BY54)&lt;1,IF($C54&lt;=BZ$4,1/$E$41,0),0)</f>
        <v>0</v>
      </c>
      <c r="CA54" s="34">
        <f>IF(SUM($I54:BZ54)&lt;1,IF($C54&lt;=CA$4,1/$E$41,0),0)</f>
        <v>0</v>
      </c>
      <c r="CB54" s="34">
        <f>IF(SUM($I54:CA54)&lt;1,IF($C54&lt;=CB$4,1/$E$41,0),0)</f>
        <v>0</v>
      </c>
      <c r="CC54" s="34">
        <f>IF(SUM($I54:CB54)&lt;1,IF($C54&lt;=CC$4,1/$E$41,0),0)</f>
        <v>0</v>
      </c>
      <c r="CD54" s="34">
        <f>IF(SUM($I54:CC54)&lt;1,IF($C54&lt;=CD$4,1/$E$41,0),0)</f>
        <v>0</v>
      </c>
      <c r="CE54" s="34">
        <f>IF(SUM($I54:CD54)&lt;1,IF($C54&lt;=CE$4,1/$E$41,0),0)</f>
        <v>0</v>
      </c>
      <c r="CF54" s="34">
        <f>IF(SUM($I54:CE54)&lt;1,IF($C54&lt;=CF$4,1/$E$41,0),0)</f>
        <v>0</v>
      </c>
      <c r="CG54" s="34">
        <f>IF(SUM($I54:CF54)&lt;1,IF($C54&lt;=CG$4,1/$E$41,0),0)</f>
        <v>0</v>
      </c>
      <c r="CH54" s="34">
        <f>IF(SUM($I54:CG54)&lt;1,IF($C54&lt;=CH$4,1/$E$41,0),0)</f>
        <v>0</v>
      </c>
      <c r="CI54" s="34">
        <f>IF(SUM($I54:CH54)&lt;1,IF($C54&lt;=CI$4,1/$E$41,0),0)</f>
        <v>0</v>
      </c>
      <c r="CJ54" s="34">
        <f>IF(SUM($I54:CI54)&lt;1,IF($C54&lt;=CJ$4,1/$E$41,0),0)</f>
        <v>0</v>
      </c>
      <c r="CK54" s="34">
        <f>IF(SUM($I54:CJ54)&lt;1,IF($C54&lt;=CK$4,1/$E$41,0),0)</f>
        <v>0</v>
      </c>
      <c r="CL54" s="34">
        <f>IF(SUM($I54:CK54)&lt;1,IF($C54&lt;=CL$4,1/$E$41,0),0)</f>
        <v>0</v>
      </c>
      <c r="CM54" s="34">
        <f>IF(SUM($I54:CL54)&lt;1,IF($C54&lt;=CM$4,1/$E$41,0),0)</f>
        <v>0</v>
      </c>
      <c r="CN54" s="34">
        <f>IF(SUM($I54:CM54)&lt;1,IF($C54&lt;=CN$4,1/$E$41,0),0)</f>
        <v>0</v>
      </c>
      <c r="CO54" s="34">
        <f>IF(SUM($I54:CN54)&lt;1,IF($C54&lt;=CO$4,1/$E$41,0),0)</f>
        <v>0</v>
      </c>
      <c r="CP54" s="34">
        <f>IF(SUM($I54:CO54)&lt;1,IF($C54&lt;=CP$4,1/$E$41,0),0)</f>
        <v>0</v>
      </c>
      <c r="CQ54" s="34">
        <f>IF(SUM($I54:CP54)&lt;1,IF($C54&lt;=CQ$4,1/$E$41,0),0)</f>
        <v>0</v>
      </c>
      <c r="CR54" s="34">
        <f>IF(SUM($I54:CQ54)&lt;1,IF($C54&lt;=CR$4,1/$E$41,0),0)</f>
        <v>0</v>
      </c>
      <c r="CS54" s="34">
        <f>IF(SUM($I54:CR54)&lt;1,IF($C54&lt;=CS$4,1/$E$41,0),0)</f>
        <v>0</v>
      </c>
      <c r="CT54" s="34">
        <f>IF(SUM($I54:CS54)&lt;1,IF($C54&lt;=CT$4,1/$E$41,0),0)</f>
        <v>0</v>
      </c>
      <c r="CU54" s="34">
        <f>IF(SUM($I54:CT54)&lt;1,IF($C54&lt;=CU$4,1/$E$41,0),0)</f>
        <v>0</v>
      </c>
      <c r="CV54" s="34">
        <f>IF(SUM($I54:CU54)&lt;1,IF($C54&lt;=CV$4,1/$E$41,0),0)</f>
        <v>0</v>
      </c>
      <c r="CW54" s="34">
        <f>IF(SUM($I54:CV54)&lt;1,IF($C54&lt;=CW$4,1/$E$41,0),0)</f>
        <v>0</v>
      </c>
      <c r="CX54" s="34">
        <f>IF(SUM($I54:CW54)&lt;1,IF($C54&lt;=CX$4,1/$E$41,0),0)</f>
        <v>0</v>
      </c>
      <c r="CY54" s="34">
        <f>IF(SUM($I54:CX54)&lt;1,IF($C54&lt;=CY$4,1/$E$41,0),0)</f>
        <v>0</v>
      </c>
      <c r="CZ54" s="34">
        <f>IF(SUM($I54:CY54)&lt;1,IF($C54&lt;=CZ$4,1/$E$41,0),0)</f>
        <v>0</v>
      </c>
      <c r="DA54" s="34">
        <f>IF(SUM($I54:CZ54)&lt;1,IF($C54&lt;=DA$4,1/$E$41,0),0)</f>
        <v>0</v>
      </c>
      <c r="DB54" s="34">
        <f>IF(SUM($I54:DA54)&lt;1,IF($C54&lt;=DB$4,1/$E$41,0),0)</f>
        <v>0</v>
      </c>
      <c r="DC54" s="34">
        <f>IF(SUM($I54:DB54)&lt;1,IF($C54&lt;=DC$4,1/$E$41,0),0)</f>
        <v>0</v>
      </c>
      <c r="DD54" s="34">
        <f>IF(SUM($I54:DC54)&lt;1,IF($C54&lt;=DD$4,1/$E$41,0),0)</f>
        <v>0</v>
      </c>
      <c r="DE54" s="34">
        <f>IF(SUM($I54:DD54)&lt;1,IF($C54&lt;=DE$4,1/$E$41,0),0)</f>
        <v>0</v>
      </c>
      <c r="DF54" s="34">
        <f>IF(SUM($I54:DE54)&lt;1,IF($C54&lt;=DF$4,1/$E$41,0),0)</f>
        <v>0</v>
      </c>
      <c r="DG54" s="34">
        <f>IF(SUM($I54:DF54)&lt;1,IF($C54&lt;=DG$4,1/$E$41,0),0)</f>
        <v>0</v>
      </c>
      <c r="DH54" s="34">
        <f>IF(SUM($I54:DG54)&lt;1,IF($C54&lt;=DH$4,1/$E$41,0),0)</f>
        <v>0</v>
      </c>
      <c r="DI54" s="34">
        <f>IF(SUM($I54:DH54)&lt;1,IF($C54&lt;=DI$4,1/$E$41,0),0)</f>
        <v>0</v>
      </c>
      <c r="DJ54" s="34">
        <f>IF(SUM($I54:DI54)&lt;1,IF($C54&lt;=DJ$4,1/$E$41,0),0)</f>
        <v>0</v>
      </c>
      <c r="DK54" s="34">
        <f>IF(SUM($I54:DJ54)&lt;1,IF($C54&lt;=DK$4,1/$E$41,0),0)</f>
        <v>0</v>
      </c>
      <c r="DL54" s="34">
        <f>IF(SUM($I54:DK54)&lt;1,IF($C54&lt;=DL$4,1/$E$41,0),0)</f>
        <v>0</v>
      </c>
      <c r="DM54" s="34">
        <f>IF(SUM($I54:DL54)&lt;1,IF($C54&lt;=DM$4,1/$E$41,0),0)</f>
        <v>0</v>
      </c>
    </row>
    <row r="55" spans="3:117" outlineLevel="1" x14ac:dyDescent="0.15">
      <c r="C55" s="50">
        <f t="shared" si="48"/>
        <v>11</v>
      </c>
      <c r="D55" s="5" t="s">
        <v>18</v>
      </c>
      <c r="E55" s="19">
        <f t="shared" si="47"/>
        <v>0</v>
      </c>
      <c r="I55" s="9"/>
      <c r="J55" s="34">
        <f>IF(SUM($I55:I55)&lt;1,IF($C55&lt;=J$4,1/$E$41,0),0)</f>
        <v>0</v>
      </c>
      <c r="K55" s="34">
        <f>IF(SUM($I55:J55)&lt;1,IF($C55&lt;=K$4,1/$E$41,0),0)</f>
        <v>0</v>
      </c>
      <c r="L55" s="34">
        <f>IF(SUM($I55:K55)&lt;1,IF($C55&lt;=L$4,1/$E$41,0),0)</f>
        <v>0</v>
      </c>
      <c r="M55" s="34">
        <f>IF(SUM($I55:L55)&lt;1,IF($C55&lt;=M$4,1/$E$41,0),0)</f>
        <v>0</v>
      </c>
      <c r="N55" s="34">
        <f>IF(SUM($I55:M55)&lt;1,IF($C55&lt;=N$4,1/$E$41,0),0)</f>
        <v>0</v>
      </c>
      <c r="O55" s="34">
        <f>IF(SUM($I55:N55)&lt;1,IF($C55&lt;=O$4,1/$E$41,0),0)</f>
        <v>0</v>
      </c>
      <c r="P55" s="34">
        <f>IF(SUM($I55:O55)&lt;1,IF($C55&lt;=P$4,1/$E$41,0),0)</f>
        <v>0</v>
      </c>
      <c r="Q55" s="34">
        <f>IF(SUM($I55:P55)&lt;1,IF($C55&lt;=Q$4,1/$E$41,0),0)</f>
        <v>0</v>
      </c>
      <c r="R55" s="34">
        <f>IF(SUM($I55:Q55)&lt;1,IF($C55&lt;=R$4,1/$E$41,0),0)</f>
        <v>0</v>
      </c>
      <c r="S55" s="34">
        <f>IF(SUM($I55:R55)&lt;1,IF($C55&lt;=S$4,1/$E$41,0),0)</f>
        <v>0</v>
      </c>
      <c r="T55" s="34">
        <f>IF(SUM($I55:S55)&lt;1,IF($C55&lt;=T$4,1/$E$41,0),0)</f>
        <v>0.25</v>
      </c>
      <c r="U55" s="34">
        <f>IF(SUM($I55:T55)&lt;1,IF($C55&lt;=U$4,1/$E$41,0),0)</f>
        <v>0.25</v>
      </c>
      <c r="V55" s="34">
        <f>IF(SUM($I55:U55)&lt;1,IF($C55&lt;=V$4,1/$E$41,0),0)</f>
        <v>0.25</v>
      </c>
      <c r="W55" s="34">
        <f>IF(SUM($I55:V55)&lt;1,IF($C55&lt;=W$4,1/$E$41,0),0)</f>
        <v>0.25</v>
      </c>
      <c r="X55" s="34">
        <f>IF(SUM($I55:W55)&lt;1,IF($C55&lt;=X$4,1/$E$41,0),0)</f>
        <v>0</v>
      </c>
      <c r="Y55" s="34">
        <f>IF(SUM($I55:X55)&lt;1,IF($C55&lt;=Y$4,1/$E$41,0),0)</f>
        <v>0</v>
      </c>
      <c r="Z55" s="34">
        <f>IF(SUM($I55:Y55)&lt;1,IF($C55&lt;=Z$4,1/$E$41,0),0)</f>
        <v>0</v>
      </c>
      <c r="AA55" s="34">
        <f>IF(SUM($I55:Z55)&lt;1,IF($C55&lt;=AA$4,1/$E$41,0),0)</f>
        <v>0</v>
      </c>
      <c r="AB55" s="34">
        <f>IF(SUM($I55:AA55)&lt;1,IF($C55&lt;=AB$4,1/$E$41,0),0)</f>
        <v>0</v>
      </c>
      <c r="AC55" s="34">
        <f>IF(SUM($I55:AB55)&lt;1,IF($C55&lt;=AC$4,1/$E$41,0),0)</f>
        <v>0</v>
      </c>
      <c r="AD55" s="34">
        <f>IF(SUM($I55:AC55)&lt;1,IF($C55&lt;=AD$4,1/$E$41,0),0)</f>
        <v>0</v>
      </c>
      <c r="AE55" s="34">
        <f>IF(SUM($I55:AD55)&lt;1,IF($C55&lt;=AE$4,1/$E$41,0),0)</f>
        <v>0</v>
      </c>
      <c r="AF55" s="34">
        <f>IF(SUM($I55:AE55)&lt;1,IF($C55&lt;=AF$4,1/$E$41,0),0)</f>
        <v>0</v>
      </c>
      <c r="AG55" s="34">
        <f>IF(SUM($I55:AF55)&lt;1,IF($C55&lt;=AG$4,1/$E$41,0),0)</f>
        <v>0</v>
      </c>
      <c r="AH55" s="34">
        <f>IF(SUM($I55:AG55)&lt;1,IF($C55&lt;=AH$4,1/$E$41,0),0)</f>
        <v>0</v>
      </c>
      <c r="AI55" s="34">
        <f>IF(SUM($I55:AH55)&lt;1,IF($C55&lt;=AI$4,1/$E$41,0),0)</f>
        <v>0</v>
      </c>
      <c r="AJ55" s="34">
        <f>IF(SUM($I55:AI55)&lt;1,IF($C55&lt;=AJ$4,1/$E$41,0),0)</f>
        <v>0</v>
      </c>
      <c r="AK55" s="34">
        <f>IF(SUM($I55:AJ55)&lt;1,IF($C55&lt;=AK$4,1/$E$41,0),0)</f>
        <v>0</v>
      </c>
      <c r="AL55" s="34">
        <f>IF(SUM($I55:AK55)&lt;1,IF($C55&lt;=AL$4,1/$E$41,0),0)</f>
        <v>0</v>
      </c>
      <c r="AM55" s="34">
        <f>IF(SUM($I55:AL55)&lt;1,IF($C55&lt;=AM$4,1/$E$41,0),0)</f>
        <v>0</v>
      </c>
      <c r="AN55" s="34">
        <f>IF(SUM($I55:AM55)&lt;1,IF($C55&lt;=AN$4,1/$E$41,0),0)</f>
        <v>0</v>
      </c>
      <c r="AO55" s="34">
        <f>IF(SUM($I55:AN55)&lt;1,IF($C55&lt;=AO$4,1/$E$41,0),0)</f>
        <v>0</v>
      </c>
      <c r="AP55" s="34">
        <f>IF(SUM($I55:AO55)&lt;1,IF($C55&lt;=AP$4,1/$E$41,0),0)</f>
        <v>0</v>
      </c>
      <c r="AQ55" s="34">
        <f>IF(SUM($I55:AP55)&lt;1,IF($C55&lt;=AQ$4,1/$E$41,0),0)</f>
        <v>0</v>
      </c>
      <c r="AR55" s="34">
        <f>IF(SUM($I55:AQ55)&lt;1,IF($C55&lt;=AR$4,1/$E$41,0),0)</f>
        <v>0</v>
      </c>
      <c r="AS55" s="34">
        <f>IF(SUM($I55:AR55)&lt;1,IF($C55&lt;=AS$4,1/$E$41,0),0)</f>
        <v>0</v>
      </c>
      <c r="AT55" s="34">
        <f>IF(SUM($I55:AS55)&lt;1,IF($C55&lt;=AT$4,1/$E$41,0),0)</f>
        <v>0</v>
      </c>
      <c r="AU55" s="34">
        <f>IF(SUM($I55:AT55)&lt;1,IF($C55&lt;=AU$4,1/$E$41,0),0)</f>
        <v>0</v>
      </c>
      <c r="AV55" s="34">
        <f>IF(SUM($I55:AU55)&lt;1,IF($C55&lt;=AV$4,1/$E$41,0),0)</f>
        <v>0</v>
      </c>
      <c r="AW55" s="34">
        <f>IF(SUM($I55:AV55)&lt;1,IF($C55&lt;=AW$4,1/$E$41,0),0)</f>
        <v>0</v>
      </c>
      <c r="AX55" s="34">
        <f>IF(SUM($I55:AW55)&lt;1,IF($C55&lt;=AX$4,1/$E$41,0),0)</f>
        <v>0</v>
      </c>
      <c r="AY55" s="34">
        <f>IF(SUM($I55:AX55)&lt;1,IF($C55&lt;=AY$4,1/$E$41,0),0)</f>
        <v>0</v>
      </c>
      <c r="AZ55" s="34">
        <f>IF(SUM($I55:AY55)&lt;1,IF($C55&lt;=AZ$4,1/$E$41,0),0)</f>
        <v>0</v>
      </c>
      <c r="BA55" s="34">
        <f>IF(SUM($I55:AZ55)&lt;1,IF($C55&lt;=BA$4,1/$E$41,0),0)</f>
        <v>0</v>
      </c>
      <c r="BB55" s="34">
        <f>IF(SUM($I55:BA55)&lt;1,IF($C55&lt;=BB$4,1/$E$41,0),0)</f>
        <v>0</v>
      </c>
      <c r="BC55" s="34">
        <f>IF(SUM($I55:BB55)&lt;1,IF($C55&lt;=BC$4,1/$E$41,0),0)</f>
        <v>0</v>
      </c>
      <c r="BD55" s="34">
        <f>IF(SUM($I55:BC55)&lt;1,IF($C55&lt;=BD$4,1/$E$41,0),0)</f>
        <v>0</v>
      </c>
      <c r="BE55" s="34">
        <f>IF(SUM($I55:BD55)&lt;1,IF($C55&lt;=BE$4,1/$E$41,0),0)</f>
        <v>0</v>
      </c>
      <c r="BF55" s="34">
        <f>IF(SUM($I55:BE55)&lt;1,IF($C55&lt;=BF$4,1/$E$41,0),0)</f>
        <v>0</v>
      </c>
      <c r="BG55" s="34">
        <f>IF(SUM($I55:BF55)&lt;1,IF($C55&lt;=BG$4,1/$E$41,0),0)</f>
        <v>0</v>
      </c>
      <c r="BH55" s="34">
        <f>IF(SUM($I55:BG55)&lt;1,IF($C55&lt;=BH$4,1/$E$41,0),0)</f>
        <v>0</v>
      </c>
      <c r="BI55" s="34">
        <f>IF(SUM($I55:BH55)&lt;1,IF($C55&lt;=BI$4,1/$E$41,0),0)</f>
        <v>0</v>
      </c>
      <c r="BJ55" s="34">
        <f>IF(SUM($I55:BI55)&lt;1,IF($C55&lt;=BJ$4,1/$E$41,0),0)</f>
        <v>0</v>
      </c>
      <c r="BK55" s="34">
        <f>IF(SUM($I55:BJ55)&lt;1,IF($C55&lt;=BK$4,1/$E$41,0),0)</f>
        <v>0</v>
      </c>
      <c r="BL55" s="34">
        <f>IF(SUM($I55:BK55)&lt;1,IF($C55&lt;=BL$4,1/$E$41,0),0)</f>
        <v>0</v>
      </c>
      <c r="BM55" s="34">
        <f>IF(SUM($I55:BL55)&lt;1,IF($C55&lt;=BM$4,1/$E$41,0),0)</f>
        <v>0</v>
      </c>
      <c r="BN55" s="34">
        <f>IF(SUM($I55:BM55)&lt;1,IF($C55&lt;=BN$4,1/$E$41,0),0)</f>
        <v>0</v>
      </c>
      <c r="BO55" s="34">
        <f>IF(SUM($I55:BN55)&lt;1,IF($C55&lt;=BO$4,1/$E$41,0),0)</f>
        <v>0</v>
      </c>
      <c r="BP55" s="34">
        <f>IF(SUM($I55:BO55)&lt;1,IF($C55&lt;=BP$4,1/$E$41,0),0)</f>
        <v>0</v>
      </c>
      <c r="BQ55" s="34">
        <f>IF(SUM($I55:BP55)&lt;1,IF($C55&lt;=BQ$4,1/$E$41,0),0)</f>
        <v>0</v>
      </c>
      <c r="BR55" s="34">
        <f>IF(SUM($I55:BQ55)&lt;1,IF($C55&lt;=BR$4,1/$E$41,0),0)</f>
        <v>0</v>
      </c>
      <c r="BS55" s="34">
        <f>IF(SUM($I55:BR55)&lt;1,IF($C55&lt;=BS$4,1/$E$41,0),0)</f>
        <v>0</v>
      </c>
      <c r="BT55" s="34">
        <f>IF(SUM($I55:BS55)&lt;1,IF($C55&lt;=BT$4,1/$E$41,0),0)</f>
        <v>0</v>
      </c>
      <c r="BU55" s="34">
        <f>IF(SUM($I55:BT55)&lt;1,IF($C55&lt;=BU$4,1/$E$41,0),0)</f>
        <v>0</v>
      </c>
      <c r="BV55" s="34">
        <f>IF(SUM($I55:BU55)&lt;1,IF($C55&lt;=BV$4,1/$E$41,0),0)</f>
        <v>0</v>
      </c>
      <c r="BW55" s="34">
        <f>IF(SUM($I55:BV55)&lt;1,IF($C55&lt;=BW$4,1/$E$41,0),0)</f>
        <v>0</v>
      </c>
      <c r="BX55" s="34">
        <f>IF(SUM($I55:BW55)&lt;1,IF($C55&lt;=BX$4,1/$E$41,0),0)</f>
        <v>0</v>
      </c>
      <c r="BY55" s="34">
        <f>IF(SUM($I55:BX55)&lt;1,IF($C55&lt;=BY$4,1/$E$41,0),0)</f>
        <v>0</v>
      </c>
      <c r="BZ55" s="34">
        <f>IF(SUM($I55:BY55)&lt;1,IF($C55&lt;=BZ$4,1/$E$41,0),0)</f>
        <v>0</v>
      </c>
      <c r="CA55" s="34">
        <f>IF(SUM($I55:BZ55)&lt;1,IF($C55&lt;=CA$4,1/$E$41,0),0)</f>
        <v>0</v>
      </c>
      <c r="CB55" s="34">
        <f>IF(SUM($I55:CA55)&lt;1,IF($C55&lt;=CB$4,1/$E$41,0),0)</f>
        <v>0</v>
      </c>
      <c r="CC55" s="34">
        <f>IF(SUM($I55:CB55)&lt;1,IF($C55&lt;=CC$4,1/$E$41,0),0)</f>
        <v>0</v>
      </c>
      <c r="CD55" s="34">
        <f>IF(SUM($I55:CC55)&lt;1,IF($C55&lt;=CD$4,1/$E$41,0),0)</f>
        <v>0</v>
      </c>
      <c r="CE55" s="34">
        <f>IF(SUM($I55:CD55)&lt;1,IF($C55&lt;=CE$4,1/$E$41,0),0)</f>
        <v>0</v>
      </c>
      <c r="CF55" s="34">
        <f>IF(SUM($I55:CE55)&lt;1,IF($C55&lt;=CF$4,1/$E$41,0),0)</f>
        <v>0</v>
      </c>
      <c r="CG55" s="34">
        <f>IF(SUM($I55:CF55)&lt;1,IF($C55&lt;=CG$4,1/$E$41,0),0)</f>
        <v>0</v>
      </c>
      <c r="CH55" s="34">
        <f>IF(SUM($I55:CG55)&lt;1,IF($C55&lt;=CH$4,1/$E$41,0),0)</f>
        <v>0</v>
      </c>
      <c r="CI55" s="34">
        <f>IF(SUM($I55:CH55)&lt;1,IF($C55&lt;=CI$4,1/$E$41,0),0)</f>
        <v>0</v>
      </c>
      <c r="CJ55" s="34">
        <f>IF(SUM($I55:CI55)&lt;1,IF($C55&lt;=CJ$4,1/$E$41,0),0)</f>
        <v>0</v>
      </c>
      <c r="CK55" s="34">
        <f>IF(SUM($I55:CJ55)&lt;1,IF($C55&lt;=CK$4,1/$E$41,0),0)</f>
        <v>0</v>
      </c>
      <c r="CL55" s="34">
        <f>IF(SUM($I55:CK55)&lt;1,IF($C55&lt;=CL$4,1/$E$41,0),0)</f>
        <v>0</v>
      </c>
      <c r="CM55" s="34">
        <f>IF(SUM($I55:CL55)&lt;1,IF($C55&lt;=CM$4,1/$E$41,0),0)</f>
        <v>0</v>
      </c>
      <c r="CN55" s="34">
        <f>IF(SUM($I55:CM55)&lt;1,IF($C55&lt;=CN$4,1/$E$41,0),0)</f>
        <v>0</v>
      </c>
      <c r="CO55" s="34">
        <f>IF(SUM($I55:CN55)&lt;1,IF($C55&lt;=CO$4,1/$E$41,0),0)</f>
        <v>0</v>
      </c>
      <c r="CP55" s="34">
        <f>IF(SUM($I55:CO55)&lt;1,IF($C55&lt;=CP$4,1/$E$41,0),0)</f>
        <v>0</v>
      </c>
      <c r="CQ55" s="34">
        <f>IF(SUM($I55:CP55)&lt;1,IF($C55&lt;=CQ$4,1/$E$41,0),0)</f>
        <v>0</v>
      </c>
      <c r="CR55" s="34">
        <f>IF(SUM($I55:CQ55)&lt;1,IF($C55&lt;=CR$4,1/$E$41,0),0)</f>
        <v>0</v>
      </c>
      <c r="CS55" s="34">
        <f>IF(SUM($I55:CR55)&lt;1,IF($C55&lt;=CS$4,1/$E$41,0),0)</f>
        <v>0</v>
      </c>
      <c r="CT55" s="34">
        <f>IF(SUM($I55:CS55)&lt;1,IF($C55&lt;=CT$4,1/$E$41,0),0)</f>
        <v>0</v>
      </c>
      <c r="CU55" s="34">
        <f>IF(SUM($I55:CT55)&lt;1,IF($C55&lt;=CU$4,1/$E$41,0),0)</f>
        <v>0</v>
      </c>
      <c r="CV55" s="34">
        <f>IF(SUM($I55:CU55)&lt;1,IF($C55&lt;=CV$4,1/$E$41,0),0)</f>
        <v>0</v>
      </c>
      <c r="CW55" s="34">
        <f>IF(SUM($I55:CV55)&lt;1,IF($C55&lt;=CW$4,1/$E$41,0),0)</f>
        <v>0</v>
      </c>
      <c r="CX55" s="34">
        <f>IF(SUM($I55:CW55)&lt;1,IF($C55&lt;=CX$4,1/$E$41,0),0)</f>
        <v>0</v>
      </c>
      <c r="CY55" s="34">
        <f>IF(SUM($I55:CX55)&lt;1,IF($C55&lt;=CY$4,1/$E$41,0),0)</f>
        <v>0</v>
      </c>
      <c r="CZ55" s="34">
        <f>IF(SUM($I55:CY55)&lt;1,IF($C55&lt;=CZ$4,1/$E$41,0),0)</f>
        <v>0</v>
      </c>
      <c r="DA55" s="34">
        <f>IF(SUM($I55:CZ55)&lt;1,IF($C55&lt;=DA$4,1/$E$41,0),0)</f>
        <v>0</v>
      </c>
      <c r="DB55" s="34">
        <f>IF(SUM($I55:DA55)&lt;1,IF($C55&lt;=DB$4,1/$E$41,0),0)</f>
        <v>0</v>
      </c>
      <c r="DC55" s="34">
        <f>IF(SUM($I55:DB55)&lt;1,IF($C55&lt;=DC$4,1/$E$41,0),0)</f>
        <v>0</v>
      </c>
      <c r="DD55" s="34">
        <f>IF(SUM($I55:DC55)&lt;1,IF($C55&lt;=DD$4,1/$E$41,0),0)</f>
        <v>0</v>
      </c>
      <c r="DE55" s="34">
        <f>IF(SUM($I55:DD55)&lt;1,IF($C55&lt;=DE$4,1/$E$41,0),0)</f>
        <v>0</v>
      </c>
      <c r="DF55" s="34">
        <f>IF(SUM($I55:DE55)&lt;1,IF($C55&lt;=DF$4,1/$E$41,0),0)</f>
        <v>0</v>
      </c>
      <c r="DG55" s="34">
        <f>IF(SUM($I55:DF55)&lt;1,IF($C55&lt;=DG$4,1/$E$41,0),0)</f>
        <v>0</v>
      </c>
      <c r="DH55" s="34">
        <f>IF(SUM($I55:DG55)&lt;1,IF($C55&lt;=DH$4,1/$E$41,0),0)</f>
        <v>0</v>
      </c>
      <c r="DI55" s="34">
        <f>IF(SUM($I55:DH55)&lt;1,IF($C55&lt;=DI$4,1/$E$41,0),0)</f>
        <v>0</v>
      </c>
      <c r="DJ55" s="34">
        <f>IF(SUM($I55:DI55)&lt;1,IF($C55&lt;=DJ$4,1/$E$41,0),0)</f>
        <v>0</v>
      </c>
      <c r="DK55" s="34">
        <f>IF(SUM($I55:DJ55)&lt;1,IF($C55&lt;=DK$4,1/$E$41,0),0)</f>
        <v>0</v>
      </c>
      <c r="DL55" s="34">
        <f>IF(SUM($I55:DK55)&lt;1,IF($C55&lt;=DL$4,1/$E$41,0),0)</f>
        <v>0</v>
      </c>
      <c r="DM55" s="34">
        <f>IF(SUM($I55:DL55)&lt;1,IF($C55&lt;=DM$4,1/$E$41,0),0)</f>
        <v>0</v>
      </c>
    </row>
    <row r="56" spans="3:117" outlineLevel="1" x14ac:dyDescent="0.15">
      <c r="C56" s="50">
        <f t="shared" si="48"/>
        <v>12</v>
      </c>
      <c r="D56" s="5" t="s">
        <v>18</v>
      </c>
      <c r="E56" s="19">
        <f t="shared" si="47"/>
        <v>46000000</v>
      </c>
      <c r="I56" s="9"/>
      <c r="J56" s="34">
        <f>IF(SUM($I56:I56)&lt;1,IF($C56&lt;=J$4,1/$E$41,0),0)</f>
        <v>0</v>
      </c>
      <c r="K56" s="34">
        <f>IF(SUM($I56:J56)&lt;1,IF($C56&lt;=K$4,1/$E$41,0),0)</f>
        <v>0</v>
      </c>
      <c r="L56" s="34">
        <f>IF(SUM($I56:K56)&lt;1,IF($C56&lt;=L$4,1/$E$41,0),0)</f>
        <v>0</v>
      </c>
      <c r="M56" s="34">
        <f>IF(SUM($I56:L56)&lt;1,IF($C56&lt;=M$4,1/$E$41,0),0)</f>
        <v>0</v>
      </c>
      <c r="N56" s="34">
        <f>IF(SUM($I56:M56)&lt;1,IF($C56&lt;=N$4,1/$E$41,0),0)</f>
        <v>0</v>
      </c>
      <c r="O56" s="34">
        <f>IF(SUM($I56:N56)&lt;1,IF($C56&lt;=O$4,1/$E$41,0),0)</f>
        <v>0</v>
      </c>
      <c r="P56" s="34">
        <f>IF(SUM($I56:O56)&lt;1,IF($C56&lt;=P$4,1/$E$41,0),0)</f>
        <v>0</v>
      </c>
      <c r="Q56" s="34">
        <f>IF(SUM($I56:P56)&lt;1,IF($C56&lt;=Q$4,1/$E$41,0),0)</f>
        <v>0</v>
      </c>
      <c r="R56" s="34">
        <f>IF(SUM($I56:Q56)&lt;1,IF($C56&lt;=R$4,1/$E$41,0),0)</f>
        <v>0</v>
      </c>
      <c r="S56" s="34">
        <f>IF(SUM($I56:R56)&lt;1,IF($C56&lt;=S$4,1/$E$41,0),0)</f>
        <v>0</v>
      </c>
      <c r="T56" s="34">
        <f>IF(SUM($I56:S56)&lt;1,IF($C56&lt;=T$4,1/$E$41,0),0)</f>
        <v>0</v>
      </c>
      <c r="U56" s="34">
        <f>IF(SUM($I56:T56)&lt;1,IF($C56&lt;=U$4,1/$E$41,0),0)</f>
        <v>0.25</v>
      </c>
      <c r="V56" s="34">
        <f>IF(SUM($I56:U56)&lt;1,IF($C56&lt;=V$4,1/$E$41,0),0)</f>
        <v>0.25</v>
      </c>
      <c r="W56" s="34">
        <f>IF(SUM($I56:V56)&lt;1,IF($C56&lt;=W$4,1/$E$41,0),0)</f>
        <v>0.25</v>
      </c>
      <c r="X56" s="34">
        <f>IF(SUM($I56:W56)&lt;1,IF($C56&lt;=X$4,1/$E$41,0),0)</f>
        <v>0.25</v>
      </c>
      <c r="Y56" s="34">
        <f>IF(SUM($I56:X56)&lt;1,IF($C56&lt;=Y$4,1/$E$41,0),0)</f>
        <v>0</v>
      </c>
      <c r="Z56" s="34">
        <f>IF(SUM($I56:Y56)&lt;1,IF($C56&lt;=Z$4,1/$E$41,0),0)</f>
        <v>0</v>
      </c>
      <c r="AA56" s="34">
        <f>IF(SUM($I56:Z56)&lt;1,IF($C56&lt;=AA$4,1/$E$41,0),0)</f>
        <v>0</v>
      </c>
      <c r="AB56" s="34">
        <f>IF(SUM($I56:AA56)&lt;1,IF($C56&lt;=AB$4,1/$E$41,0),0)</f>
        <v>0</v>
      </c>
      <c r="AC56" s="34">
        <f>IF(SUM($I56:AB56)&lt;1,IF($C56&lt;=AC$4,1/$E$41,0),0)</f>
        <v>0</v>
      </c>
      <c r="AD56" s="34">
        <f>IF(SUM($I56:AC56)&lt;1,IF($C56&lt;=AD$4,1/$E$41,0),0)</f>
        <v>0</v>
      </c>
      <c r="AE56" s="34">
        <f>IF(SUM($I56:AD56)&lt;1,IF($C56&lt;=AE$4,1/$E$41,0),0)</f>
        <v>0</v>
      </c>
      <c r="AF56" s="34">
        <f>IF(SUM($I56:AE56)&lt;1,IF($C56&lt;=AF$4,1/$E$41,0),0)</f>
        <v>0</v>
      </c>
      <c r="AG56" s="34">
        <f>IF(SUM($I56:AF56)&lt;1,IF($C56&lt;=AG$4,1/$E$41,0),0)</f>
        <v>0</v>
      </c>
      <c r="AH56" s="34">
        <f>IF(SUM($I56:AG56)&lt;1,IF($C56&lt;=AH$4,1/$E$41,0),0)</f>
        <v>0</v>
      </c>
      <c r="AI56" s="34">
        <f>IF(SUM($I56:AH56)&lt;1,IF($C56&lt;=AI$4,1/$E$41,0),0)</f>
        <v>0</v>
      </c>
      <c r="AJ56" s="34">
        <f>IF(SUM($I56:AI56)&lt;1,IF($C56&lt;=AJ$4,1/$E$41,0),0)</f>
        <v>0</v>
      </c>
      <c r="AK56" s="34">
        <f>IF(SUM($I56:AJ56)&lt;1,IF($C56&lt;=AK$4,1/$E$41,0),0)</f>
        <v>0</v>
      </c>
      <c r="AL56" s="34">
        <f>IF(SUM($I56:AK56)&lt;1,IF($C56&lt;=AL$4,1/$E$41,0),0)</f>
        <v>0</v>
      </c>
      <c r="AM56" s="34">
        <f>IF(SUM($I56:AL56)&lt;1,IF($C56&lt;=AM$4,1/$E$41,0),0)</f>
        <v>0</v>
      </c>
      <c r="AN56" s="34">
        <f>IF(SUM($I56:AM56)&lt;1,IF($C56&lt;=AN$4,1/$E$41,0),0)</f>
        <v>0</v>
      </c>
      <c r="AO56" s="34">
        <f>IF(SUM($I56:AN56)&lt;1,IF($C56&lt;=AO$4,1/$E$41,0),0)</f>
        <v>0</v>
      </c>
      <c r="AP56" s="34">
        <f>IF(SUM($I56:AO56)&lt;1,IF($C56&lt;=AP$4,1/$E$41,0),0)</f>
        <v>0</v>
      </c>
      <c r="AQ56" s="34">
        <f>IF(SUM($I56:AP56)&lt;1,IF($C56&lt;=AQ$4,1/$E$41,0),0)</f>
        <v>0</v>
      </c>
      <c r="AR56" s="34">
        <f>IF(SUM($I56:AQ56)&lt;1,IF($C56&lt;=AR$4,1/$E$41,0),0)</f>
        <v>0</v>
      </c>
      <c r="AS56" s="34">
        <f>IF(SUM($I56:AR56)&lt;1,IF($C56&lt;=AS$4,1/$E$41,0),0)</f>
        <v>0</v>
      </c>
      <c r="AT56" s="34">
        <f>IF(SUM($I56:AS56)&lt;1,IF($C56&lt;=AT$4,1/$E$41,0),0)</f>
        <v>0</v>
      </c>
      <c r="AU56" s="34">
        <f>IF(SUM($I56:AT56)&lt;1,IF($C56&lt;=AU$4,1/$E$41,0),0)</f>
        <v>0</v>
      </c>
      <c r="AV56" s="34">
        <f>IF(SUM($I56:AU56)&lt;1,IF($C56&lt;=AV$4,1/$E$41,0),0)</f>
        <v>0</v>
      </c>
      <c r="AW56" s="34">
        <f>IF(SUM($I56:AV56)&lt;1,IF($C56&lt;=AW$4,1/$E$41,0),0)</f>
        <v>0</v>
      </c>
      <c r="AX56" s="34">
        <f>IF(SUM($I56:AW56)&lt;1,IF($C56&lt;=AX$4,1/$E$41,0),0)</f>
        <v>0</v>
      </c>
      <c r="AY56" s="34">
        <f>IF(SUM($I56:AX56)&lt;1,IF($C56&lt;=AY$4,1/$E$41,0),0)</f>
        <v>0</v>
      </c>
      <c r="AZ56" s="34">
        <f>IF(SUM($I56:AY56)&lt;1,IF($C56&lt;=AZ$4,1/$E$41,0),0)</f>
        <v>0</v>
      </c>
      <c r="BA56" s="34">
        <f>IF(SUM($I56:AZ56)&lt;1,IF($C56&lt;=BA$4,1/$E$41,0),0)</f>
        <v>0</v>
      </c>
      <c r="BB56" s="34">
        <f>IF(SUM($I56:BA56)&lt;1,IF($C56&lt;=BB$4,1/$E$41,0),0)</f>
        <v>0</v>
      </c>
      <c r="BC56" s="34">
        <f>IF(SUM($I56:BB56)&lt;1,IF($C56&lt;=BC$4,1/$E$41,0),0)</f>
        <v>0</v>
      </c>
      <c r="BD56" s="34">
        <f>IF(SUM($I56:BC56)&lt;1,IF($C56&lt;=BD$4,1/$E$41,0),0)</f>
        <v>0</v>
      </c>
      <c r="BE56" s="34">
        <f>IF(SUM($I56:BD56)&lt;1,IF($C56&lt;=BE$4,1/$E$41,0),0)</f>
        <v>0</v>
      </c>
      <c r="BF56" s="34">
        <f>IF(SUM($I56:BE56)&lt;1,IF($C56&lt;=BF$4,1/$E$41,0),0)</f>
        <v>0</v>
      </c>
      <c r="BG56" s="34">
        <f>IF(SUM($I56:BF56)&lt;1,IF($C56&lt;=BG$4,1/$E$41,0),0)</f>
        <v>0</v>
      </c>
      <c r="BH56" s="34">
        <f>IF(SUM($I56:BG56)&lt;1,IF($C56&lt;=BH$4,1/$E$41,0),0)</f>
        <v>0</v>
      </c>
      <c r="BI56" s="34">
        <f>IF(SUM($I56:BH56)&lt;1,IF($C56&lt;=BI$4,1/$E$41,0),0)</f>
        <v>0</v>
      </c>
      <c r="BJ56" s="34">
        <f>IF(SUM($I56:BI56)&lt;1,IF($C56&lt;=BJ$4,1/$E$41,0),0)</f>
        <v>0</v>
      </c>
      <c r="BK56" s="34">
        <f>IF(SUM($I56:BJ56)&lt;1,IF($C56&lt;=BK$4,1/$E$41,0),0)</f>
        <v>0</v>
      </c>
      <c r="BL56" s="34">
        <f>IF(SUM($I56:BK56)&lt;1,IF($C56&lt;=BL$4,1/$E$41,0),0)</f>
        <v>0</v>
      </c>
      <c r="BM56" s="34">
        <f>IF(SUM($I56:BL56)&lt;1,IF($C56&lt;=BM$4,1/$E$41,0),0)</f>
        <v>0</v>
      </c>
      <c r="BN56" s="34">
        <f>IF(SUM($I56:BM56)&lt;1,IF($C56&lt;=BN$4,1/$E$41,0),0)</f>
        <v>0</v>
      </c>
      <c r="BO56" s="34">
        <f>IF(SUM($I56:BN56)&lt;1,IF($C56&lt;=BO$4,1/$E$41,0),0)</f>
        <v>0</v>
      </c>
      <c r="BP56" s="34">
        <f>IF(SUM($I56:BO56)&lt;1,IF($C56&lt;=BP$4,1/$E$41,0),0)</f>
        <v>0</v>
      </c>
      <c r="BQ56" s="34">
        <f>IF(SUM($I56:BP56)&lt;1,IF($C56&lt;=BQ$4,1/$E$41,0),0)</f>
        <v>0</v>
      </c>
      <c r="BR56" s="34">
        <f>IF(SUM($I56:BQ56)&lt;1,IF($C56&lt;=BR$4,1/$E$41,0),0)</f>
        <v>0</v>
      </c>
      <c r="BS56" s="34">
        <f>IF(SUM($I56:BR56)&lt;1,IF($C56&lt;=BS$4,1/$E$41,0),0)</f>
        <v>0</v>
      </c>
      <c r="BT56" s="34">
        <f>IF(SUM($I56:BS56)&lt;1,IF($C56&lt;=BT$4,1/$E$41,0),0)</f>
        <v>0</v>
      </c>
      <c r="BU56" s="34">
        <f>IF(SUM($I56:BT56)&lt;1,IF($C56&lt;=BU$4,1/$E$41,0),0)</f>
        <v>0</v>
      </c>
      <c r="BV56" s="34">
        <f>IF(SUM($I56:BU56)&lt;1,IF($C56&lt;=BV$4,1/$E$41,0),0)</f>
        <v>0</v>
      </c>
      <c r="BW56" s="34">
        <f>IF(SUM($I56:BV56)&lt;1,IF($C56&lt;=BW$4,1/$E$41,0),0)</f>
        <v>0</v>
      </c>
      <c r="BX56" s="34">
        <f>IF(SUM($I56:BW56)&lt;1,IF($C56&lt;=BX$4,1/$E$41,0),0)</f>
        <v>0</v>
      </c>
      <c r="BY56" s="34">
        <f>IF(SUM($I56:BX56)&lt;1,IF($C56&lt;=BY$4,1/$E$41,0),0)</f>
        <v>0</v>
      </c>
      <c r="BZ56" s="34">
        <f>IF(SUM($I56:BY56)&lt;1,IF($C56&lt;=BZ$4,1/$E$41,0),0)</f>
        <v>0</v>
      </c>
      <c r="CA56" s="34">
        <f>IF(SUM($I56:BZ56)&lt;1,IF($C56&lt;=CA$4,1/$E$41,0),0)</f>
        <v>0</v>
      </c>
      <c r="CB56" s="34">
        <f>IF(SUM($I56:CA56)&lt;1,IF($C56&lt;=CB$4,1/$E$41,0),0)</f>
        <v>0</v>
      </c>
      <c r="CC56" s="34">
        <f>IF(SUM($I56:CB56)&lt;1,IF($C56&lt;=CC$4,1/$E$41,0),0)</f>
        <v>0</v>
      </c>
      <c r="CD56" s="34">
        <f>IF(SUM($I56:CC56)&lt;1,IF($C56&lt;=CD$4,1/$E$41,0),0)</f>
        <v>0</v>
      </c>
      <c r="CE56" s="34">
        <f>IF(SUM($I56:CD56)&lt;1,IF($C56&lt;=CE$4,1/$E$41,0),0)</f>
        <v>0</v>
      </c>
      <c r="CF56" s="34">
        <f>IF(SUM($I56:CE56)&lt;1,IF($C56&lt;=CF$4,1/$E$41,0),0)</f>
        <v>0</v>
      </c>
      <c r="CG56" s="34">
        <f>IF(SUM($I56:CF56)&lt;1,IF($C56&lt;=CG$4,1/$E$41,0),0)</f>
        <v>0</v>
      </c>
      <c r="CH56" s="34">
        <f>IF(SUM($I56:CG56)&lt;1,IF($C56&lt;=CH$4,1/$E$41,0),0)</f>
        <v>0</v>
      </c>
      <c r="CI56" s="34">
        <f>IF(SUM($I56:CH56)&lt;1,IF($C56&lt;=CI$4,1/$E$41,0),0)</f>
        <v>0</v>
      </c>
      <c r="CJ56" s="34">
        <f>IF(SUM($I56:CI56)&lt;1,IF($C56&lt;=CJ$4,1/$E$41,0),0)</f>
        <v>0</v>
      </c>
      <c r="CK56" s="34">
        <f>IF(SUM($I56:CJ56)&lt;1,IF($C56&lt;=CK$4,1/$E$41,0),0)</f>
        <v>0</v>
      </c>
      <c r="CL56" s="34">
        <f>IF(SUM($I56:CK56)&lt;1,IF($C56&lt;=CL$4,1/$E$41,0),0)</f>
        <v>0</v>
      </c>
      <c r="CM56" s="34">
        <f>IF(SUM($I56:CL56)&lt;1,IF($C56&lt;=CM$4,1/$E$41,0),0)</f>
        <v>0</v>
      </c>
      <c r="CN56" s="34">
        <f>IF(SUM($I56:CM56)&lt;1,IF($C56&lt;=CN$4,1/$E$41,0),0)</f>
        <v>0</v>
      </c>
      <c r="CO56" s="34">
        <f>IF(SUM($I56:CN56)&lt;1,IF($C56&lt;=CO$4,1/$E$41,0),0)</f>
        <v>0</v>
      </c>
      <c r="CP56" s="34">
        <f>IF(SUM($I56:CO56)&lt;1,IF($C56&lt;=CP$4,1/$E$41,0),0)</f>
        <v>0</v>
      </c>
      <c r="CQ56" s="34">
        <f>IF(SUM($I56:CP56)&lt;1,IF($C56&lt;=CQ$4,1/$E$41,0),0)</f>
        <v>0</v>
      </c>
      <c r="CR56" s="34">
        <f>IF(SUM($I56:CQ56)&lt;1,IF($C56&lt;=CR$4,1/$E$41,0),0)</f>
        <v>0</v>
      </c>
      <c r="CS56" s="34">
        <f>IF(SUM($I56:CR56)&lt;1,IF($C56&lt;=CS$4,1/$E$41,0),0)</f>
        <v>0</v>
      </c>
      <c r="CT56" s="34">
        <f>IF(SUM($I56:CS56)&lt;1,IF($C56&lt;=CT$4,1/$E$41,0),0)</f>
        <v>0</v>
      </c>
      <c r="CU56" s="34">
        <f>IF(SUM($I56:CT56)&lt;1,IF($C56&lt;=CU$4,1/$E$41,0),0)</f>
        <v>0</v>
      </c>
      <c r="CV56" s="34">
        <f>IF(SUM($I56:CU56)&lt;1,IF($C56&lt;=CV$4,1/$E$41,0),0)</f>
        <v>0</v>
      </c>
      <c r="CW56" s="34">
        <f>IF(SUM($I56:CV56)&lt;1,IF($C56&lt;=CW$4,1/$E$41,0),0)</f>
        <v>0</v>
      </c>
      <c r="CX56" s="34">
        <f>IF(SUM($I56:CW56)&lt;1,IF($C56&lt;=CX$4,1/$E$41,0),0)</f>
        <v>0</v>
      </c>
      <c r="CY56" s="34">
        <f>IF(SUM($I56:CX56)&lt;1,IF($C56&lt;=CY$4,1/$E$41,0),0)</f>
        <v>0</v>
      </c>
      <c r="CZ56" s="34">
        <f>IF(SUM($I56:CY56)&lt;1,IF($C56&lt;=CZ$4,1/$E$41,0),0)</f>
        <v>0</v>
      </c>
      <c r="DA56" s="34">
        <f>IF(SUM($I56:CZ56)&lt;1,IF($C56&lt;=DA$4,1/$E$41,0),0)</f>
        <v>0</v>
      </c>
      <c r="DB56" s="34">
        <f>IF(SUM($I56:DA56)&lt;1,IF($C56&lt;=DB$4,1/$E$41,0),0)</f>
        <v>0</v>
      </c>
      <c r="DC56" s="34">
        <f>IF(SUM($I56:DB56)&lt;1,IF($C56&lt;=DC$4,1/$E$41,0),0)</f>
        <v>0</v>
      </c>
      <c r="DD56" s="34">
        <f>IF(SUM($I56:DC56)&lt;1,IF($C56&lt;=DD$4,1/$E$41,0),0)</f>
        <v>0</v>
      </c>
      <c r="DE56" s="34">
        <f>IF(SUM($I56:DD56)&lt;1,IF($C56&lt;=DE$4,1/$E$41,0),0)</f>
        <v>0</v>
      </c>
      <c r="DF56" s="34">
        <f>IF(SUM($I56:DE56)&lt;1,IF($C56&lt;=DF$4,1/$E$41,0),0)</f>
        <v>0</v>
      </c>
      <c r="DG56" s="34">
        <f>IF(SUM($I56:DF56)&lt;1,IF($C56&lt;=DG$4,1/$E$41,0),0)</f>
        <v>0</v>
      </c>
      <c r="DH56" s="34">
        <f>IF(SUM($I56:DG56)&lt;1,IF($C56&lt;=DH$4,1/$E$41,0),0)</f>
        <v>0</v>
      </c>
      <c r="DI56" s="34">
        <f>IF(SUM($I56:DH56)&lt;1,IF($C56&lt;=DI$4,1/$E$41,0),0)</f>
        <v>0</v>
      </c>
      <c r="DJ56" s="34">
        <f>IF(SUM($I56:DI56)&lt;1,IF($C56&lt;=DJ$4,1/$E$41,0),0)</f>
        <v>0</v>
      </c>
      <c r="DK56" s="34">
        <f>IF(SUM($I56:DJ56)&lt;1,IF($C56&lt;=DK$4,1/$E$41,0),0)</f>
        <v>0</v>
      </c>
      <c r="DL56" s="34">
        <f>IF(SUM($I56:DK56)&lt;1,IF($C56&lt;=DL$4,1/$E$41,0),0)</f>
        <v>0</v>
      </c>
      <c r="DM56" s="34">
        <f>IF(SUM($I56:DL56)&lt;1,IF($C56&lt;=DM$4,1/$E$41,0),0)</f>
        <v>0</v>
      </c>
    </row>
    <row r="57" spans="3:117" outlineLevel="1" x14ac:dyDescent="0.15">
      <c r="C57" s="50">
        <f t="shared" si="48"/>
        <v>13</v>
      </c>
      <c r="D57" s="5" t="s">
        <v>18</v>
      </c>
      <c r="E57" s="19">
        <f t="shared" si="47"/>
        <v>0</v>
      </c>
      <c r="I57" s="9"/>
      <c r="J57" s="34">
        <f>IF(SUM($I57:I57)&lt;1,IF($C57&lt;=J$4,1/$E$41,0),0)</f>
        <v>0</v>
      </c>
      <c r="K57" s="34">
        <f>IF(SUM($I57:J57)&lt;1,IF($C57&lt;=K$4,1/$E$41,0),0)</f>
        <v>0</v>
      </c>
      <c r="L57" s="34">
        <f>IF(SUM($I57:K57)&lt;1,IF($C57&lt;=L$4,1/$E$41,0),0)</f>
        <v>0</v>
      </c>
      <c r="M57" s="34">
        <f>IF(SUM($I57:L57)&lt;1,IF($C57&lt;=M$4,1/$E$41,0),0)</f>
        <v>0</v>
      </c>
      <c r="N57" s="34">
        <f>IF(SUM($I57:M57)&lt;1,IF($C57&lt;=N$4,1/$E$41,0),0)</f>
        <v>0</v>
      </c>
      <c r="O57" s="34">
        <f>IF(SUM($I57:N57)&lt;1,IF($C57&lt;=O$4,1/$E$41,0),0)</f>
        <v>0</v>
      </c>
      <c r="P57" s="34">
        <f>IF(SUM($I57:O57)&lt;1,IF($C57&lt;=P$4,1/$E$41,0),0)</f>
        <v>0</v>
      </c>
      <c r="Q57" s="34">
        <f>IF(SUM($I57:P57)&lt;1,IF($C57&lt;=Q$4,1/$E$41,0),0)</f>
        <v>0</v>
      </c>
      <c r="R57" s="34">
        <f>IF(SUM($I57:Q57)&lt;1,IF($C57&lt;=R$4,1/$E$41,0),0)</f>
        <v>0</v>
      </c>
      <c r="S57" s="34">
        <f>IF(SUM($I57:R57)&lt;1,IF($C57&lt;=S$4,1/$E$41,0),0)</f>
        <v>0</v>
      </c>
      <c r="T57" s="34">
        <f>IF(SUM($I57:S57)&lt;1,IF($C57&lt;=T$4,1/$E$41,0),0)</f>
        <v>0</v>
      </c>
      <c r="U57" s="34">
        <f>IF(SUM($I57:T57)&lt;1,IF($C57&lt;=U$4,1/$E$41,0),0)</f>
        <v>0</v>
      </c>
      <c r="V57" s="34">
        <f>IF(SUM($I57:U57)&lt;1,IF($C57&lt;=V$4,1/$E$41,0),0)</f>
        <v>0.25</v>
      </c>
      <c r="W57" s="34">
        <f>IF(SUM($I57:V57)&lt;1,IF($C57&lt;=W$4,1/$E$41,0),0)</f>
        <v>0.25</v>
      </c>
      <c r="X57" s="34">
        <f>IF(SUM($I57:W57)&lt;1,IF($C57&lt;=X$4,1/$E$41,0),0)</f>
        <v>0.25</v>
      </c>
      <c r="Y57" s="34">
        <f>IF(SUM($I57:X57)&lt;1,IF($C57&lt;=Y$4,1/$E$41,0),0)</f>
        <v>0.25</v>
      </c>
      <c r="Z57" s="34">
        <f>IF(SUM($I57:Y57)&lt;1,IF($C57&lt;=Z$4,1/$E$41,0),0)</f>
        <v>0</v>
      </c>
      <c r="AA57" s="34">
        <f>IF(SUM($I57:Z57)&lt;1,IF($C57&lt;=AA$4,1/$E$41,0),0)</f>
        <v>0</v>
      </c>
      <c r="AB57" s="34">
        <f>IF(SUM($I57:AA57)&lt;1,IF($C57&lt;=AB$4,1/$E$41,0),0)</f>
        <v>0</v>
      </c>
      <c r="AC57" s="34">
        <f>IF(SUM($I57:AB57)&lt;1,IF($C57&lt;=AC$4,1/$E$41,0),0)</f>
        <v>0</v>
      </c>
      <c r="AD57" s="34">
        <f>IF(SUM($I57:AC57)&lt;1,IF($C57&lt;=AD$4,1/$E$41,0),0)</f>
        <v>0</v>
      </c>
      <c r="AE57" s="34">
        <f>IF(SUM($I57:AD57)&lt;1,IF($C57&lt;=AE$4,1/$E$41,0),0)</f>
        <v>0</v>
      </c>
      <c r="AF57" s="34">
        <f>IF(SUM($I57:AE57)&lt;1,IF($C57&lt;=AF$4,1/$E$41,0),0)</f>
        <v>0</v>
      </c>
      <c r="AG57" s="34">
        <f>IF(SUM($I57:AF57)&lt;1,IF($C57&lt;=AG$4,1/$E$41,0),0)</f>
        <v>0</v>
      </c>
      <c r="AH57" s="34">
        <f>IF(SUM($I57:AG57)&lt;1,IF($C57&lt;=AH$4,1/$E$41,0),0)</f>
        <v>0</v>
      </c>
      <c r="AI57" s="34">
        <f>IF(SUM($I57:AH57)&lt;1,IF($C57&lt;=AI$4,1/$E$41,0),0)</f>
        <v>0</v>
      </c>
      <c r="AJ57" s="34">
        <f>IF(SUM($I57:AI57)&lt;1,IF($C57&lt;=AJ$4,1/$E$41,0),0)</f>
        <v>0</v>
      </c>
      <c r="AK57" s="34">
        <f>IF(SUM($I57:AJ57)&lt;1,IF($C57&lt;=AK$4,1/$E$41,0),0)</f>
        <v>0</v>
      </c>
      <c r="AL57" s="34">
        <f>IF(SUM($I57:AK57)&lt;1,IF($C57&lt;=AL$4,1/$E$41,0),0)</f>
        <v>0</v>
      </c>
      <c r="AM57" s="34">
        <f>IF(SUM($I57:AL57)&lt;1,IF($C57&lt;=AM$4,1/$E$41,0),0)</f>
        <v>0</v>
      </c>
      <c r="AN57" s="34">
        <f>IF(SUM($I57:AM57)&lt;1,IF($C57&lt;=AN$4,1/$E$41,0),0)</f>
        <v>0</v>
      </c>
      <c r="AO57" s="34">
        <f>IF(SUM($I57:AN57)&lt;1,IF($C57&lt;=AO$4,1/$E$41,0),0)</f>
        <v>0</v>
      </c>
      <c r="AP57" s="34">
        <f>IF(SUM($I57:AO57)&lt;1,IF($C57&lt;=AP$4,1/$E$41,0),0)</f>
        <v>0</v>
      </c>
      <c r="AQ57" s="34">
        <f>IF(SUM($I57:AP57)&lt;1,IF($C57&lt;=AQ$4,1/$E$41,0),0)</f>
        <v>0</v>
      </c>
      <c r="AR57" s="34">
        <f>IF(SUM($I57:AQ57)&lt;1,IF($C57&lt;=AR$4,1/$E$41,0),0)</f>
        <v>0</v>
      </c>
      <c r="AS57" s="34">
        <f>IF(SUM($I57:AR57)&lt;1,IF($C57&lt;=AS$4,1/$E$41,0),0)</f>
        <v>0</v>
      </c>
      <c r="AT57" s="34">
        <f>IF(SUM($I57:AS57)&lt;1,IF($C57&lt;=AT$4,1/$E$41,0),0)</f>
        <v>0</v>
      </c>
      <c r="AU57" s="34">
        <f>IF(SUM($I57:AT57)&lt;1,IF($C57&lt;=AU$4,1/$E$41,0),0)</f>
        <v>0</v>
      </c>
      <c r="AV57" s="34">
        <f>IF(SUM($I57:AU57)&lt;1,IF($C57&lt;=AV$4,1/$E$41,0),0)</f>
        <v>0</v>
      </c>
      <c r="AW57" s="34">
        <f>IF(SUM($I57:AV57)&lt;1,IF($C57&lt;=AW$4,1/$E$41,0),0)</f>
        <v>0</v>
      </c>
      <c r="AX57" s="34">
        <f>IF(SUM($I57:AW57)&lt;1,IF($C57&lt;=AX$4,1/$E$41,0),0)</f>
        <v>0</v>
      </c>
      <c r="AY57" s="34">
        <f>IF(SUM($I57:AX57)&lt;1,IF($C57&lt;=AY$4,1/$E$41,0),0)</f>
        <v>0</v>
      </c>
      <c r="AZ57" s="34">
        <f>IF(SUM($I57:AY57)&lt;1,IF($C57&lt;=AZ$4,1/$E$41,0),0)</f>
        <v>0</v>
      </c>
      <c r="BA57" s="34">
        <f>IF(SUM($I57:AZ57)&lt;1,IF($C57&lt;=BA$4,1/$E$41,0),0)</f>
        <v>0</v>
      </c>
      <c r="BB57" s="34">
        <f>IF(SUM($I57:BA57)&lt;1,IF($C57&lt;=BB$4,1/$E$41,0),0)</f>
        <v>0</v>
      </c>
      <c r="BC57" s="34">
        <f>IF(SUM($I57:BB57)&lt;1,IF($C57&lt;=BC$4,1/$E$41,0),0)</f>
        <v>0</v>
      </c>
      <c r="BD57" s="34">
        <f>IF(SUM($I57:BC57)&lt;1,IF($C57&lt;=BD$4,1/$E$41,0),0)</f>
        <v>0</v>
      </c>
      <c r="BE57" s="34">
        <f>IF(SUM($I57:BD57)&lt;1,IF($C57&lt;=BE$4,1/$E$41,0),0)</f>
        <v>0</v>
      </c>
      <c r="BF57" s="34">
        <f>IF(SUM($I57:BE57)&lt;1,IF($C57&lt;=BF$4,1/$E$41,0),0)</f>
        <v>0</v>
      </c>
      <c r="BG57" s="34">
        <f>IF(SUM($I57:BF57)&lt;1,IF($C57&lt;=BG$4,1/$E$41,0),0)</f>
        <v>0</v>
      </c>
      <c r="BH57" s="34">
        <f>IF(SUM($I57:BG57)&lt;1,IF($C57&lt;=BH$4,1/$E$41,0),0)</f>
        <v>0</v>
      </c>
      <c r="BI57" s="34">
        <f>IF(SUM($I57:BH57)&lt;1,IF($C57&lt;=BI$4,1/$E$41,0),0)</f>
        <v>0</v>
      </c>
      <c r="BJ57" s="34">
        <f>IF(SUM($I57:BI57)&lt;1,IF($C57&lt;=BJ$4,1/$E$41,0),0)</f>
        <v>0</v>
      </c>
      <c r="BK57" s="34">
        <f>IF(SUM($I57:BJ57)&lt;1,IF($C57&lt;=BK$4,1/$E$41,0),0)</f>
        <v>0</v>
      </c>
      <c r="BL57" s="34">
        <f>IF(SUM($I57:BK57)&lt;1,IF($C57&lt;=BL$4,1/$E$41,0),0)</f>
        <v>0</v>
      </c>
      <c r="BM57" s="34">
        <f>IF(SUM($I57:BL57)&lt;1,IF($C57&lt;=BM$4,1/$E$41,0),0)</f>
        <v>0</v>
      </c>
      <c r="BN57" s="34">
        <f>IF(SUM($I57:BM57)&lt;1,IF($C57&lt;=BN$4,1/$E$41,0),0)</f>
        <v>0</v>
      </c>
      <c r="BO57" s="34">
        <f>IF(SUM($I57:BN57)&lt;1,IF($C57&lt;=BO$4,1/$E$41,0),0)</f>
        <v>0</v>
      </c>
      <c r="BP57" s="34">
        <f>IF(SUM($I57:BO57)&lt;1,IF($C57&lt;=BP$4,1/$E$41,0),0)</f>
        <v>0</v>
      </c>
      <c r="BQ57" s="34">
        <f>IF(SUM($I57:BP57)&lt;1,IF($C57&lt;=BQ$4,1/$E$41,0),0)</f>
        <v>0</v>
      </c>
      <c r="BR57" s="34">
        <f>IF(SUM($I57:BQ57)&lt;1,IF($C57&lt;=BR$4,1/$E$41,0),0)</f>
        <v>0</v>
      </c>
      <c r="BS57" s="34">
        <f>IF(SUM($I57:BR57)&lt;1,IF($C57&lt;=BS$4,1/$E$41,0),0)</f>
        <v>0</v>
      </c>
      <c r="BT57" s="34">
        <f>IF(SUM($I57:BS57)&lt;1,IF($C57&lt;=BT$4,1/$E$41,0),0)</f>
        <v>0</v>
      </c>
      <c r="BU57" s="34">
        <f>IF(SUM($I57:BT57)&lt;1,IF($C57&lt;=BU$4,1/$E$41,0),0)</f>
        <v>0</v>
      </c>
      <c r="BV57" s="34">
        <f>IF(SUM($I57:BU57)&lt;1,IF($C57&lt;=BV$4,1/$E$41,0),0)</f>
        <v>0</v>
      </c>
      <c r="BW57" s="34">
        <f>IF(SUM($I57:BV57)&lt;1,IF($C57&lt;=BW$4,1/$E$41,0),0)</f>
        <v>0</v>
      </c>
      <c r="BX57" s="34">
        <f>IF(SUM($I57:BW57)&lt;1,IF($C57&lt;=BX$4,1/$E$41,0),0)</f>
        <v>0</v>
      </c>
      <c r="BY57" s="34">
        <f>IF(SUM($I57:BX57)&lt;1,IF($C57&lt;=BY$4,1/$E$41,0),0)</f>
        <v>0</v>
      </c>
      <c r="BZ57" s="34">
        <f>IF(SUM($I57:BY57)&lt;1,IF($C57&lt;=BZ$4,1/$E$41,0),0)</f>
        <v>0</v>
      </c>
      <c r="CA57" s="34">
        <f>IF(SUM($I57:BZ57)&lt;1,IF($C57&lt;=CA$4,1/$E$41,0),0)</f>
        <v>0</v>
      </c>
      <c r="CB57" s="34">
        <f>IF(SUM($I57:CA57)&lt;1,IF($C57&lt;=CB$4,1/$E$41,0),0)</f>
        <v>0</v>
      </c>
      <c r="CC57" s="34">
        <f>IF(SUM($I57:CB57)&lt;1,IF($C57&lt;=CC$4,1/$E$41,0),0)</f>
        <v>0</v>
      </c>
      <c r="CD57" s="34">
        <f>IF(SUM($I57:CC57)&lt;1,IF($C57&lt;=CD$4,1/$E$41,0),0)</f>
        <v>0</v>
      </c>
      <c r="CE57" s="34">
        <f>IF(SUM($I57:CD57)&lt;1,IF($C57&lt;=CE$4,1/$E$41,0),0)</f>
        <v>0</v>
      </c>
      <c r="CF57" s="34">
        <f>IF(SUM($I57:CE57)&lt;1,IF($C57&lt;=CF$4,1/$E$41,0),0)</f>
        <v>0</v>
      </c>
      <c r="CG57" s="34">
        <f>IF(SUM($I57:CF57)&lt;1,IF($C57&lt;=CG$4,1/$E$41,0),0)</f>
        <v>0</v>
      </c>
      <c r="CH57" s="34">
        <f>IF(SUM($I57:CG57)&lt;1,IF($C57&lt;=CH$4,1/$E$41,0),0)</f>
        <v>0</v>
      </c>
      <c r="CI57" s="34">
        <f>IF(SUM($I57:CH57)&lt;1,IF($C57&lt;=CI$4,1/$E$41,0),0)</f>
        <v>0</v>
      </c>
      <c r="CJ57" s="34">
        <f>IF(SUM($I57:CI57)&lt;1,IF($C57&lt;=CJ$4,1/$E$41,0),0)</f>
        <v>0</v>
      </c>
      <c r="CK57" s="34">
        <f>IF(SUM($I57:CJ57)&lt;1,IF($C57&lt;=CK$4,1/$E$41,0),0)</f>
        <v>0</v>
      </c>
      <c r="CL57" s="34">
        <f>IF(SUM($I57:CK57)&lt;1,IF($C57&lt;=CL$4,1/$E$41,0),0)</f>
        <v>0</v>
      </c>
      <c r="CM57" s="34">
        <f>IF(SUM($I57:CL57)&lt;1,IF($C57&lt;=CM$4,1/$E$41,0),0)</f>
        <v>0</v>
      </c>
      <c r="CN57" s="34">
        <f>IF(SUM($I57:CM57)&lt;1,IF($C57&lt;=CN$4,1/$E$41,0),0)</f>
        <v>0</v>
      </c>
      <c r="CO57" s="34">
        <f>IF(SUM($I57:CN57)&lt;1,IF($C57&lt;=CO$4,1/$E$41,0),0)</f>
        <v>0</v>
      </c>
      <c r="CP57" s="34">
        <f>IF(SUM($I57:CO57)&lt;1,IF($C57&lt;=CP$4,1/$E$41,0),0)</f>
        <v>0</v>
      </c>
      <c r="CQ57" s="34">
        <f>IF(SUM($I57:CP57)&lt;1,IF($C57&lt;=CQ$4,1/$E$41,0),0)</f>
        <v>0</v>
      </c>
      <c r="CR57" s="34">
        <f>IF(SUM($I57:CQ57)&lt;1,IF($C57&lt;=CR$4,1/$E$41,0),0)</f>
        <v>0</v>
      </c>
      <c r="CS57" s="34">
        <f>IF(SUM($I57:CR57)&lt;1,IF($C57&lt;=CS$4,1/$E$41,0),0)</f>
        <v>0</v>
      </c>
      <c r="CT57" s="34">
        <f>IF(SUM($I57:CS57)&lt;1,IF($C57&lt;=CT$4,1/$E$41,0),0)</f>
        <v>0</v>
      </c>
      <c r="CU57" s="34">
        <f>IF(SUM($I57:CT57)&lt;1,IF($C57&lt;=CU$4,1/$E$41,0),0)</f>
        <v>0</v>
      </c>
      <c r="CV57" s="34">
        <f>IF(SUM($I57:CU57)&lt;1,IF($C57&lt;=CV$4,1/$E$41,0),0)</f>
        <v>0</v>
      </c>
      <c r="CW57" s="34">
        <f>IF(SUM($I57:CV57)&lt;1,IF($C57&lt;=CW$4,1/$E$41,0),0)</f>
        <v>0</v>
      </c>
      <c r="CX57" s="34">
        <f>IF(SUM($I57:CW57)&lt;1,IF($C57&lt;=CX$4,1/$E$41,0),0)</f>
        <v>0</v>
      </c>
      <c r="CY57" s="34">
        <f>IF(SUM($I57:CX57)&lt;1,IF($C57&lt;=CY$4,1/$E$41,0),0)</f>
        <v>0</v>
      </c>
      <c r="CZ57" s="34">
        <f>IF(SUM($I57:CY57)&lt;1,IF($C57&lt;=CZ$4,1/$E$41,0),0)</f>
        <v>0</v>
      </c>
      <c r="DA57" s="34">
        <f>IF(SUM($I57:CZ57)&lt;1,IF($C57&lt;=DA$4,1/$E$41,0),0)</f>
        <v>0</v>
      </c>
      <c r="DB57" s="34">
        <f>IF(SUM($I57:DA57)&lt;1,IF($C57&lt;=DB$4,1/$E$41,0),0)</f>
        <v>0</v>
      </c>
      <c r="DC57" s="34">
        <f>IF(SUM($I57:DB57)&lt;1,IF($C57&lt;=DC$4,1/$E$41,0),0)</f>
        <v>0</v>
      </c>
      <c r="DD57" s="34">
        <f>IF(SUM($I57:DC57)&lt;1,IF($C57&lt;=DD$4,1/$E$41,0),0)</f>
        <v>0</v>
      </c>
      <c r="DE57" s="34">
        <f>IF(SUM($I57:DD57)&lt;1,IF($C57&lt;=DE$4,1/$E$41,0),0)</f>
        <v>0</v>
      </c>
      <c r="DF57" s="34">
        <f>IF(SUM($I57:DE57)&lt;1,IF($C57&lt;=DF$4,1/$E$41,0),0)</f>
        <v>0</v>
      </c>
      <c r="DG57" s="34">
        <f>IF(SUM($I57:DF57)&lt;1,IF($C57&lt;=DG$4,1/$E$41,0),0)</f>
        <v>0</v>
      </c>
      <c r="DH57" s="34">
        <f>IF(SUM($I57:DG57)&lt;1,IF($C57&lt;=DH$4,1/$E$41,0),0)</f>
        <v>0</v>
      </c>
      <c r="DI57" s="34">
        <f>IF(SUM($I57:DH57)&lt;1,IF($C57&lt;=DI$4,1/$E$41,0),0)</f>
        <v>0</v>
      </c>
      <c r="DJ57" s="34">
        <f>IF(SUM($I57:DI57)&lt;1,IF($C57&lt;=DJ$4,1/$E$41,0),0)</f>
        <v>0</v>
      </c>
      <c r="DK57" s="34">
        <f>IF(SUM($I57:DJ57)&lt;1,IF($C57&lt;=DK$4,1/$E$41,0),0)</f>
        <v>0</v>
      </c>
      <c r="DL57" s="34">
        <f>IF(SUM($I57:DK57)&lt;1,IF($C57&lt;=DL$4,1/$E$41,0),0)</f>
        <v>0</v>
      </c>
      <c r="DM57" s="34">
        <f>IF(SUM($I57:DL57)&lt;1,IF($C57&lt;=DM$4,1/$E$41,0),0)</f>
        <v>0</v>
      </c>
    </row>
    <row r="58" spans="3:117" outlineLevel="1" x14ac:dyDescent="0.15">
      <c r="C58" s="50">
        <f t="shared" si="48"/>
        <v>14</v>
      </c>
      <c r="D58" s="5" t="s">
        <v>18</v>
      </c>
      <c r="E58" s="19">
        <f t="shared" si="47"/>
        <v>0</v>
      </c>
      <c r="I58" s="9"/>
      <c r="J58" s="34">
        <f>IF(SUM($I58:I58)&lt;1,IF($C58&lt;=J$4,1/$E$41,0),0)</f>
        <v>0</v>
      </c>
      <c r="K58" s="34">
        <f>IF(SUM($I58:J58)&lt;1,IF($C58&lt;=K$4,1/$E$41,0),0)</f>
        <v>0</v>
      </c>
      <c r="L58" s="34">
        <f>IF(SUM($I58:K58)&lt;1,IF($C58&lt;=L$4,1/$E$41,0),0)</f>
        <v>0</v>
      </c>
      <c r="M58" s="34">
        <f>IF(SUM($I58:L58)&lt;1,IF($C58&lt;=M$4,1/$E$41,0),0)</f>
        <v>0</v>
      </c>
      <c r="N58" s="34">
        <f>IF(SUM($I58:M58)&lt;1,IF($C58&lt;=N$4,1/$E$41,0),0)</f>
        <v>0</v>
      </c>
      <c r="O58" s="34">
        <f>IF(SUM($I58:N58)&lt;1,IF($C58&lt;=O$4,1/$E$41,0),0)</f>
        <v>0</v>
      </c>
      <c r="P58" s="34">
        <f>IF(SUM($I58:O58)&lt;1,IF($C58&lt;=P$4,1/$E$41,0),0)</f>
        <v>0</v>
      </c>
      <c r="Q58" s="34">
        <f>IF(SUM($I58:P58)&lt;1,IF($C58&lt;=Q$4,1/$E$41,0),0)</f>
        <v>0</v>
      </c>
      <c r="R58" s="34">
        <f>IF(SUM($I58:Q58)&lt;1,IF($C58&lt;=R$4,1/$E$41,0),0)</f>
        <v>0</v>
      </c>
      <c r="S58" s="34">
        <f>IF(SUM($I58:R58)&lt;1,IF($C58&lt;=S$4,1/$E$41,0),0)</f>
        <v>0</v>
      </c>
      <c r="T58" s="34">
        <f>IF(SUM($I58:S58)&lt;1,IF($C58&lt;=T$4,1/$E$41,0),0)</f>
        <v>0</v>
      </c>
      <c r="U58" s="34">
        <f>IF(SUM($I58:T58)&lt;1,IF($C58&lt;=U$4,1/$E$41,0),0)</f>
        <v>0</v>
      </c>
      <c r="V58" s="34">
        <f>IF(SUM($I58:U58)&lt;1,IF($C58&lt;=V$4,1/$E$41,0),0)</f>
        <v>0</v>
      </c>
      <c r="W58" s="34">
        <f>IF(SUM($I58:V58)&lt;1,IF($C58&lt;=W$4,1/$E$41,0),0)</f>
        <v>0.25</v>
      </c>
      <c r="X58" s="34">
        <f>IF(SUM($I58:W58)&lt;1,IF($C58&lt;=X$4,1/$E$41,0),0)</f>
        <v>0.25</v>
      </c>
      <c r="Y58" s="34">
        <f>IF(SUM($I58:X58)&lt;1,IF($C58&lt;=Y$4,1/$E$41,0),0)</f>
        <v>0.25</v>
      </c>
      <c r="Z58" s="34">
        <f>IF(SUM($I58:Y58)&lt;1,IF($C58&lt;=Z$4,1/$E$41,0),0)</f>
        <v>0.25</v>
      </c>
      <c r="AA58" s="34">
        <f>IF(SUM($I58:Z58)&lt;1,IF($C58&lt;=AA$4,1/$E$41,0),0)</f>
        <v>0</v>
      </c>
      <c r="AB58" s="34">
        <f>IF(SUM($I58:AA58)&lt;1,IF($C58&lt;=AB$4,1/$E$41,0),0)</f>
        <v>0</v>
      </c>
      <c r="AC58" s="34">
        <f>IF(SUM($I58:AB58)&lt;1,IF($C58&lt;=AC$4,1/$E$41,0),0)</f>
        <v>0</v>
      </c>
      <c r="AD58" s="34">
        <f>IF(SUM($I58:AC58)&lt;1,IF($C58&lt;=AD$4,1/$E$41,0),0)</f>
        <v>0</v>
      </c>
      <c r="AE58" s="34">
        <f>IF(SUM($I58:AD58)&lt;1,IF($C58&lt;=AE$4,1/$E$41,0),0)</f>
        <v>0</v>
      </c>
      <c r="AF58" s="34">
        <f>IF(SUM($I58:AE58)&lt;1,IF($C58&lt;=AF$4,1/$E$41,0),0)</f>
        <v>0</v>
      </c>
      <c r="AG58" s="34">
        <f>IF(SUM($I58:AF58)&lt;1,IF($C58&lt;=AG$4,1/$E$41,0),0)</f>
        <v>0</v>
      </c>
      <c r="AH58" s="34">
        <f>IF(SUM($I58:AG58)&lt;1,IF($C58&lt;=AH$4,1/$E$41,0),0)</f>
        <v>0</v>
      </c>
      <c r="AI58" s="34">
        <f>IF(SUM($I58:AH58)&lt;1,IF($C58&lt;=AI$4,1/$E$41,0),0)</f>
        <v>0</v>
      </c>
      <c r="AJ58" s="34">
        <f>IF(SUM($I58:AI58)&lt;1,IF($C58&lt;=AJ$4,1/$E$41,0),0)</f>
        <v>0</v>
      </c>
      <c r="AK58" s="34">
        <f>IF(SUM($I58:AJ58)&lt;1,IF($C58&lt;=AK$4,1/$E$41,0),0)</f>
        <v>0</v>
      </c>
      <c r="AL58" s="34">
        <f>IF(SUM($I58:AK58)&lt;1,IF($C58&lt;=AL$4,1/$E$41,0),0)</f>
        <v>0</v>
      </c>
      <c r="AM58" s="34">
        <f>IF(SUM($I58:AL58)&lt;1,IF($C58&lt;=AM$4,1/$E$41,0),0)</f>
        <v>0</v>
      </c>
      <c r="AN58" s="34">
        <f>IF(SUM($I58:AM58)&lt;1,IF($C58&lt;=AN$4,1/$E$41,0),0)</f>
        <v>0</v>
      </c>
      <c r="AO58" s="34">
        <f>IF(SUM($I58:AN58)&lt;1,IF($C58&lt;=AO$4,1/$E$41,0),0)</f>
        <v>0</v>
      </c>
      <c r="AP58" s="34">
        <f>IF(SUM($I58:AO58)&lt;1,IF($C58&lt;=AP$4,1/$E$41,0),0)</f>
        <v>0</v>
      </c>
      <c r="AQ58" s="34">
        <f>IF(SUM($I58:AP58)&lt;1,IF($C58&lt;=AQ$4,1/$E$41,0),0)</f>
        <v>0</v>
      </c>
      <c r="AR58" s="34">
        <f>IF(SUM($I58:AQ58)&lt;1,IF($C58&lt;=AR$4,1/$E$41,0),0)</f>
        <v>0</v>
      </c>
      <c r="AS58" s="34">
        <f>IF(SUM($I58:AR58)&lt;1,IF($C58&lt;=AS$4,1/$E$41,0),0)</f>
        <v>0</v>
      </c>
      <c r="AT58" s="34">
        <f>IF(SUM($I58:AS58)&lt;1,IF($C58&lt;=AT$4,1/$E$41,0),0)</f>
        <v>0</v>
      </c>
      <c r="AU58" s="34">
        <f>IF(SUM($I58:AT58)&lt;1,IF($C58&lt;=AU$4,1/$E$41,0),0)</f>
        <v>0</v>
      </c>
      <c r="AV58" s="34">
        <f>IF(SUM($I58:AU58)&lt;1,IF($C58&lt;=AV$4,1/$E$41,0),0)</f>
        <v>0</v>
      </c>
      <c r="AW58" s="34">
        <f>IF(SUM($I58:AV58)&lt;1,IF($C58&lt;=AW$4,1/$E$41,0),0)</f>
        <v>0</v>
      </c>
      <c r="AX58" s="34">
        <f>IF(SUM($I58:AW58)&lt;1,IF($C58&lt;=AX$4,1/$E$41,0),0)</f>
        <v>0</v>
      </c>
      <c r="AY58" s="34">
        <f>IF(SUM($I58:AX58)&lt;1,IF($C58&lt;=AY$4,1/$E$41,0),0)</f>
        <v>0</v>
      </c>
      <c r="AZ58" s="34">
        <f>IF(SUM($I58:AY58)&lt;1,IF($C58&lt;=AZ$4,1/$E$41,0),0)</f>
        <v>0</v>
      </c>
      <c r="BA58" s="34">
        <f>IF(SUM($I58:AZ58)&lt;1,IF($C58&lt;=BA$4,1/$E$41,0),0)</f>
        <v>0</v>
      </c>
      <c r="BB58" s="34">
        <f>IF(SUM($I58:BA58)&lt;1,IF($C58&lt;=BB$4,1/$E$41,0),0)</f>
        <v>0</v>
      </c>
      <c r="BC58" s="34">
        <f>IF(SUM($I58:BB58)&lt;1,IF($C58&lt;=BC$4,1/$E$41,0),0)</f>
        <v>0</v>
      </c>
      <c r="BD58" s="34">
        <f>IF(SUM($I58:BC58)&lt;1,IF($C58&lt;=BD$4,1/$E$41,0),0)</f>
        <v>0</v>
      </c>
      <c r="BE58" s="34">
        <f>IF(SUM($I58:BD58)&lt;1,IF($C58&lt;=BE$4,1/$E$41,0),0)</f>
        <v>0</v>
      </c>
      <c r="BF58" s="34">
        <f>IF(SUM($I58:BE58)&lt;1,IF($C58&lt;=BF$4,1/$E$41,0),0)</f>
        <v>0</v>
      </c>
      <c r="BG58" s="34">
        <f>IF(SUM($I58:BF58)&lt;1,IF($C58&lt;=BG$4,1/$E$41,0),0)</f>
        <v>0</v>
      </c>
      <c r="BH58" s="34">
        <f>IF(SUM($I58:BG58)&lt;1,IF($C58&lt;=BH$4,1/$E$41,0),0)</f>
        <v>0</v>
      </c>
      <c r="BI58" s="34">
        <f>IF(SUM($I58:BH58)&lt;1,IF($C58&lt;=BI$4,1/$E$41,0),0)</f>
        <v>0</v>
      </c>
      <c r="BJ58" s="34">
        <f>IF(SUM($I58:BI58)&lt;1,IF($C58&lt;=BJ$4,1/$E$41,0),0)</f>
        <v>0</v>
      </c>
      <c r="BK58" s="34">
        <f>IF(SUM($I58:BJ58)&lt;1,IF($C58&lt;=BK$4,1/$E$41,0),0)</f>
        <v>0</v>
      </c>
      <c r="BL58" s="34">
        <f>IF(SUM($I58:BK58)&lt;1,IF($C58&lt;=BL$4,1/$E$41,0),0)</f>
        <v>0</v>
      </c>
      <c r="BM58" s="34">
        <f>IF(SUM($I58:BL58)&lt;1,IF($C58&lt;=BM$4,1/$E$41,0),0)</f>
        <v>0</v>
      </c>
      <c r="BN58" s="34">
        <f>IF(SUM($I58:BM58)&lt;1,IF($C58&lt;=BN$4,1/$E$41,0),0)</f>
        <v>0</v>
      </c>
      <c r="BO58" s="34">
        <f>IF(SUM($I58:BN58)&lt;1,IF($C58&lt;=BO$4,1/$E$41,0),0)</f>
        <v>0</v>
      </c>
      <c r="BP58" s="34">
        <f>IF(SUM($I58:BO58)&lt;1,IF($C58&lt;=BP$4,1/$E$41,0),0)</f>
        <v>0</v>
      </c>
      <c r="BQ58" s="34">
        <f>IF(SUM($I58:BP58)&lt;1,IF($C58&lt;=BQ$4,1/$E$41,0),0)</f>
        <v>0</v>
      </c>
      <c r="BR58" s="34">
        <f>IF(SUM($I58:BQ58)&lt;1,IF($C58&lt;=BR$4,1/$E$41,0),0)</f>
        <v>0</v>
      </c>
      <c r="BS58" s="34">
        <f>IF(SUM($I58:BR58)&lt;1,IF($C58&lt;=BS$4,1/$E$41,0),0)</f>
        <v>0</v>
      </c>
      <c r="BT58" s="34">
        <f>IF(SUM($I58:BS58)&lt;1,IF($C58&lt;=BT$4,1/$E$41,0),0)</f>
        <v>0</v>
      </c>
      <c r="BU58" s="34">
        <f>IF(SUM($I58:BT58)&lt;1,IF($C58&lt;=BU$4,1/$E$41,0),0)</f>
        <v>0</v>
      </c>
      <c r="BV58" s="34">
        <f>IF(SUM($I58:BU58)&lt;1,IF($C58&lt;=BV$4,1/$E$41,0),0)</f>
        <v>0</v>
      </c>
      <c r="BW58" s="34">
        <f>IF(SUM($I58:BV58)&lt;1,IF($C58&lt;=BW$4,1/$E$41,0),0)</f>
        <v>0</v>
      </c>
      <c r="BX58" s="34">
        <f>IF(SUM($I58:BW58)&lt;1,IF($C58&lt;=BX$4,1/$E$41,0),0)</f>
        <v>0</v>
      </c>
      <c r="BY58" s="34">
        <f>IF(SUM($I58:BX58)&lt;1,IF($C58&lt;=BY$4,1/$E$41,0),0)</f>
        <v>0</v>
      </c>
      <c r="BZ58" s="34">
        <f>IF(SUM($I58:BY58)&lt;1,IF($C58&lt;=BZ$4,1/$E$41,0),0)</f>
        <v>0</v>
      </c>
      <c r="CA58" s="34">
        <f>IF(SUM($I58:BZ58)&lt;1,IF($C58&lt;=CA$4,1/$E$41,0),0)</f>
        <v>0</v>
      </c>
      <c r="CB58" s="34">
        <f>IF(SUM($I58:CA58)&lt;1,IF($C58&lt;=CB$4,1/$E$41,0),0)</f>
        <v>0</v>
      </c>
      <c r="CC58" s="34">
        <f>IF(SUM($I58:CB58)&lt;1,IF($C58&lt;=CC$4,1/$E$41,0),0)</f>
        <v>0</v>
      </c>
      <c r="CD58" s="34">
        <f>IF(SUM($I58:CC58)&lt;1,IF($C58&lt;=CD$4,1/$E$41,0),0)</f>
        <v>0</v>
      </c>
      <c r="CE58" s="34">
        <f>IF(SUM($I58:CD58)&lt;1,IF($C58&lt;=CE$4,1/$E$41,0),0)</f>
        <v>0</v>
      </c>
      <c r="CF58" s="34">
        <f>IF(SUM($I58:CE58)&lt;1,IF($C58&lt;=CF$4,1/$E$41,0),0)</f>
        <v>0</v>
      </c>
      <c r="CG58" s="34">
        <f>IF(SUM($I58:CF58)&lt;1,IF($C58&lt;=CG$4,1/$E$41,0),0)</f>
        <v>0</v>
      </c>
      <c r="CH58" s="34">
        <f>IF(SUM($I58:CG58)&lt;1,IF($C58&lt;=CH$4,1/$E$41,0),0)</f>
        <v>0</v>
      </c>
      <c r="CI58" s="34">
        <f>IF(SUM($I58:CH58)&lt;1,IF($C58&lt;=CI$4,1/$E$41,0),0)</f>
        <v>0</v>
      </c>
      <c r="CJ58" s="34">
        <f>IF(SUM($I58:CI58)&lt;1,IF($C58&lt;=CJ$4,1/$E$41,0),0)</f>
        <v>0</v>
      </c>
      <c r="CK58" s="34">
        <f>IF(SUM($I58:CJ58)&lt;1,IF($C58&lt;=CK$4,1/$E$41,0),0)</f>
        <v>0</v>
      </c>
      <c r="CL58" s="34">
        <f>IF(SUM($I58:CK58)&lt;1,IF($C58&lt;=CL$4,1/$E$41,0),0)</f>
        <v>0</v>
      </c>
      <c r="CM58" s="34">
        <f>IF(SUM($I58:CL58)&lt;1,IF($C58&lt;=CM$4,1/$E$41,0),0)</f>
        <v>0</v>
      </c>
      <c r="CN58" s="34">
        <f>IF(SUM($I58:CM58)&lt;1,IF($C58&lt;=CN$4,1/$E$41,0),0)</f>
        <v>0</v>
      </c>
      <c r="CO58" s="34">
        <f>IF(SUM($I58:CN58)&lt;1,IF($C58&lt;=CO$4,1/$E$41,0),0)</f>
        <v>0</v>
      </c>
      <c r="CP58" s="34">
        <f>IF(SUM($I58:CO58)&lt;1,IF($C58&lt;=CP$4,1/$E$41,0),0)</f>
        <v>0</v>
      </c>
      <c r="CQ58" s="34">
        <f>IF(SUM($I58:CP58)&lt;1,IF($C58&lt;=CQ$4,1/$E$41,0),0)</f>
        <v>0</v>
      </c>
      <c r="CR58" s="34">
        <f>IF(SUM($I58:CQ58)&lt;1,IF($C58&lt;=CR$4,1/$E$41,0),0)</f>
        <v>0</v>
      </c>
      <c r="CS58" s="34">
        <f>IF(SUM($I58:CR58)&lt;1,IF($C58&lt;=CS$4,1/$E$41,0),0)</f>
        <v>0</v>
      </c>
      <c r="CT58" s="34">
        <f>IF(SUM($I58:CS58)&lt;1,IF($C58&lt;=CT$4,1/$E$41,0),0)</f>
        <v>0</v>
      </c>
      <c r="CU58" s="34">
        <f>IF(SUM($I58:CT58)&lt;1,IF($C58&lt;=CU$4,1/$E$41,0),0)</f>
        <v>0</v>
      </c>
      <c r="CV58" s="34">
        <f>IF(SUM($I58:CU58)&lt;1,IF($C58&lt;=CV$4,1/$E$41,0),0)</f>
        <v>0</v>
      </c>
      <c r="CW58" s="34">
        <f>IF(SUM($I58:CV58)&lt;1,IF($C58&lt;=CW$4,1/$E$41,0),0)</f>
        <v>0</v>
      </c>
      <c r="CX58" s="34">
        <f>IF(SUM($I58:CW58)&lt;1,IF($C58&lt;=CX$4,1/$E$41,0),0)</f>
        <v>0</v>
      </c>
      <c r="CY58" s="34">
        <f>IF(SUM($I58:CX58)&lt;1,IF($C58&lt;=CY$4,1/$E$41,0),0)</f>
        <v>0</v>
      </c>
      <c r="CZ58" s="34">
        <f>IF(SUM($I58:CY58)&lt;1,IF($C58&lt;=CZ$4,1/$E$41,0),0)</f>
        <v>0</v>
      </c>
      <c r="DA58" s="34">
        <f>IF(SUM($I58:CZ58)&lt;1,IF($C58&lt;=DA$4,1/$E$41,0),0)</f>
        <v>0</v>
      </c>
      <c r="DB58" s="34">
        <f>IF(SUM($I58:DA58)&lt;1,IF($C58&lt;=DB$4,1/$E$41,0),0)</f>
        <v>0</v>
      </c>
      <c r="DC58" s="34">
        <f>IF(SUM($I58:DB58)&lt;1,IF($C58&lt;=DC$4,1/$E$41,0),0)</f>
        <v>0</v>
      </c>
      <c r="DD58" s="34">
        <f>IF(SUM($I58:DC58)&lt;1,IF($C58&lt;=DD$4,1/$E$41,0),0)</f>
        <v>0</v>
      </c>
      <c r="DE58" s="34">
        <f>IF(SUM($I58:DD58)&lt;1,IF($C58&lt;=DE$4,1/$E$41,0),0)</f>
        <v>0</v>
      </c>
      <c r="DF58" s="34">
        <f>IF(SUM($I58:DE58)&lt;1,IF($C58&lt;=DF$4,1/$E$41,0),0)</f>
        <v>0</v>
      </c>
      <c r="DG58" s="34">
        <f>IF(SUM($I58:DF58)&lt;1,IF($C58&lt;=DG$4,1/$E$41,0),0)</f>
        <v>0</v>
      </c>
      <c r="DH58" s="34">
        <f>IF(SUM($I58:DG58)&lt;1,IF($C58&lt;=DH$4,1/$E$41,0),0)</f>
        <v>0</v>
      </c>
      <c r="DI58" s="34">
        <f>IF(SUM($I58:DH58)&lt;1,IF($C58&lt;=DI$4,1/$E$41,0),0)</f>
        <v>0</v>
      </c>
      <c r="DJ58" s="34">
        <f>IF(SUM($I58:DI58)&lt;1,IF($C58&lt;=DJ$4,1/$E$41,0),0)</f>
        <v>0</v>
      </c>
      <c r="DK58" s="34">
        <f>IF(SUM($I58:DJ58)&lt;1,IF($C58&lt;=DK$4,1/$E$41,0),0)</f>
        <v>0</v>
      </c>
      <c r="DL58" s="34">
        <f>IF(SUM($I58:DK58)&lt;1,IF($C58&lt;=DL$4,1/$E$41,0),0)</f>
        <v>0</v>
      </c>
      <c r="DM58" s="34">
        <f>IF(SUM($I58:DL58)&lt;1,IF($C58&lt;=DM$4,1/$E$41,0),0)</f>
        <v>0</v>
      </c>
    </row>
    <row r="59" spans="3:117" outlineLevel="1" x14ac:dyDescent="0.15">
      <c r="C59" s="50">
        <f t="shared" si="48"/>
        <v>15</v>
      </c>
      <c r="D59" s="5" t="s">
        <v>18</v>
      </c>
      <c r="E59" s="19">
        <f t="shared" si="47"/>
        <v>0</v>
      </c>
      <c r="I59" s="9"/>
      <c r="J59" s="34">
        <f>IF(SUM($I59:I59)&lt;1,IF($C59&lt;=J$4,1/$E$41,0),0)</f>
        <v>0</v>
      </c>
      <c r="K59" s="34">
        <f>IF(SUM($I59:J59)&lt;1,IF($C59&lt;=K$4,1/$E$41,0),0)</f>
        <v>0</v>
      </c>
      <c r="L59" s="34">
        <f>IF(SUM($I59:K59)&lt;1,IF($C59&lt;=L$4,1/$E$41,0),0)</f>
        <v>0</v>
      </c>
      <c r="M59" s="34">
        <f>IF(SUM($I59:L59)&lt;1,IF($C59&lt;=M$4,1/$E$41,0),0)</f>
        <v>0</v>
      </c>
      <c r="N59" s="34">
        <f>IF(SUM($I59:M59)&lt;1,IF($C59&lt;=N$4,1/$E$41,0),0)</f>
        <v>0</v>
      </c>
      <c r="O59" s="34">
        <f>IF(SUM($I59:N59)&lt;1,IF($C59&lt;=O$4,1/$E$41,0),0)</f>
        <v>0</v>
      </c>
      <c r="P59" s="34">
        <f>IF(SUM($I59:O59)&lt;1,IF($C59&lt;=P$4,1/$E$41,0),0)</f>
        <v>0</v>
      </c>
      <c r="Q59" s="34">
        <f>IF(SUM($I59:P59)&lt;1,IF($C59&lt;=Q$4,1/$E$41,0),0)</f>
        <v>0</v>
      </c>
      <c r="R59" s="34">
        <f>IF(SUM($I59:Q59)&lt;1,IF($C59&lt;=R$4,1/$E$41,0),0)</f>
        <v>0</v>
      </c>
      <c r="S59" s="34">
        <f>IF(SUM($I59:R59)&lt;1,IF($C59&lt;=S$4,1/$E$41,0),0)</f>
        <v>0</v>
      </c>
      <c r="T59" s="34">
        <f>IF(SUM($I59:S59)&lt;1,IF($C59&lt;=T$4,1/$E$41,0),0)</f>
        <v>0</v>
      </c>
      <c r="U59" s="34">
        <f>IF(SUM($I59:T59)&lt;1,IF($C59&lt;=U$4,1/$E$41,0),0)</f>
        <v>0</v>
      </c>
      <c r="V59" s="34">
        <f>IF(SUM($I59:U59)&lt;1,IF($C59&lt;=V$4,1/$E$41,0),0)</f>
        <v>0</v>
      </c>
      <c r="W59" s="34">
        <f>IF(SUM($I59:V59)&lt;1,IF($C59&lt;=W$4,1/$E$41,0),0)</f>
        <v>0</v>
      </c>
      <c r="X59" s="34">
        <f>IF(SUM($I59:W59)&lt;1,IF($C59&lt;=X$4,1/$E$41,0),0)</f>
        <v>0.25</v>
      </c>
      <c r="Y59" s="34">
        <f>IF(SUM($I59:X59)&lt;1,IF($C59&lt;=Y$4,1/$E$41,0),0)</f>
        <v>0.25</v>
      </c>
      <c r="Z59" s="34">
        <f>IF(SUM($I59:Y59)&lt;1,IF($C59&lt;=Z$4,1/$E$41,0),0)</f>
        <v>0.25</v>
      </c>
      <c r="AA59" s="34">
        <f>IF(SUM($I59:Z59)&lt;1,IF($C59&lt;=AA$4,1/$E$41,0),0)</f>
        <v>0.25</v>
      </c>
      <c r="AB59" s="34">
        <f>IF(SUM($I59:AA59)&lt;1,IF($C59&lt;=AB$4,1/$E$41,0),0)</f>
        <v>0</v>
      </c>
      <c r="AC59" s="34">
        <f>IF(SUM($I59:AB59)&lt;1,IF($C59&lt;=AC$4,1/$E$41,0),0)</f>
        <v>0</v>
      </c>
      <c r="AD59" s="34">
        <f>IF(SUM($I59:AC59)&lt;1,IF($C59&lt;=AD$4,1/$E$41,0),0)</f>
        <v>0</v>
      </c>
      <c r="AE59" s="34">
        <f>IF(SUM($I59:AD59)&lt;1,IF($C59&lt;=AE$4,1/$E$41,0),0)</f>
        <v>0</v>
      </c>
      <c r="AF59" s="34">
        <f>IF(SUM($I59:AE59)&lt;1,IF($C59&lt;=AF$4,1/$E$41,0),0)</f>
        <v>0</v>
      </c>
      <c r="AG59" s="34">
        <f>IF(SUM($I59:AF59)&lt;1,IF($C59&lt;=AG$4,1/$E$41,0),0)</f>
        <v>0</v>
      </c>
      <c r="AH59" s="34">
        <f>IF(SUM($I59:AG59)&lt;1,IF($C59&lt;=AH$4,1/$E$41,0),0)</f>
        <v>0</v>
      </c>
      <c r="AI59" s="34">
        <f>IF(SUM($I59:AH59)&lt;1,IF($C59&lt;=AI$4,1/$E$41,0),0)</f>
        <v>0</v>
      </c>
      <c r="AJ59" s="34">
        <f>IF(SUM($I59:AI59)&lt;1,IF($C59&lt;=AJ$4,1/$E$41,0),0)</f>
        <v>0</v>
      </c>
      <c r="AK59" s="34">
        <f>IF(SUM($I59:AJ59)&lt;1,IF($C59&lt;=AK$4,1/$E$41,0),0)</f>
        <v>0</v>
      </c>
      <c r="AL59" s="34">
        <f>IF(SUM($I59:AK59)&lt;1,IF($C59&lt;=AL$4,1/$E$41,0),0)</f>
        <v>0</v>
      </c>
      <c r="AM59" s="34">
        <f>IF(SUM($I59:AL59)&lt;1,IF($C59&lt;=AM$4,1/$E$41,0),0)</f>
        <v>0</v>
      </c>
      <c r="AN59" s="34">
        <f>IF(SUM($I59:AM59)&lt;1,IF($C59&lt;=AN$4,1/$E$41,0),0)</f>
        <v>0</v>
      </c>
      <c r="AO59" s="34">
        <f>IF(SUM($I59:AN59)&lt;1,IF($C59&lt;=AO$4,1/$E$41,0),0)</f>
        <v>0</v>
      </c>
      <c r="AP59" s="34">
        <f>IF(SUM($I59:AO59)&lt;1,IF($C59&lt;=AP$4,1/$E$41,0),0)</f>
        <v>0</v>
      </c>
      <c r="AQ59" s="34">
        <f>IF(SUM($I59:AP59)&lt;1,IF($C59&lt;=AQ$4,1/$E$41,0),0)</f>
        <v>0</v>
      </c>
      <c r="AR59" s="34">
        <f>IF(SUM($I59:AQ59)&lt;1,IF($C59&lt;=AR$4,1/$E$41,0),0)</f>
        <v>0</v>
      </c>
      <c r="AS59" s="34">
        <f>IF(SUM($I59:AR59)&lt;1,IF($C59&lt;=AS$4,1/$E$41,0),0)</f>
        <v>0</v>
      </c>
      <c r="AT59" s="34">
        <f>IF(SUM($I59:AS59)&lt;1,IF($C59&lt;=AT$4,1/$E$41,0),0)</f>
        <v>0</v>
      </c>
      <c r="AU59" s="34">
        <f>IF(SUM($I59:AT59)&lt;1,IF($C59&lt;=AU$4,1/$E$41,0),0)</f>
        <v>0</v>
      </c>
      <c r="AV59" s="34">
        <f>IF(SUM($I59:AU59)&lt;1,IF($C59&lt;=AV$4,1/$E$41,0),0)</f>
        <v>0</v>
      </c>
      <c r="AW59" s="34">
        <f>IF(SUM($I59:AV59)&lt;1,IF($C59&lt;=AW$4,1/$E$41,0),0)</f>
        <v>0</v>
      </c>
      <c r="AX59" s="34">
        <f>IF(SUM($I59:AW59)&lt;1,IF($C59&lt;=AX$4,1/$E$41,0),0)</f>
        <v>0</v>
      </c>
      <c r="AY59" s="34">
        <f>IF(SUM($I59:AX59)&lt;1,IF($C59&lt;=AY$4,1/$E$41,0),0)</f>
        <v>0</v>
      </c>
      <c r="AZ59" s="34">
        <f>IF(SUM($I59:AY59)&lt;1,IF($C59&lt;=AZ$4,1/$E$41,0),0)</f>
        <v>0</v>
      </c>
      <c r="BA59" s="34">
        <f>IF(SUM($I59:AZ59)&lt;1,IF($C59&lt;=BA$4,1/$E$41,0),0)</f>
        <v>0</v>
      </c>
      <c r="BB59" s="34">
        <f>IF(SUM($I59:BA59)&lt;1,IF($C59&lt;=BB$4,1/$E$41,0),0)</f>
        <v>0</v>
      </c>
      <c r="BC59" s="34">
        <f>IF(SUM($I59:BB59)&lt;1,IF($C59&lt;=BC$4,1/$E$41,0),0)</f>
        <v>0</v>
      </c>
      <c r="BD59" s="34">
        <f>IF(SUM($I59:BC59)&lt;1,IF($C59&lt;=BD$4,1/$E$41,0),0)</f>
        <v>0</v>
      </c>
      <c r="BE59" s="34">
        <f>IF(SUM($I59:BD59)&lt;1,IF($C59&lt;=BE$4,1/$E$41,0),0)</f>
        <v>0</v>
      </c>
      <c r="BF59" s="34">
        <f>IF(SUM($I59:BE59)&lt;1,IF($C59&lt;=BF$4,1/$E$41,0),0)</f>
        <v>0</v>
      </c>
      <c r="BG59" s="34">
        <f>IF(SUM($I59:BF59)&lt;1,IF($C59&lt;=BG$4,1/$E$41,0),0)</f>
        <v>0</v>
      </c>
      <c r="BH59" s="34">
        <f>IF(SUM($I59:BG59)&lt;1,IF($C59&lt;=BH$4,1/$E$41,0),0)</f>
        <v>0</v>
      </c>
      <c r="BI59" s="34">
        <f>IF(SUM($I59:BH59)&lt;1,IF($C59&lt;=BI$4,1/$E$41,0),0)</f>
        <v>0</v>
      </c>
      <c r="BJ59" s="34">
        <f>IF(SUM($I59:BI59)&lt;1,IF($C59&lt;=BJ$4,1/$E$41,0),0)</f>
        <v>0</v>
      </c>
      <c r="BK59" s="34">
        <f>IF(SUM($I59:BJ59)&lt;1,IF($C59&lt;=BK$4,1/$E$41,0),0)</f>
        <v>0</v>
      </c>
      <c r="BL59" s="34">
        <f>IF(SUM($I59:BK59)&lt;1,IF($C59&lt;=BL$4,1/$E$41,0),0)</f>
        <v>0</v>
      </c>
      <c r="BM59" s="34">
        <f>IF(SUM($I59:BL59)&lt;1,IF($C59&lt;=BM$4,1/$E$41,0),0)</f>
        <v>0</v>
      </c>
      <c r="BN59" s="34">
        <f>IF(SUM($I59:BM59)&lt;1,IF($C59&lt;=BN$4,1/$E$41,0),0)</f>
        <v>0</v>
      </c>
      <c r="BO59" s="34">
        <f>IF(SUM($I59:BN59)&lt;1,IF($C59&lt;=BO$4,1/$E$41,0),0)</f>
        <v>0</v>
      </c>
      <c r="BP59" s="34">
        <f>IF(SUM($I59:BO59)&lt;1,IF($C59&lt;=BP$4,1/$E$41,0),0)</f>
        <v>0</v>
      </c>
      <c r="BQ59" s="34">
        <f>IF(SUM($I59:BP59)&lt;1,IF($C59&lt;=BQ$4,1/$E$41,0),0)</f>
        <v>0</v>
      </c>
      <c r="BR59" s="34">
        <f>IF(SUM($I59:BQ59)&lt;1,IF($C59&lt;=BR$4,1/$E$41,0),0)</f>
        <v>0</v>
      </c>
      <c r="BS59" s="34">
        <f>IF(SUM($I59:BR59)&lt;1,IF($C59&lt;=BS$4,1/$E$41,0),0)</f>
        <v>0</v>
      </c>
      <c r="BT59" s="34">
        <f>IF(SUM($I59:BS59)&lt;1,IF($C59&lt;=BT$4,1/$E$41,0),0)</f>
        <v>0</v>
      </c>
      <c r="BU59" s="34">
        <f>IF(SUM($I59:BT59)&lt;1,IF($C59&lt;=BU$4,1/$E$41,0),0)</f>
        <v>0</v>
      </c>
      <c r="BV59" s="34">
        <f>IF(SUM($I59:BU59)&lt;1,IF($C59&lt;=BV$4,1/$E$41,0),0)</f>
        <v>0</v>
      </c>
      <c r="BW59" s="34">
        <f>IF(SUM($I59:BV59)&lt;1,IF($C59&lt;=BW$4,1/$E$41,0),0)</f>
        <v>0</v>
      </c>
      <c r="BX59" s="34">
        <f>IF(SUM($I59:BW59)&lt;1,IF($C59&lt;=BX$4,1/$E$41,0),0)</f>
        <v>0</v>
      </c>
      <c r="BY59" s="34">
        <f>IF(SUM($I59:BX59)&lt;1,IF($C59&lt;=BY$4,1/$E$41,0),0)</f>
        <v>0</v>
      </c>
      <c r="BZ59" s="34">
        <f>IF(SUM($I59:BY59)&lt;1,IF($C59&lt;=BZ$4,1/$E$41,0),0)</f>
        <v>0</v>
      </c>
      <c r="CA59" s="34">
        <f>IF(SUM($I59:BZ59)&lt;1,IF($C59&lt;=CA$4,1/$E$41,0),0)</f>
        <v>0</v>
      </c>
      <c r="CB59" s="34">
        <f>IF(SUM($I59:CA59)&lt;1,IF($C59&lt;=CB$4,1/$E$41,0),0)</f>
        <v>0</v>
      </c>
      <c r="CC59" s="34">
        <f>IF(SUM($I59:CB59)&lt;1,IF($C59&lt;=CC$4,1/$E$41,0),0)</f>
        <v>0</v>
      </c>
      <c r="CD59" s="34">
        <f>IF(SUM($I59:CC59)&lt;1,IF($C59&lt;=CD$4,1/$E$41,0),0)</f>
        <v>0</v>
      </c>
      <c r="CE59" s="34">
        <f>IF(SUM($I59:CD59)&lt;1,IF($C59&lt;=CE$4,1/$E$41,0),0)</f>
        <v>0</v>
      </c>
      <c r="CF59" s="34">
        <f>IF(SUM($I59:CE59)&lt;1,IF($C59&lt;=CF$4,1/$E$41,0),0)</f>
        <v>0</v>
      </c>
      <c r="CG59" s="34">
        <f>IF(SUM($I59:CF59)&lt;1,IF($C59&lt;=CG$4,1/$E$41,0),0)</f>
        <v>0</v>
      </c>
      <c r="CH59" s="34">
        <f>IF(SUM($I59:CG59)&lt;1,IF($C59&lt;=CH$4,1/$E$41,0),0)</f>
        <v>0</v>
      </c>
      <c r="CI59" s="34">
        <f>IF(SUM($I59:CH59)&lt;1,IF($C59&lt;=CI$4,1/$E$41,0),0)</f>
        <v>0</v>
      </c>
      <c r="CJ59" s="34">
        <f>IF(SUM($I59:CI59)&lt;1,IF($C59&lt;=CJ$4,1/$E$41,0),0)</f>
        <v>0</v>
      </c>
      <c r="CK59" s="34">
        <f>IF(SUM($I59:CJ59)&lt;1,IF($C59&lt;=CK$4,1/$E$41,0),0)</f>
        <v>0</v>
      </c>
      <c r="CL59" s="34">
        <f>IF(SUM($I59:CK59)&lt;1,IF($C59&lt;=CL$4,1/$E$41,0),0)</f>
        <v>0</v>
      </c>
      <c r="CM59" s="34">
        <f>IF(SUM($I59:CL59)&lt;1,IF($C59&lt;=CM$4,1/$E$41,0),0)</f>
        <v>0</v>
      </c>
      <c r="CN59" s="34">
        <f>IF(SUM($I59:CM59)&lt;1,IF($C59&lt;=CN$4,1/$E$41,0),0)</f>
        <v>0</v>
      </c>
      <c r="CO59" s="34">
        <f>IF(SUM($I59:CN59)&lt;1,IF($C59&lt;=CO$4,1/$E$41,0),0)</f>
        <v>0</v>
      </c>
      <c r="CP59" s="34">
        <f>IF(SUM($I59:CO59)&lt;1,IF($C59&lt;=CP$4,1/$E$41,0),0)</f>
        <v>0</v>
      </c>
      <c r="CQ59" s="34">
        <f>IF(SUM($I59:CP59)&lt;1,IF($C59&lt;=CQ$4,1/$E$41,0),0)</f>
        <v>0</v>
      </c>
      <c r="CR59" s="34">
        <f>IF(SUM($I59:CQ59)&lt;1,IF($C59&lt;=CR$4,1/$E$41,0),0)</f>
        <v>0</v>
      </c>
      <c r="CS59" s="34">
        <f>IF(SUM($I59:CR59)&lt;1,IF($C59&lt;=CS$4,1/$E$41,0),0)</f>
        <v>0</v>
      </c>
      <c r="CT59" s="34">
        <f>IF(SUM($I59:CS59)&lt;1,IF($C59&lt;=CT$4,1/$E$41,0),0)</f>
        <v>0</v>
      </c>
      <c r="CU59" s="34">
        <f>IF(SUM($I59:CT59)&lt;1,IF($C59&lt;=CU$4,1/$E$41,0),0)</f>
        <v>0</v>
      </c>
      <c r="CV59" s="34">
        <f>IF(SUM($I59:CU59)&lt;1,IF($C59&lt;=CV$4,1/$E$41,0),0)</f>
        <v>0</v>
      </c>
      <c r="CW59" s="34">
        <f>IF(SUM($I59:CV59)&lt;1,IF($C59&lt;=CW$4,1/$E$41,0),0)</f>
        <v>0</v>
      </c>
      <c r="CX59" s="34">
        <f>IF(SUM($I59:CW59)&lt;1,IF($C59&lt;=CX$4,1/$E$41,0),0)</f>
        <v>0</v>
      </c>
      <c r="CY59" s="34">
        <f>IF(SUM($I59:CX59)&lt;1,IF($C59&lt;=CY$4,1/$E$41,0),0)</f>
        <v>0</v>
      </c>
      <c r="CZ59" s="34">
        <f>IF(SUM($I59:CY59)&lt;1,IF($C59&lt;=CZ$4,1/$E$41,0),0)</f>
        <v>0</v>
      </c>
      <c r="DA59" s="34">
        <f>IF(SUM($I59:CZ59)&lt;1,IF($C59&lt;=DA$4,1/$E$41,0),0)</f>
        <v>0</v>
      </c>
      <c r="DB59" s="34">
        <f>IF(SUM($I59:DA59)&lt;1,IF($C59&lt;=DB$4,1/$E$41,0),0)</f>
        <v>0</v>
      </c>
      <c r="DC59" s="34">
        <f>IF(SUM($I59:DB59)&lt;1,IF($C59&lt;=DC$4,1/$E$41,0),0)</f>
        <v>0</v>
      </c>
      <c r="DD59" s="34">
        <f>IF(SUM($I59:DC59)&lt;1,IF($C59&lt;=DD$4,1/$E$41,0),0)</f>
        <v>0</v>
      </c>
      <c r="DE59" s="34">
        <f>IF(SUM($I59:DD59)&lt;1,IF($C59&lt;=DE$4,1/$E$41,0),0)</f>
        <v>0</v>
      </c>
      <c r="DF59" s="34">
        <f>IF(SUM($I59:DE59)&lt;1,IF($C59&lt;=DF$4,1/$E$41,0),0)</f>
        <v>0</v>
      </c>
      <c r="DG59" s="34">
        <f>IF(SUM($I59:DF59)&lt;1,IF($C59&lt;=DG$4,1/$E$41,0),0)</f>
        <v>0</v>
      </c>
      <c r="DH59" s="34">
        <f>IF(SUM($I59:DG59)&lt;1,IF($C59&lt;=DH$4,1/$E$41,0),0)</f>
        <v>0</v>
      </c>
      <c r="DI59" s="34">
        <f>IF(SUM($I59:DH59)&lt;1,IF($C59&lt;=DI$4,1/$E$41,0),0)</f>
        <v>0</v>
      </c>
      <c r="DJ59" s="34">
        <f>IF(SUM($I59:DI59)&lt;1,IF($C59&lt;=DJ$4,1/$E$41,0),0)</f>
        <v>0</v>
      </c>
      <c r="DK59" s="34">
        <f>IF(SUM($I59:DJ59)&lt;1,IF($C59&lt;=DK$4,1/$E$41,0),0)</f>
        <v>0</v>
      </c>
      <c r="DL59" s="34">
        <f>IF(SUM($I59:DK59)&lt;1,IF($C59&lt;=DL$4,1/$E$41,0),0)</f>
        <v>0</v>
      </c>
      <c r="DM59" s="34">
        <f>IF(SUM($I59:DL59)&lt;1,IF($C59&lt;=DM$4,1/$E$41,0),0)</f>
        <v>0</v>
      </c>
    </row>
    <row r="60" spans="3:117" outlineLevel="1" x14ac:dyDescent="0.15">
      <c r="C60" s="50">
        <f t="shared" si="48"/>
        <v>16</v>
      </c>
      <c r="D60" s="5" t="s">
        <v>18</v>
      </c>
      <c r="E60" s="19">
        <f t="shared" si="47"/>
        <v>0</v>
      </c>
      <c r="I60" s="9"/>
      <c r="J60" s="34">
        <f>IF(SUM($I60:I60)&lt;1,IF($C60&lt;=J$4,1/$E$41,0),0)</f>
        <v>0</v>
      </c>
      <c r="K60" s="34">
        <f>IF(SUM($I60:J60)&lt;1,IF($C60&lt;=K$4,1/$E$41,0),0)</f>
        <v>0</v>
      </c>
      <c r="L60" s="34">
        <f>IF(SUM($I60:K60)&lt;1,IF($C60&lt;=L$4,1/$E$41,0),0)</f>
        <v>0</v>
      </c>
      <c r="M60" s="34">
        <f>IF(SUM($I60:L60)&lt;1,IF($C60&lt;=M$4,1/$E$41,0),0)</f>
        <v>0</v>
      </c>
      <c r="N60" s="34">
        <f>IF(SUM($I60:M60)&lt;1,IF($C60&lt;=N$4,1/$E$41,0),0)</f>
        <v>0</v>
      </c>
      <c r="O60" s="34">
        <f>IF(SUM($I60:N60)&lt;1,IF($C60&lt;=O$4,1/$E$41,0),0)</f>
        <v>0</v>
      </c>
      <c r="P60" s="34">
        <f>IF(SUM($I60:O60)&lt;1,IF($C60&lt;=P$4,1/$E$41,0),0)</f>
        <v>0</v>
      </c>
      <c r="Q60" s="34">
        <f>IF(SUM($I60:P60)&lt;1,IF($C60&lt;=Q$4,1/$E$41,0),0)</f>
        <v>0</v>
      </c>
      <c r="R60" s="34">
        <f>IF(SUM($I60:Q60)&lt;1,IF($C60&lt;=R$4,1/$E$41,0),0)</f>
        <v>0</v>
      </c>
      <c r="S60" s="34">
        <f>IF(SUM($I60:R60)&lt;1,IF($C60&lt;=S$4,1/$E$41,0),0)</f>
        <v>0</v>
      </c>
      <c r="T60" s="34">
        <f>IF(SUM($I60:S60)&lt;1,IF($C60&lt;=T$4,1/$E$41,0),0)</f>
        <v>0</v>
      </c>
      <c r="U60" s="34">
        <f>IF(SUM($I60:T60)&lt;1,IF($C60&lt;=U$4,1/$E$41,0),0)</f>
        <v>0</v>
      </c>
      <c r="V60" s="34">
        <f>IF(SUM($I60:U60)&lt;1,IF($C60&lt;=V$4,1/$E$41,0),0)</f>
        <v>0</v>
      </c>
      <c r="W60" s="34">
        <f>IF(SUM($I60:V60)&lt;1,IF($C60&lt;=W$4,1/$E$41,0),0)</f>
        <v>0</v>
      </c>
      <c r="X60" s="34">
        <f>IF(SUM($I60:W60)&lt;1,IF($C60&lt;=X$4,1/$E$41,0),0)</f>
        <v>0</v>
      </c>
      <c r="Y60" s="34">
        <f>IF(SUM($I60:X60)&lt;1,IF($C60&lt;=Y$4,1/$E$41,0),0)</f>
        <v>0.25</v>
      </c>
      <c r="Z60" s="34">
        <f>IF(SUM($I60:Y60)&lt;1,IF($C60&lt;=Z$4,1/$E$41,0),0)</f>
        <v>0.25</v>
      </c>
      <c r="AA60" s="34">
        <f>IF(SUM($I60:Z60)&lt;1,IF($C60&lt;=AA$4,1/$E$41,0),0)</f>
        <v>0.25</v>
      </c>
      <c r="AB60" s="34">
        <f>IF(SUM($I60:AA60)&lt;1,IF($C60&lt;=AB$4,1/$E$41,0),0)</f>
        <v>0.25</v>
      </c>
      <c r="AC60" s="34">
        <f>IF(SUM($I60:AB60)&lt;1,IF($C60&lt;=AC$4,1/$E$41,0),0)</f>
        <v>0</v>
      </c>
      <c r="AD60" s="34">
        <f>IF(SUM($I60:AC60)&lt;1,IF($C60&lt;=AD$4,1/$E$41,0),0)</f>
        <v>0</v>
      </c>
      <c r="AE60" s="34">
        <f>IF(SUM($I60:AD60)&lt;1,IF($C60&lt;=AE$4,1/$E$41,0),0)</f>
        <v>0</v>
      </c>
      <c r="AF60" s="34">
        <f>IF(SUM($I60:AE60)&lt;1,IF($C60&lt;=AF$4,1/$E$41,0),0)</f>
        <v>0</v>
      </c>
      <c r="AG60" s="34">
        <f>IF(SUM($I60:AF60)&lt;1,IF($C60&lt;=AG$4,1/$E$41,0),0)</f>
        <v>0</v>
      </c>
      <c r="AH60" s="34">
        <f>IF(SUM($I60:AG60)&lt;1,IF($C60&lt;=AH$4,1/$E$41,0),0)</f>
        <v>0</v>
      </c>
      <c r="AI60" s="34">
        <f>IF(SUM($I60:AH60)&lt;1,IF($C60&lt;=AI$4,1/$E$41,0),0)</f>
        <v>0</v>
      </c>
      <c r="AJ60" s="34">
        <f>IF(SUM($I60:AI60)&lt;1,IF($C60&lt;=AJ$4,1/$E$41,0),0)</f>
        <v>0</v>
      </c>
      <c r="AK60" s="34">
        <f>IF(SUM($I60:AJ60)&lt;1,IF($C60&lt;=AK$4,1/$E$41,0),0)</f>
        <v>0</v>
      </c>
      <c r="AL60" s="34">
        <f>IF(SUM($I60:AK60)&lt;1,IF($C60&lt;=AL$4,1/$E$41,0),0)</f>
        <v>0</v>
      </c>
      <c r="AM60" s="34">
        <f>IF(SUM($I60:AL60)&lt;1,IF($C60&lt;=AM$4,1/$E$41,0),0)</f>
        <v>0</v>
      </c>
      <c r="AN60" s="34">
        <f>IF(SUM($I60:AM60)&lt;1,IF($C60&lt;=AN$4,1/$E$41,0),0)</f>
        <v>0</v>
      </c>
      <c r="AO60" s="34">
        <f>IF(SUM($I60:AN60)&lt;1,IF($C60&lt;=AO$4,1/$E$41,0),0)</f>
        <v>0</v>
      </c>
      <c r="AP60" s="34">
        <f>IF(SUM($I60:AO60)&lt;1,IF($C60&lt;=AP$4,1/$E$41,0),0)</f>
        <v>0</v>
      </c>
      <c r="AQ60" s="34">
        <f>IF(SUM($I60:AP60)&lt;1,IF($C60&lt;=AQ$4,1/$E$41,0),0)</f>
        <v>0</v>
      </c>
      <c r="AR60" s="34">
        <f>IF(SUM($I60:AQ60)&lt;1,IF($C60&lt;=AR$4,1/$E$41,0),0)</f>
        <v>0</v>
      </c>
      <c r="AS60" s="34">
        <f>IF(SUM($I60:AR60)&lt;1,IF($C60&lt;=AS$4,1/$E$41,0),0)</f>
        <v>0</v>
      </c>
      <c r="AT60" s="34">
        <f>IF(SUM($I60:AS60)&lt;1,IF($C60&lt;=AT$4,1/$E$41,0),0)</f>
        <v>0</v>
      </c>
      <c r="AU60" s="34">
        <f>IF(SUM($I60:AT60)&lt;1,IF($C60&lt;=AU$4,1/$E$41,0),0)</f>
        <v>0</v>
      </c>
      <c r="AV60" s="34">
        <f>IF(SUM($I60:AU60)&lt;1,IF($C60&lt;=AV$4,1/$E$41,0),0)</f>
        <v>0</v>
      </c>
      <c r="AW60" s="34">
        <f>IF(SUM($I60:AV60)&lt;1,IF($C60&lt;=AW$4,1/$E$41,0),0)</f>
        <v>0</v>
      </c>
      <c r="AX60" s="34">
        <f>IF(SUM($I60:AW60)&lt;1,IF($C60&lt;=AX$4,1/$E$41,0),0)</f>
        <v>0</v>
      </c>
      <c r="AY60" s="34">
        <f>IF(SUM($I60:AX60)&lt;1,IF($C60&lt;=AY$4,1/$E$41,0),0)</f>
        <v>0</v>
      </c>
      <c r="AZ60" s="34">
        <f>IF(SUM($I60:AY60)&lt;1,IF($C60&lt;=AZ$4,1/$E$41,0),0)</f>
        <v>0</v>
      </c>
      <c r="BA60" s="34">
        <f>IF(SUM($I60:AZ60)&lt;1,IF($C60&lt;=BA$4,1/$E$41,0),0)</f>
        <v>0</v>
      </c>
      <c r="BB60" s="34">
        <f>IF(SUM($I60:BA60)&lt;1,IF($C60&lt;=BB$4,1/$E$41,0),0)</f>
        <v>0</v>
      </c>
      <c r="BC60" s="34">
        <f>IF(SUM($I60:BB60)&lt;1,IF($C60&lt;=BC$4,1/$E$41,0),0)</f>
        <v>0</v>
      </c>
      <c r="BD60" s="34">
        <f>IF(SUM($I60:BC60)&lt;1,IF($C60&lt;=BD$4,1/$E$41,0),0)</f>
        <v>0</v>
      </c>
      <c r="BE60" s="34">
        <f>IF(SUM($I60:BD60)&lt;1,IF($C60&lt;=BE$4,1/$E$41,0),0)</f>
        <v>0</v>
      </c>
      <c r="BF60" s="34">
        <f>IF(SUM($I60:BE60)&lt;1,IF($C60&lt;=BF$4,1/$E$41,0),0)</f>
        <v>0</v>
      </c>
      <c r="BG60" s="34">
        <f>IF(SUM($I60:BF60)&lt;1,IF($C60&lt;=BG$4,1/$E$41,0),0)</f>
        <v>0</v>
      </c>
      <c r="BH60" s="34">
        <f>IF(SUM($I60:BG60)&lt;1,IF($C60&lt;=BH$4,1/$E$41,0),0)</f>
        <v>0</v>
      </c>
      <c r="BI60" s="34">
        <f>IF(SUM($I60:BH60)&lt;1,IF($C60&lt;=BI$4,1/$E$41,0),0)</f>
        <v>0</v>
      </c>
      <c r="BJ60" s="34">
        <f>IF(SUM($I60:BI60)&lt;1,IF($C60&lt;=BJ$4,1/$E$41,0),0)</f>
        <v>0</v>
      </c>
      <c r="BK60" s="34">
        <f>IF(SUM($I60:BJ60)&lt;1,IF($C60&lt;=BK$4,1/$E$41,0),0)</f>
        <v>0</v>
      </c>
      <c r="BL60" s="34">
        <f>IF(SUM($I60:BK60)&lt;1,IF($C60&lt;=BL$4,1/$E$41,0),0)</f>
        <v>0</v>
      </c>
      <c r="BM60" s="34">
        <f>IF(SUM($I60:BL60)&lt;1,IF($C60&lt;=BM$4,1/$E$41,0),0)</f>
        <v>0</v>
      </c>
      <c r="BN60" s="34">
        <f>IF(SUM($I60:BM60)&lt;1,IF($C60&lt;=BN$4,1/$E$41,0),0)</f>
        <v>0</v>
      </c>
      <c r="BO60" s="34">
        <f>IF(SUM($I60:BN60)&lt;1,IF($C60&lt;=BO$4,1/$E$41,0),0)</f>
        <v>0</v>
      </c>
      <c r="BP60" s="34">
        <f>IF(SUM($I60:BO60)&lt;1,IF($C60&lt;=BP$4,1/$E$41,0),0)</f>
        <v>0</v>
      </c>
      <c r="BQ60" s="34">
        <f>IF(SUM($I60:BP60)&lt;1,IF($C60&lt;=BQ$4,1/$E$41,0),0)</f>
        <v>0</v>
      </c>
      <c r="BR60" s="34">
        <f>IF(SUM($I60:BQ60)&lt;1,IF($C60&lt;=BR$4,1/$E$41,0),0)</f>
        <v>0</v>
      </c>
      <c r="BS60" s="34">
        <f>IF(SUM($I60:BR60)&lt;1,IF($C60&lt;=BS$4,1/$E$41,0),0)</f>
        <v>0</v>
      </c>
      <c r="BT60" s="34">
        <f>IF(SUM($I60:BS60)&lt;1,IF($C60&lt;=BT$4,1/$E$41,0),0)</f>
        <v>0</v>
      </c>
      <c r="BU60" s="34">
        <f>IF(SUM($I60:BT60)&lt;1,IF($C60&lt;=BU$4,1/$E$41,0),0)</f>
        <v>0</v>
      </c>
      <c r="BV60" s="34">
        <f>IF(SUM($I60:BU60)&lt;1,IF($C60&lt;=BV$4,1/$E$41,0),0)</f>
        <v>0</v>
      </c>
      <c r="BW60" s="34">
        <f>IF(SUM($I60:BV60)&lt;1,IF($C60&lt;=BW$4,1/$E$41,0),0)</f>
        <v>0</v>
      </c>
      <c r="BX60" s="34">
        <f>IF(SUM($I60:BW60)&lt;1,IF($C60&lt;=BX$4,1/$E$41,0),0)</f>
        <v>0</v>
      </c>
      <c r="BY60" s="34">
        <f>IF(SUM($I60:BX60)&lt;1,IF($C60&lt;=BY$4,1/$E$41,0),0)</f>
        <v>0</v>
      </c>
      <c r="BZ60" s="34">
        <f>IF(SUM($I60:BY60)&lt;1,IF($C60&lt;=BZ$4,1/$E$41,0),0)</f>
        <v>0</v>
      </c>
      <c r="CA60" s="34">
        <f>IF(SUM($I60:BZ60)&lt;1,IF($C60&lt;=CA$4,1/$E$41,0),0)</f>
        <v>0</v>
      </c>
      <c r="CB60" s="34">
        <f>IF(SUM($I60:CA60)&lt;1,IF($C60&lt;=CB$4,1/$E$41,0),0)</f>
        <v>0</v>
      </c>
      <c r="CC60" s="34">
        <f>IF(SUM($I60:CB60)&lt;1,IF($C60&lt;=CC$4,1/$E$41,0),0)</f>
        <v>0</v>
      </c>
      <c r="CD60" s="34">
        <f>IF(SUM($I60:CC60)&lt;1,IF($C60&lt;=CD$4,1/$E$41,0),0)</f>
        <v>0</v>
      </c>
      <c r="CE60" s="34">
        <f>IF(SUM($I60:CD60)&lt;1,IF($C60&lt;=CE$4,1/$E$41,0),0)</f>
        <v>0</v>
      </c>
      <c r="CF60" s="34">
        <f>IF(SUM($I60:CE60)&lt;1,IF($C60&lt;=CF$4,1/$E$41,0),0)</f>
        <v>0</v>
      </c>
      <c r="CG60" s="34">
        <f>IF(SUM($I60:CF60)&lt;1,IF($C60&lt;=CG$4,1/$E$41,0),0)</f>
        <v>0</v>
      </c>
      <c r="CH60" s="34">
        <f>IF(SUM($I60:CG60)&lt;1,IF($C60&lt;=CH$4,1/$E$41,0),0)</f>
        <v>0</v>
      </c>
      <c r="CI60" s="34">
        <f>IF(SUM($I60:CH60)&lt;1,IF($C60&lt;=CI$4,1/$E$41,0),0)</f>
        <v>0</v>
      </c>
      <c r="CJ60" s="34">
        <f>IF(SUM($I60:CI60)&lt;1,IF($C60&lt;=CJ$4,1/$E$41,0),0)</f>
        <v>0</v>
      </c>
      <c r="CK60" s="34">
        <f>IF(SUM($I60:CJ60)&lt;1,IF($C60&lt;=CK$4,1/$E$41,0),0)</f>
        <v>0</v>
      </c>
      <c r="CL60" s="34">
        <f>IF(SUM($I60:CK60)&lt;1,IF($C60&lt;=CL$4,1/$E$41,0),0)</f>
        <v>0</v>
      </c>
      <c r="CM60" s="34">
        <f>IF(SUM($I60:CL60)&lt;1,IF($C60&lt;=CM$4,1/$E$41,0),0)</f>
        <v>0</v>
      </c>
      <c r="CN60" s="34">
        <f>IF(SUM($I60:CM60)&lt;1,IF($C60&lt;=CN$4,1/$E$41,0),0)</f>
        <v>0</v>
      </c>
      <c r="CO60" s="34">
        <f>IF(SUM($I60:CN60)&lt;1,IF($C60&lt;=CO$4,1/$E$41,0),0)</f>
        <v>0</v>
      </c>
      <c r="CP60" s="34">
        <f>IF(SUM($I60:CO60)&lt;1,IF($C60&lt;=CP$4,1/$E$41,0),0)</f>
        <v>0</v>
      </c>
      <c r="CQ60" s="34">
        <f>IF(SUM($I60:CP60)&lt;1,IF($C60&lt;=CQ$4,1/$E$41,0),0)</f>
        <v>0</v>
      </c>
      <c r="CR60" s="34">
        <f>IF(SUM($I60:CQ60)&lt;1,IF($C60&lt;=CR$4,1/$E$41,0),0)</f>
        <v>0</v>
      </c>
      <c r="CS60" s="34">
        <f>IF(SUM($I60:CR60)&lt;1,IF($C60&lt;=CS$4,1/$E$41,0),0)</f>
        <v>0</v>
      </c>
      <c r="CT60" s="34">
        <f>IF(SUM($I60:CS60)&lt;1,IF($C60&lt;=CT$4,1/$E$41,0),0)</f>
        <v>0</v>
      </c>
      <c r="CU60" s="34">
        <f>IF(SUM($I60:CT60)&lt;1,IF($C60&lt;=CU$4,1/$E$41,0),0)</f>
        <v>0</v>
      </c>
      <c r="CV60" s="34">
        <f>IF(SUM($I60:CU60)&lt;1,IF($C60&lt;=CV$4,1/$E$41,0),0)</f>
        <v>0</v>
      </c>
      <c r="CW60" s="34">
        <f>IF(SUM($I60:CV60)&lt;1,IF($C60&lt;=CW$4,1/$E$41,0),0)</f>
        <v>0</v>
      </c>
      <c r="CX60" s="34">
        <f>IF(SUM($I60:CW60)&lt;1,IF($C60&lt;=CX$4,1/$E$41,0),0)</f>
        <v>0</v>
      </c>
      <c r="CY60" s="34">
        <f>IF(SUM($I60:CX60)&lt;1,IF($C60&lt;=CY$4,1/$E$41,0),0)</f>
        <v>0</v>
      </c>
      <c r="CZ60" s="34">
        <f>IF(SUM($I60:CY60)&lt;1,IF($C60&lt;=CZ$4,1/$E$41,0),0)</f>
        <v>0</v>
      </c>
      <c r="DA60" s="34">
        <f>IF(SUM($I60:CZ60)&lt;1,IF($C60&lt;=DA$4,1/$E$41,0),0)</f>
        <v>0</v>
      </c>
      <c r="DB60" s="34">
        <f>IF(SUM($I60:DA60)&lt;1,IF($C60&lt;=DB$4,1/$E$41,0),0)</f>
        <v>0</v>
      </c>
      <c r="DC60" s="34">
        <f>IF(SUM($I60:DB60)&lt;1,IF($C60&lt;=DC$4,1/$E$41,0),0)</f>
        <v>0</v>
      </c>
      <c r="DD60" s="34">
        <f>IF(SUM($I60:DC60)&lt;1,IF($C60&lt;=DD$4,1/$E$41,0),0)</f>
        <v>0</v>
      </c>
      <c r="DE60" s="34">
        <f>IF(SUM($I60:DD60)&lt;1,IF($C60&lt;=DE$4,1/$E$41,0),0)</f>
        <v>0</v>
      </c>
      <c r="DF60" s="34">
        <f>IF(SUM($I60:DE60)&lt;1,IF($C60&lt;=DF$4,1/$E$41,0),0)</f>
        <v>0</v>
      </c>
      <c r="DG60" s="34">
        <f>IF(SUM($I60:DF60)&lt;1,IF($C60&lt;=DG$4,1/$E$41,0),0)</f>
        <v>0</v>
      </c>
      <c r="DH60" s="34">
        <f>IF(SUM($I60:DG60)&lt;1,IF($C60&lt;=DH$4,1/$E$41,0),0)</f>
        <v>0</v>
      </c>
      <c r="DI60" s="34">
        <f>IF(SUM($I60:DH60)&lt;1,IF($C60&lt;=DI$4,1/$E$41,0),0)</f>
        <v>0</v>
      </c>
      <c r="DJ60" s="34">
        <f>IF(SUM($I60:DI60)&lt;1,IF($C60&lt;=DJ$4,1/$E$41,0),0)</f>
        <v>0</v>
      </c>
      <c r="DK60" s="34">
        <f>IF(SUM($I60:DJ60)&lt;1,IF($C60&lt;=DK$4,1/$E$41,0),0)</f>
        <v>0</v>
      </c>
      <c r="DL60" s="34">
        <f>IF(SUM($I60:DK60)&lt;1,IF($C60&lt;=DL$4,1/$E$41,0),0)</f>
        <v>0</v>
      </c>
      <c r="DM60" s="34">
        <f>IF(SUM($I60:DL60)&lt;1,IF($C60&lt;=DM$4,1/$E$41,0),0)</f>
        <v>0</v>
      </c>
    </row>
    <row r="61" spans="3:117" outlineLevel="1" x14ac:dyDescent="0.15">
      <c r="C61" s="50">
        <f t="shared" si="48"/>
        <v>17</v>
      </c>
      <c r="D61" s="5" t="s">
        <v>18</v>
      </c>
      <c r="E61" s="19">
        <f t="shared" si="47"/>
        <v>0</v>
      </c>
      <c r="I61" s="9"/>
      <c r="J61" s="34">
        <f>IF(SUM($I61:I61)&lt;1,IF($C61&lt;=J$4,1/$E$41,0),0)</f>
        <v>0</v>
      </c>
      <c r="K61" s="34">
        <f>IF(SUM($I61:J61)&lt;1,IF($C61&lt;=K$4,1/$E$41,0),0)</f>
        <v>0</v>
      </c>
      <c r="L61" s="34">
        <f>IF(SUM($I61:K61)&lt;1,IF($C61&lt;=L$4,1/$E$41,0),0)</f>
        <v>0</v>
      </c>
      <c r="M61" s="34">
        <f>IF(SUM($I61:L61)&lt;1,IF($C61&lt;=M$4,1/$E$41,0),0)</f>
        <v>0</v>
      </c>
      <c r="N61" s="34">
        <f>IF(SUM($I61:M61)&lt;1,IF($C61&lt;=N$4,1/$E$41,0),0)</f>
        <v>0</v>
      </c>
      <c r="O61" s="34">
        <f>IF(SUM($I61:N61)&lt;1,IF($C61&lt;=O$4,1/$E$41,0),0)</f>
        <v>0</v>
      </c>
      <c r="P61" s="34">
        <f>IF(SUM($I61:O61)&lt;1,IF($C61&lt;=P$4,1/$E$41,0),0)</f>
        <v>0</v>
      </c>
      <c r="Q61" s="34">
        <f>IF(SUM($I61:P61)&lt;1,IF($C61&lt;=Q$4,1/$E$41,0),0)</f>
        <v>0</v>
      </c>
      <c r="R61" s="34">
        <f>IF(SUM($I61:Q61)&lt;1,IF($C61&lt;=R$4,1/$E$41,0),0)</f>
        <v>0</v>
      </c>
      <c r="S61" s="34">
        <f>IF(SUM($I61:R61)&lt;1,IF($C61&lt;=S$4,1/$E$41,0),0)</f>
        <v>0</v>
      </c>
      <c r="T61" s="34">
        <f>IF(SUM($I61:S61)&lt;1,IF($C61&lt;=T$4,1/$E$41,0),0)</f>
        <v>0</v>
      </c>
      <c r="U61" s="34">
        <f>IF(SUM($I61:T61)&lt;1,IF($C61&lt;=U$4,1/$E$41,0),0)</f>
        <v>0</v>
      </c>
      <c r="V61" s="34">
        <f>IF(SUM($I61:U61)&lt;1,IF($C61&lt;=V$4,1/$E$41,0),0)</f>
        <v>0</v>
      </c>
      <c r="W61" s="34">
        <f>IF(SUM($I61:V61)&lt;1,IF($C61&lt;=W$4,1/$E$41,0),0)</f>
        <v>0</v>
      </c>
      <c r="X61" s="34">
        <f>IF(SUM($I61:W61)&lt;1,IF($C61&lt;=X$4,1/$E$41,0),0)</f>
        <v>0</v>
      </c>
      <c r="Y61" s="34">
        <f>IF(SUM($I61:X61)&lt;1,IF($C61&lt;=Y$4,1/$E$41,0),0)</f>
        <v>0</v>
      </c>
      <c r="Z61" s="34">
        <f>IF(SUM($I61:Y61)&lt;1,IF($C61&lt;=Z$4,1/$E$41,0),0)</f>
        <v>0.25</v>
      </c>
      <c r="AA61" s="34">
        <f>IF(SUM($I61:Z61)&lt;1,IF($C61&lt;=AA$4,1/$E$41,0),0)</f>
        <v>0.25</v>
      </c>
      <c r="AB61" s="34">
        <f>IF(SUM($I61:AA61)&lt;1,IF($C61&lt;=AB$4,1/$E$41,0),0)</f>
        <v>0.25</v>
      </c>
      <c r="AC61" s="34">
        <f>IF(SUM($I61:AB61)&lt;1,IF($C61&lt;=AC$4,1/$E$41,0),0)</f>
        <v>0.25</v>
      </c>
      <c r="AD61" s="34">
        <f>IF(SUM($I61:AC61)&lt;1,IF($C61&lt;=AD$4,1/$E$41,0),0)</f>
        <v>0</v>
      </c>
      <c r="AE61" s="34">
        <f>IF(SUM($I61:AD61)&lt;1,IF($C61&lt;=AE$4,1/$E$41,0),0)</f>
        <v>0</v>
      </c>
      <c r="AF61" s="34">
        <f>IF(SUM($I61:AE61)&lt;1,IF($C61&lt;=AF$4,1/$E$41,0),0)</f>
        <v>0</v>
      </c>
      <c r="AG61" s="34">
        <f>IF(SUM($I61:AF61)&lt;1,IF($C61&lt;=AG$4,1/$E$41,0),0)</f>
        <v>0</v>
      </c>
      <c r="AH61" s="34">
        <f>IF(SUM($I61:AG61)&lt;1,IF($C61&lt;=AH$4,1/$E$41,0),0)</f>
        <v>0</v>
      </c>
      <c r="AI61" s="34">
        <f>IF(SUM($I61:AH61)&lt;1,IF($C61&lt;=AI$4,1/$E$41,0),0)</f>
        <v>0</v>
      </c>
      <c r="AJ61" s="34">
        <f>IF(SUM($I61:AI61)&lt;1,IF($C61&lt;=AJ$4,1/$E$41,0),0)</f>
        <v>0</v>
      </c>
      <c r="AK61" s="34">
        <f>IF(SUM($I61:AJ61)&lt;1,IF($C61&lt;=AK$4,1/$E$41,0),0)</f>
        <v>0</v>
      </c>
      <c r="AL61" s="34">
        <f>IF(SUM($I61:AK61)&lt;1,IF($C61&lt;=AL$4,1/$E$41,0),0)</f>
        <v>0</v>
      </c>
      <c r="AM61" s="34">
        <f>IF(SUM($I61:AL61)&lt;1,IF($C61&lt;=AM$4,1/$E$41,0),0)</f>
        <v>0</v>
      </c>
      <c r="AN61" s="34">
        <f>IF(SUM($I61:AM61)&lt;1,IF($C61&lt;=AN$4,1/$E$41,0),0)</f>
        <v>0</v>
      </c>
      <c r="AO61" s="34">
        <f>IF(SUM($I61:AN61)&lt;1,IF($C61&lt;=AO$4,1/$E$41,0),0)</f>
        <v>0</v>
      </c>
      <c r="AP61" s="34">
        <f>IF(SUM($I61:AO61)&lt;1,IF($C61&lt;=AP$4,1/$E$41,0),0)</f>
        <v>0</v>
      </c>
      <c r="AQ61" s="34">
        <f>IF(SUM($I61:AP61)&lt;1,IF($C61&lt;=AQ$4,1/$E$41,0),0)</f>
        <v>0</v>
      </c>
      <c r="AR61" s="34">
        <f>IF(SUM($I61:AQ61)&lt;1,IF($C61&lt;=AR$4,1/$E$41,0),0)</f>
        <v>0</v>
      </c>
      <c r="AS61" s="34">
        <f>IF(SUM($I61:AR61)&lt;1,IF($C61&lt;=AS$4,1/$E$41,0),0)</f>
        <v>0</v>
      </c>
      <c r="AT61" s="34">
        <f>IF(SUM($I61:AS61)&lt;1,IF($C61&lt;=AT$4,1/$E$41,0),0)</f>
        <v>0</v>
      </c>
      <c r="AU61" s="34">
        <f>IF(SUM($I61:AT61)&lt;1,IF($C61&lt;=AU$4,1/$E$41,0),0)</f>
        <v>0</v>
      </c>
      <c r="AV61" s="34">
        <f>IF(SUM($I61:AU61)&lt;1,IF($C61&lt;=AV$4,1/$E$41,0),0)</f>
        <v>0</v>
      </c>
      <c r="AW61" s="34">
        <f>IF(SUM($I61:AV61)&lt;1,IF($C61&lt;=AW$4,1/$E$41,0),0)</f>
        <v>0</v>
      </c>
      <c r="AX61" s="34">
        <f>IF(SUM($I61:AW61)&lt;1,IF($C61&lt;=AX$4,1/$E$41,0),0)</f>
        <v>0</v>
      </c>
      <c r="AY61" s="34">
        <f>IF(SUM($I61:AX61)&lt;1,IF($C61&lt;=AY$4,1/$E$41,0),0)</f>
        <v>0</v>
      </c>
      <c r="AZ61" s="34">
        <f>IF(SUM($I61:AY61)&lt;1,IF($C61&lt;=AZ$4,1/$E$41,0),0)</f>
        <v>0</v>
      </c>
      <c r="BA61" s="34">
        <f>IF(SUM($I61:AZ61)&lt;1,IF($C61&lt;=BA$4,1/$E$41,0),0)</f>
        <v>0</v>
      </c>
      <c r="BB61" s="34">
        <f>IF(SUM($I61:BA61)&lt;1,IF($C61&lt;=BB$4,1/$E$41,0),0)</f>
        <v>0</v>
      </c>
      <c r="BC61" s="34">
        <f>IF(SUM($I61:BB61)&lt;1,IF($C61&lt;=BC$4,1/$E$41,0),0)</f>
        <v>0</v>
      </c>
      <c r="BD61" s="34">
        <f>IF(SUM($I61:BC61)&lt;1,IF($C61&lt;=BD$4,1/$E$41,0),0)</f>
        <v>0</v>
      </c>
      <c r="BE61" s="34">
        <f>IF(SUM($I61:BD61)&lt;1,IF($C61&lt;=BE$4,1/$E$41,0),0)</f>
        <v>0</v>
      </c>
      <c r="BF61" s="34">
        <f>IF(SUM($I61:BE61)&lt;1,IF($C61&lt;=BF$4,1/$E$41,0),0)</f>
        <v>0</v>
      </c>
      <c r="BG61" s="34">
        <f>IF(SUM($I61:BF61)&lt;1,IF($C61&lt;=BG$4,1/$E$41,0),0)</f>
        <v>0</v>
      </c>
      <c r="BH61" s="34">
        <f>IF(SUM($I61:BG61)&lt;1,IF($C61&lt;=BH$4,1/$E$41,0),0)</f>
        <v>0</v>
      </c>
      <c r="BI61" s="34">
        <f>IF(SUM($I61:BH61)&lt;1,IF($C61&lt;=BI$4,1/$E$41,0),0)</f>
        <v>0</v>
      </c>
      <c r="BJ61" s="34">
        <f>IF(SUM($I61:BI61)&lt;1,IF($C61&lt;=BJ$4,1/$E$41,0),0)</f>
        <v>0</v>
      </c>
      <c r="BK61" s="34">
        <f>IF(SUM($I61:BJ61)&lt;1,IF($C61&lt;=BK$4,1/$E$41,0),0)</f>
        <v>0</v>
      </c>
      <c r="BL61" s="34">
        <f>IF(SUM($I61:BK61)&lt;1,IF($C61&lt;=BL$4,1/$E$41,0),0)</f>
        <v>0</v>
      </c>
      <c r="BM61" s="34">
        <f>IF(SUM($I61:BL61)&lt;1,IF($C61&lt;=BM$4,1/$E$41,0),0)</f>
        <v>0</v>
      </c>
      <c r="BN61" s="34">
        <f>IF(SUM($I61:BM61)&lt;1,IF($C61&lt;=BN$4,1/$E$41,0),0)</f>
        <v>0</v>
      </c>
      <c r="BO61" s="34">
        <f>IF(SUM($I61:BN61)&lt;1,IF($C61&lt;=BO$4,1/$E$41,0),0)</f>
        <v>0</v>
      </c>
      <c r="BP61" s="34">
        <f>IF(SUM($I61:BO61)&lt;1,IF($C61&lt;=BP$4,1/$E$41,0),0)</f>
        <v>0</v>
      </c>
      <c r="BQ61" s="34">
        <f>IF(SUM($I61:BP61)&lt;1,IF($C61&lt;=BQ$4,1/$E$41,0),0)</f>
        <v>0</v>
      </c>
      <c r="BR61" s="34">
        <f>IF(SUM($I61:BQ61)&lt;1,IF($C61&lt;=BR$4,1/$E$41,0),0)</f>
        <v>0</v>
      </c>
      <c r="BS61" s="34">
        <f>IF(SUM($I61:BR61)&lt;1,IF($C61&lt;=BS$4,1/$E$41,0),0)</f>
        <v>0</v>
      </c>
      <c r="BT61" s="34">
        <f>IF(SUM($I61:BS61)&lt;1,IF($C61&lt;=BT$4,1/$E$41,0),0)</f>
        <v>0</v>
      </c>
      <c r="BU61" s="34">
        <f>IF(SUM($I61:BT61)&lt;1,IF($C61&lt;=BU$4,1/$E$41,0),0)</f>
        <v>0</v>
      </c>
      <c r="BV61" s="34">
        <f>IF(SUM($I61:BU61)&lt;1,IF($C61&lt;=BV$4,1/$E$41,0),0)</f>
        <v>0</v>
      </c>
      <c r="BW61" s="34">
        <f>IF(SUM($I61:BV61)&lt;1,IF($C61&lt;=BW$4,1/$E$41,0),0)</f>
        <v>0</v>
      </c>
      <c r="BX61" s="34">
        <f>IF(SUM($I61:BW61)&lt;1,IF($C61&lt;=BX$4,1/$E$41,0),0)</f>
        <v>0</v>
      </c>
      <c r="BY61" s="34">
        <f>IF(SUM($I61:BX61)&lt;1,IF($C61&lt;=BY$4,1/$E$41,0),0)</f>
        <v>0</v>
      </c>
      <c r="BZ61" s="34">
        <f>IF(SUM($I61:BY61)&lt;1,IF($C61&lt;=BZ$4,1/$E$41,0),0)</f>
        <v>0</v>
      </c>
      <c r="CA61" s="34">
        <f>IF(SUM($I61:BZ61)&lt;1,IF($C61&lt;=CA$4,1/$E$41,0),0)</f>
        <v>0</v>
      </c>
      <c r="CB61" s="34">
        <f>IF(SUM($I61:CA61)&lt;1,IF($C61&lt;=CB$4,1/$E$41,0),0)</f>
        <v>0</v>
      </c>
      <c r="CC61" s="34">
        <f>IF(SUM($I61:CB61)&lt;1,IF($C61&lt;=CC$4,1/$E$41,0),0)</f>
        <v>0</v>
      </c>
      <c r="CD61" s="34">
        <f>IF(SUM($I61:CC61)&lt;1,IF($C61&lt;=CD$4,1/$E$41,0),0)</f>
        <v>0</v>
      </c>
      <c r="CE61" s="34">
        <f>IF(SUM($I61:CD61)&lt;1,IF($C61&lt;=CE$4,1/$E$41,0),0)</f>
        <v>0</v>
      </c>
      <c r="CF61" s="34">
        <f>IF(SUM($I61:CE61)&lt;1,IF($C61&lt;=CF$4,1/$E$41,0),0)</f>
        <v>0</v>
      </c>
      <c r="CG61" s="34">
        <f>IF(SUM($I61:CF61)&lt;1,IF($C61&lt;=CG$4,1/$E$41,0),0)</f>
        <v>0</v>
      </c>
      <c r="CH61" s="34">
        <f>IF(SUM($I61:CG61)&lt;1,IF($C61&lt;=CH$4,1/$E$41,0),0)</f>
        <v>0</v>
      </c>
      <c r="CI61" s="34">
        <f>IF(SUM($I61:CH61)&lt;1,IF($C61&lt;=CI$4,1/$E$41,0),0)</f>
        <v>0</v>
      </c>
      <c r="CJ61" s="34">
        <f>IF(SUM($I61:CI61)&lt;1,IF($C61&lt;=CJ$4,1/$E$41,0),0)</f>
        <v>0</v>
      </c>
      <c r="CK61" s="34">
        <f>IF(SUM($I61:CJ61)&lt;1,IF($C61&lt;=CK$4,1/$E$41,0),0)</f>
        <v>0</v>
      </c>
      <c r="CL61" s="34">
        <f>IF(SUM($I61:CK61)&lt;1,IF($C61&lt;=CL$4,1/$E$41,0),0)</f>
        <v>0</v>
      </c>
      <c r="CM61" s="34">
        <f>IF(SUM($I61:CL61)&lt;1,IF($C61&lt;=CM$4,1/$E$41,0),0)</f>
        <v>0</v>
      </c>
      <c r="CN61" s="34">
        <f>IF(SUM($I61:CM61)&lt;1,IF($C61&lt;=CN$4,1/$E$41,0),0)</f>
        <v>0</v>
      </c>
      <c r="CO61" s="34">
        <f>IF(SUM($I61:CN61)&lt;1,IF($C61&lt;=CO$4,1/$E$41,0),0)</f>
        <v>0</v>
      </c>
      <c r="CP61" s="34">
        <f>IF(SUM($I61:CO61)&lt;1,IF($C61&lt;=CP$4,1/$E$41,0),0)</f>
        <v>0</v>
      </c>
      <c r="CQ61" s="34">
        <f>IF(SUM($I61:CP61)&lt;1,IF($C61&lt;=CQ$4,1/$E$41,0),0)</f>
        <v>0</v>
      </c>
      <c r="CR61" s="34">
        <f>IF(SUM($I61:CQ61)&lt;1,IF($C61&lt;=CR$4,1/$E$41,0),0)</f>
        <v>0</v>
      </c>
      <c r="CS61" s="34">
        <f>IF(SUM($I61:CR61)&lt;1,IF($C61&lt;=CS$4,1/$E$41,0),0)</f>
        <v>0</v>
      </c>
      <c r="CT61" s="34">
        <f>IF(SUM($I61:CS61)&lt;1,IF($C61&lt;=CT$4,1/$E$41,0),0)</f>
        <v>0</v>
      </c>
      <c r="CU61" s="34">
        <f>IF(SUM($I61:CT61)&lt;1,IF($C61&lt;=CU$4,1/$E$41,0),0)</f>
        <v>0</v>
      </c>
      <c r="CV61" s="34">
        <f>IF(SUM($I61:CU61)&lt;1,IF($C61&lt;=CV$4,1/$E$41,0),0)</f>
        <v>0</v>
      </c>
      <c r="CW61" s="34">
        <f>IF(SUM($I61:CV61)&lt;1,IF($C61&lt;=CW$4,1/$E$41,0),0)</f>
        <v>0</v>
      </c>
      <c r="CX61" s="34">
        <f>IF(SUM($I61:CW61)&lt;1,IF($C61&lt;=CX$4,1/$E$41,0),0)</f>
        <v>0</v>
      </c>
      <c r="CY61" s="34">
        <f>IF(SUM($I61:CX61)&lt;1,IF($C61&lt;=CY$4,1/$E$41,0),0)</f>
        <v>0</v>
      </c>
      <c r="CZ61" s="34">
        <f>IF(SUM($I61:CY61)&lt;1,IF($C61&lt;=CZ$4,1/$E$41,0),0)</f>
        <v>0</v>
      </c>
      <c r="DA61" s="34">
        <f>IF(SUM($I61:CZ61)&lt;1,IF($C61&lt;=DA$4,1/$E$41,0),0)</f>
        <v>0</v>
      </c>
      <c r="DB61" s="34">
        <f>IF(SUM($I61:DA61)&lt;1,IF($C61&lt;=DB$4,1/$E$41,0),0)</f>
        <v>0</v>
      </c>
      <c r="DC61" s="34">
        <f>IF(SUM($I61:DB61)&lt;1,IF($C61&lt;=DC$4,1/$E$41,0),0)</f>
        <v>0</v>
      </c>
      <c r="DD61" s="34">
        <f>IF(SUM($I61:DC61)&lt;1,IF($C61&lt;=DD$4,1/$E$41,0),0)</f>
        <v>0</v>
      </c>
      <c r="DE61" s="34">
        <f>IF(SUM($I61:DD61)&lt;1,IF($C61&lt;=DE$4,1/$E$41,0),0)</f>
        <v>0</v>
      </c>
      <c r="DF61" s="34">
        <f>IF(SUM($I61:DE61)&lt;1,IF($C61&lt;=DF$4,1/$E$41,0),0)</f>
        <v>0</v>
      </c>
      <c r="DG61" s="34">
        <f>IF(SUM($I61:DF61)&lt;1,IF($C61&lt;=DG$4,1/$E$41,0),0)</f>
        <v>0</v>
      </c>
      <c r="DH61" s="34">
        <f>IF(SUM($I61:DG61)&lt;1,IF($C61&lt;=DH$4,1/$E$41,0),0)</f>
        <v>0</v>
      </c>
      <c r="DI61" s="34">
        <f>IF(SUM($I61:DH61)&lt;1,IF($C61&lt;=DI$4,1/$E$41,0),0)</f>
        <v>0</v>
      </c>
      <c r="DJ61" s="34">
        <f>IF(SUM($I61:DI61)&lt;1,IF($C61&lt;=DJ$4,1/$E$41,0),0)</f>
        <v>0</v>
      </c>
      <c r="DK61" s="34">
        <f>IF(SUM($I61:DJ61)&lt;1,IF($C61&lt;=DK$4,1/$E$41,0),0)</f>
        <v>0</v>
      </c>
      <c r="DL61" s="34">
        <f>IF(SUM($I61:DK61)&lt;1,IF($C61&lt;=DL$4,1/$E$41,0),0)</f>
        <v>0</v>
      </c>
      <c r="DM61" s="34">
        <f>IF(SUM($I61:DL61)&lt;1,IF($C61&lt;=DM$4,1/$E$41,0),0)</f>
        <v>0</v>
      </c>
    </row>
    <row r="62" spans="3:117" outlineLevel="1" x14ac:dyDescent="0.15">
      <c r="C62" s="50">
        <f t="shared" si="48"/>
        <v>18</v>
      </c>
      <c r="D62" s="5" t="s">
        <v>18</v>
      </c>
      <c r="E62" s="19">
        <f t="shared" si="47"/>
        <v>0</v>
      </c>
      <c r="I62" s="9"/>
      <c r="J62" s="34">
        <f>IF(SUM($I62:I62)&lt;1,IF($C62&lt;=J$4,1/$E$41,0),0)</f>
        <v>0</v>
      </c>
      <c r="K62" s="34">
        <f>IF(SUM($I62:J62)&lt;1,IF($C62&lt;=K$4,1/$E$41,0),0)</f>
        <v>0</v>
      </c>
      <c r="L62" s="34">
        <f>IF(SUM($I62:K62)&lt;1,IF($C62&lt;=L$4,1/$E$41,0),0)</f>
        <v>0</v>
      </c>
      <c r="M62" s="34">
        <f>IF(SUM($I62:L62)&lt;1,IF($C62&lt;=M$4,1/$E$41,0),0)</f>
        <v>0</v>
      </c>
      <c r="N62" s="34">
        <f>IF(SUM($I62:M62)&lt;1,IF($C62&lt;=N$4,1/$E$41,0),0)</f>
        <v>0</v>
      </c>
      <c r="O62" s="34">
        <f>IF(SUM($I62:N62)&lt;1,IF($C62&lt;=O$4,1/$E$41,0),0)</f>
        <v>0</v>
      </c>
      <c r="P62" s="34">
        <f>IF(SUM($I62:O62)&lt;1,IF($C62&lt;=P$4,1/$E$41,0),0)</f>
        <v>0</v>
      </c>
      <c r="Q62" s="34">
        <f>IF(SUM($I62:P62)&lt;1,IF($C62&lt;=Q$4,1/$E$41,0),0)</f>
        <v>0</v>
      </c>
      <c r="R62" s="34">
        <f>IF(SUM($I62:Q62)&lt;1,IF($C62&lt;=R$4,1/$E$41,0),0)</f>
        <v>0</v>
      </c>
      <c r="S62" s="34">
        <f>IF(SUM($I62:R62)&lt;1,IF($C62&lt;=S$4,1/$E$41,0),0)</f>
        <v>0</v>
      </c>
      <c r="T62" s="34">
        <f>IF(SUM($I62:S62)&lt;1,IF($C62&lt;=T$4,1/$E$41,0),0)</f>
        <v>0</v>
      </c>
      <c r="U62" s="34">
        <f>IF(SUM($I62:T62)&lt;1,IF($C62&lt;=U$4,1/$E$41,0),0)</f>
        <v>0</v>
      </c>
      <c r="V62" s="34">
        <f>IF(SUM($I62:U62)&lt;1,IF($C62&lt;=V$4,1/$E$41,0),0)</f>
        <v>0</v>
      </c>
      <c r="W62" s="34">
        <f>IF(SUM($I62:V62)&lt;1,IF($C62&lt;=W$4,1/$E$41,0),0)</f>
        <v>0</v>
      </c>
      <c r="X62" s="34">
        <f>IF(SUM($I62:W62)&lt;1,IF($C62&lt;=X$4,1/$E$41,0),0)</f>
        <v>0</v>
      </c>
      <c r="Y62" s="34">
        <f>IF(SUM($I62:X62)&lt;1,IF($C62&lt;=Y$4,1/$E$41,0),0)</f>
        <v>0</v>
      </c>
      <c r="Z62" s="34">
        <f>IF(SUM($I62:Y62)&lt;1,IF($C62&lt;=Z$4,1/$E$41,0),0)</f>
        <v>0</v>
      </c>
      <c r="AA62" s="34">
        <f>IF(SUM($I62:Z62)&lt;1,IF($C62&lt;=AA$4,1/$E$41,0),0)</f>
        <v>0.25</v>
      </c>
      <c r="AB62" s="34">
        <f>IF(SUM($I62:AA62)&lt;1,IF($C62&lt;=AB$4,1/$E$41,0),0)</f>
        <v>0.25</v>
      </c>
      <c r="AC62" s="34">
        <f>IF(SUM($I62:AB62)&lt;1,IF($C62&lt;=AC$4,1/$E$41,0),0)</f>
        <v>0.25</v>
      </c>
      <c r="AD62" s="34">
        <f>IF(SUM($I62:AC62)&lt;1,IF($C62&lt;=AD$4,1/$E$41,0),0)</f>
        <v>0.25</v>
      </c>
      <c r="AE62" s="34">
        <f>IF(SUM($I62:AD62)&lt;1,IF($C62&lt;=AE$4,1/$E$41,0),0)</f>
        <v>0</v>
      </c>
      <c r="AF62" s="34">
        <f>IF(SUM($I62:AE62)&lt;1,IF($C62&lt;=AF$4,1/$E$41,0),0)</f>
        <v>0</v>
      </c>
      <c r="AG62" s="34">
        <f>IF(SUM($I62:AF62)&lt;1,IF($C62&lt;=AG$4,1/$E$41,0),0)</f>
        <v>0</v>
      </c>
      <c r="AH62" s="34">
        <f>IF(SUM($I62:AG62)&lt;1,IF($C62&lt;=AH$4,1/$E$41,0),0)</f>
        <v>0</v>
      </c>
      <c r="AI62" s="34">
        <f>IF(SUM($I62:AH62)&lt;1,IF($C62&lt;=AI$4,1/$E$41,0),0)</f>
        <v>0</v>
      </c>
      <c r="AJ62" s="34">
        <f>IF(SUM($I62:AI62)&lt;1,IF($C62&lt;=AJ$4,1/$E$41,0),0)</f>
        <v>0</v>
      </c>
      <c r="AK62" s="34">
        <f>IF(SUM($I62:AJ62)&lt;1,IF($C62&lt;=AK$4,1/$E$41,0),0)</f>
        <v>0</v>
      </c>
      <c r="AL62" s="34">
        <f>IF(SUM($I62:AK62)&lt;1,IF($C62&lt;=AL$4,1/$E$41,0),0)</f>
        <v>0</v>
      </c>
      <c r="AM62" s="34">
        <f>IF(SUM($I62:AL62)&lt;1,IF($C62&lt;=AM$4,1/$E$41,0),0)</f>
        <v>0</v>
      </c>
      <c r="AN62" s="34">
        <f>IF(SUM($I62:AM62)&lt;1,IF($C62&lt;=AN$4,1/$E$41,0),0)</f>
        <v>0</v>
      </c>
      <c r="AO62" s="34">
        <f>IF(SUM($I62:AN62)&lt;1,IF($C62&lt;=AO$4,1/$E$41,0),0)</f>
        <v>0</v>
      </c>
      <c r="AP62" s="34">
        <f>IF(SUM($I62:AO62)&lt;1,IF($C62&lt;=AP$4,1/$E$41,0),0)</f>
        <v>0</v>
      </c>
      <c r="AQ62" s="34">
        <f>IF(SUM($I62:AP62)&lt;1,IF($C62&lt;=AQ$4,1/$E$41,0),0)</f>
        <v>0</v>
      </c>
      <c r="AR62" s="34">
        <f>IF(SUM($I62:AQ62)&lt;1,IF($C62&lt;=AR$4,1/$E$41,0),0)</f>
        <v>0</v>
      </c>
      <c r="AS62" s="34">
        <f>IF(SUM($I62:AR62)&lt;1,IF($C62&lt;=AS$4,1/$E$41,0),0)</f>
        <v>0</v>
      </c>
      <c r="AT62" s="34">
        <f>IF(SUM($I62:AS62)&lt;1,IF($C62&lt;=AT$4,1/$E$41,0),0)</f>
        <v>0</v>
      </c>
      <c r="AU62" s="34">
        <f>IF(SUM($I62:AT62)&lt;1,IF($C62&lt;=AU$4,1/$E$41,0),0)</f>
        <v>0</v>
      </c>
      <c r="AV62" s="34">
        <f>IF(SUM($I62:AU62)&lt;1,IF($C62&lt;=AV$4,1/$E$41,0),0)</f>
        <v>0</v>
      </c>
      <c r="AW62" s="34">
        <f>IF(SUM($I62:AV62)&lt;1,IF($C62&lt;=AW$4,1/$E$41,0),0)</f>
        <v>0</v>
      </c>
      <c r="AX62" s="34">
        <f>IF(SUM($I62:AW62)&lt;1,IF($C62&lt;=AX$4,1/$E$41,0),0)</f>
        <v>0</v>
      </c>
      <c r="AY62" s="34">
        <f>IF(SUM($I62:AX62)&lt;1,IF($C62&lt;=AY$4,1/$E$41,0),0)</f>
        <v>0</v>
      </c>
      <c r="AZ62" s="34">
        <f>IF(SUM($I62:AY62)&lt;1,IF($C62&lt;=AZ$4,1/$E$41,0),0)</f>
        <v>0</v>
      </c>
      <c r="BA62" s="34">
        <f>IF(SUM($I62:AZ62)&lt;1,IF($C62&lt;=BA$4,1/$E$41,0),0)</f>
        <v>0</v>
      </c>
      <c r="BB62" s="34">
        <f>IF(SUM($I62:BA62)&lt;1,IF($C62&lt;=BB$4,1/$E$41,0),0)</f>
        <v>0</v>
      </c>
      <c r="BC62" s="34">
        <f>IF(SUM($I62:BB62)&lt;1,IF($C62&lt;=BC$4,1/$E$41,0),0)</f>
        <v>0</v>
      </c>
      <c r="BD62" s="34">
        <f>IF(SUM($I62:BC62)&lt;1,IF($C62&lt;=BD$4,1/$E$41,0),0)</f>
        <v>0</v>
      </c>
      <c r="BE62" s="34">
        <f>IF(SUM($I62:BD62)&lt;1,IF($C62&lt;=BE$4,1/$E$41,0),0)</f>
        <v>0</v>
      </c>
      <c r="BF62" s="34">
        <f>IF(SUM($I62:BE62)&lt;1,IF($C62&lt;=BF$4,1/$E$41,0),0)</f>
        <v>0</v>
      </c>
      <c r="BG62" s="34">
        <f>IF(SUM($I62:BF62)&lt;1,IF($C62&lt;=BG$4,1/$E$41,0),0)</f>
        <v>0</v>
      </c>
      <c r="BH62" s="34">
        <f>IF(SUM($I62:BG62)&lt;1,IF($C62&lt;=BH$4,1/$E$41,0),0)</f>
        <v>0</v>
      </c>
      <c r="BI62" s="34">
        <f>IF(SUM($I62:BH62)&lt;1,IF($C62&lt;=BI$4,1/$E$41,0),0)</f>
        <v>0</v>
      </c>
      <c r="BJ62" s="34">
        <f>IF(SUM($I62:BI62)&lt;1,IF($C62&lt;=BJ$4,1/$E$41,0),0)</f>
        <v>0</v>
      </c>
      <c r="BK62" s="34">
        <f>IF(SUM($I62:BJ62)&lt;1,IF($C62&lt;=BK$4,1/$E$41,0),0)</f>
        <v>0</v>
      </c>
      <c r="BL62" s="34">
        <f>IF(SUM($I62:BK62)&lt;1,IF($C62&lt;=BL$4,1/$E$41,0),0)</f>
        <v>0</v>
      </c>
      <c r="BM62" s="34">
        <f>IF(SUM($I62:BL62)&lt;1,IF($C62&lt;=BM$4,1/$E$41,0),0)</f>
        <v>0</v>
      </c>
      <c r="BN62" s="34">
        <f>IF(SUM($I62:BM62)&lt;1,IF($C62&lt;=BN$4,1/$E$41,0),0)</f>
        <v>0</v>
      </c>
      <c r="BO62" s="34">
        <f>IF(SUM($I62:BN62)&lt;1,IF($C62&lt;=BO$4,1/$E$41,0),0)</f>
        <v>0</v>
      </c>
      <c r="BP62" s="34">
        <f>IF(SUM($I62:BO62)&lt;1,IF($C62&lt;=BP$4,1/$E$41,0),0)</f>
        <v>0</v>
      </c>
      <c r="BQ62" s="34">
        <f>IF(SUM($I62:BP62)&lt;1,IF($C62&lt;=BQ$4,1/$E$41,0),0)</f>
        <v>0</v>
      </c>
      <c r="BR62" s="34">
        <f>IF(SUM($I62:BQ62)&lt;1,IF($C62&lt;=BR$4,1/$E$41,0),0)</f>
        <v>0</v>
      </c>
      <c r="BS62" s="34">
        <f>IF(SUM($I62:BR62)&lt;1,IF($C62&lt;=BS$4,1/$E$41,0),0)</f>
        <v>0</v>
      </c>
      <c r="BT62" s="34">
        <f>IF(SUM($I62:BS62)&lt;1,IF($C62&lt;=BT$4,1/$E$41,0),0)</f>
        <v>0</v>
      </c>
      <c r="BU62" s="34">
        <f>IF(SUM($I62:BT62)&lt;1,IF($C62&lt;=BU$4,1/$E$41,0),0)</f>
        <v>0</v>
      </c>
      <c r="BV62" s="34">
        <f>IF(SUM($I62:BU62)&lt;1,IF($C62&lt;=BV$4,1/$E$41,0),0)</f>
        <v>0</v>
      </c>
      <c r="BW62" s="34">
        <f>IF(SUM($I62:BV62)&lt;1,IF($C62&lt;=BW$4,1/$E$41,0),0)</f>
        <v>0</v>
      </c>
      <c r="BX62" s="34">
        <f>IF(SUM($I62:BW62)&lt;1,IF($C62&lt;=BX$4,1/$E$41,0),0)</f>
        <v>0</v>
      </c>
      <c r="BY62" s="34">
        <f>IF(SUM($I62:BX62)&lt;1,IF($C62&lt;=BY$4,1/$E$41,0),0)</f>
        <v>0</v>
      </c>
      <c r="BZ62" s="34">
        <f>IF(SUM($I62:BY62)&lt;1,IF($C62&lt;=BZ$4,1/$E$41,0),0)</f>
        <v>0</v>
      </c>
      <c r="CA62" s="34">
        <f>IF(SUM($I62:BZ62)&lt;1,IF($C62&lt;=CA$4,1/$E$41,0),0)</f>
        <v>0</v>
      </c>
      <c r="CB62" s="34">
        <f>IF(SUM($I62:CA62)&lt;1,IF($C62&lt;=CB$4,1/$E$41,0),0)</f>
        <v>0</v>
      </c>
      <c r="CC62" s="34">
        <f>IF(SUM($I62:CB62)&lt;1,IF($C62&lt;=CC$4,1/$E$41,0),0)</f>
        <v>0</v>
      </c>
      <c r="CD62" s="34">
        <f>IF(SUM($I62:CC62)&lt;1,IF($C62&lt;=CD$4,1/$E$41,0),0)</f>
        <v>0</v>
      </c>
      <c r="CE62" s="34">
        <f>IF(SUM($I62:CD62)&lt;1,IF($C62&lt;=CE$4,1/$E$41,0),0)</f>
        <v>0</v>
      </c>
      <c r="CF62" s="34">
        <f>IF(SUM($I62:CE62)&lt;1,IF($C62&lt;=CF$4,1/$E$41,0),0)</f>
        <v>0</v>
      </c>
      <c r="CG62" s="34">
        <f>IF(SUM($I62:CF62)&lt;1,IF($C62&lt;=CG$4,1/$E$41,0),0)</f>
        <v>0</v>
      </c>
      <c r="CH62" s="34">
        <f>IF(SUM($I62:CG62)&lt;1,IF($C62&lt;=CH$4,1/$E$41,0),0)</f>
        <v>0</v>
      </c>
      <c r="CI62" s="34">
        <f>IF(SUM($I62:CH62)&lt;1,IF($C62&lt;=CI$4,1/$E$41,0),0)</f>
        <v>0</v>
      </c>
      <c r="CJ62" s="34">
        <f>IF(SUM($I62:CI62)&lt;1,IF($C62&lt;=CJ$4,1/$E$41,0),0)</f>
        <v>0</v>
      </c>
      <c r="CK62" s="34">
        <f>IF(SUM($I62:CJ62)&lt;1,IF($C62&lt;=CK$4,1/$E$41,0),0)</f>
        <v>0</v>
      </c>
      <c r="CL62" s="34">
        <f>IF(SUM($I62:CK62)&lt;1,IF($C62&lt;=CL$4,1/$E$41,0),0)</f>
        <v>0</v>
      </c>
      <c r="CM62" s="34">
        <f>IF(SUM($I62:CL62)&lt;1,IF($C62&lt;=CM$4,1/$E$41,0),0)</f>
        <v>0</v>
      </c>
      <c r="CN62" s="34">
        <f>IF(SUM($I62:CM62)&lt;1,IF($C62&lt;=CN$4,1/$E$41,0),0)</f>
        <v>0</v>
      </c>
      <c r="CO62" s="34">
        <f>IF(SUM($I62:CN62)&lt;1,IF($C62&lt;=CO$4,1/$E$41,0),0)</f>
        <v>0</v>
      </c>
      <c r="CP62" s="34">
        <f>IF(SUM($I62:CO62)&lt;1,IF($C62&lt;=CP$4,1/$E$41,0),0)</f>
        <v>0</v>
      </c>
      <c r="CQ62" s="34">
        <f>IF(SUM($I62:CP62)&lt;1,IF($C62&lt;=CQ$4,1/$E$41,0),0)</f>
        <v>0</v>
      </c>
      <c r="CR62" s="34">
        <f>IF(SUM($I62:CQ62)&lt;1,IF($C62&lt;=CR$4,1/$E$41,0),0)</f>
        <v>0</v>
      </c>
      <c r="CS62" s="34">
        <f>IF(SUM($I62:CR62)&lt;1,IF($C62&lt;=CS$4,1/$E$41,0),0)</f>
        <v>0</v>
      </c>
      <c r="CT62" s="34">
        <f>IF(SUM($I62:CS62)&lt;1,IF($C62&lt;=CT$4,1/$E$41,0),0)</f>
        <v>0</v>
      </c>
      <c r="CU62" s="34">
        <f>IF(SUM($I62:CT62)&lt;1,IF($C62&lt;=CU$4,1/$E$41,0),0)</f>
        <v>0</v>
      </c>
      <c r="CV62" s="34">
        <f>IF(SUM($I62:CU62)&lt;1,IF($C62&lt;=CV$4,1/$E$41,0),0)</f>
        <v>0</v>
      </c>
      <c r="CW62" s="34">
        <f>IF(SUM($I62:CV62)&lt;1,IF($C62&lt;=CW$4,1/$E$41,0),0)</f>
        <v>0</v>
      </c>
      <c r="CX62" s="34">
        <f>IF(SUM($I62:CW62)&lt;1,IF($C62&lt;=CX$4,1/$E$41,0),0)</f>
        <v>0</v>
      </c>
      <c r="CY62" s="34">
        <f>IF(SUM($I62:CX62)&lt;1,IF($C62&lt;=CY$4,1/$E$41,0),0)</f>
        <v>0</v>
      </c>
      <c r="CZ62" s="34">
        <f>IF(SUM($I62:CY62)&lt;1,IF($C62&lt;=CZ$4,1/$E$41,0),0)</f>
        <v>0</v>
      </c>
      <c r="DA62" s="34">
        <f>IF(SUM($I62:CZ62)&lt;1,IF($C62&lt;=DA$4,1/$E$41,0),0)</f>
        <v>0</v>
      </c>
      <c r="DB62" s="34">
        <f>IF(SUM($I62:DA62)&lt;1,IF($C62&lt;=DB$4,1/$E$41,0),0)</f>
        <v>0</v>
      </c>
      <c r="DC62" s="34">
        <f>IF(SUM($I62:DB62)&lt;1,IF($C62&lt;=DC$4,1/$E$41,0),0)</f>
        <v>0</v>
      </c>
      <c r="DD62" s="34">
        <f>IF(SUM($I62:DC62)&lt;1,IF($C62&lt;=DD$4,1/$E$41,0),0)</f>
        <v>0</v>
      </c>
      <c r="DE62" s="34">
        <f>IF(SUM($I62:DD62)&lt;1,IF($C62&lt;=DE$4,1/$E$41,0),0)</f>
        <v>0</v>
      </c>
      <c r="DF62" s="34">
        <f>IF(SUM($I62:DE62)&lt;1,IF($C62&lt;=DF$4,1/$E$41,0),0)</f>
        <v>0</v>
      </c>
      <c r="DG62" s="34">
        <f>IF(SUM($I62:DF62)&lt;1,IF($C62&lt;=DG$4,1/$E$41,0),0)</f>
        <v>0</v>
      </c>
      <c r="DH62" s="34">
        <f>IF(SUM($I62:DG62)&lt;1,IF($C62&lt;=DH$4,1/$E$41,0),0)</f>
        <v>0</v>
      </c>
      <c r="DI62" s="34">
        <f>IF(SUM($I62:DH62)&lt;1,IF($C62&lt;=DI$4,1/$E$41,0),0)</f>
        <v>0</v>
      </c>
      <c r="DJ62" s="34">
        <f>IF(SUM($I62:DI62)&lt;1,IF($C62&lt;=DJ$4,1/$E$41,0),0)</f>
        <v>0</v>
      </c>
      <c r="DK62" s="34">
        <f>IF(SUM($I62:DJ62)&lt;1,IF($C62&lt;=DK$4,1/$E$41,0),0)</f>
        <v>0</v>
      </c>
      <c r="DL62" s="34">
        <f>IF(SUM($I62:DK62)&lt;1,IF($C62&lt;=DL$4,1/$E$41,0),0)</f>
        <v>0</v>
      </c>
      <c r="DM62" s="34">
        <f>IF(SUM($I62:DL62)&lt;1,IF($C62&lt;=DM$4,1/$E$41,0),0)</f>
        <v>0</v>
      </c>
    </row>
    <row r="63" spans="3:117" outlineLevel="1" x14ac:dyDescent="0.15">
      <c r="C63" s="50">
        <f t="shared" si="48"/>
        <v>19</v>
      </c>
      <c r="D63" s="5" t="s">
        <v>18</v>
      </c>
      <c r="E63" s="19">
        <f t="shared" si="47"/>
        <v>0</v>
      </c>
      <c r="I63" s="9"/>
      <c r="J63" s="34">
        <f>IF(SUM($I63:I63)&lt;1,IF($C63&lt;=J$4,1/$E$41,0),0)</f>
        <v>0</v>
      </c>
      <c r="K63" s="34">
        <f>IF(SUM($I63:J63)&lt;1,IF($C63&lt;=K$4,1/$E$41,0),0)</f>
        <v>0</v>
      </c>
      <c r="L63" s="34">
        <f>IF(SUM($I63:K63)&lt;1,IF($C63&lt;=L$4,1/$E$41,0),0)</f>
        <v>0</v>
      </c>
      <c r="M63" s="34">
        <f>IF(SUM($I63:L63)&lt;1,IF($C63&lt;=M$4,1/$E$41,0),0)</f>
        <v>0</v>
      </c>
      <c r="N63" s="34">
        <f>IF(SUM($I63:M63)&lt;1,IF($C63&lt;=N$4,1/$E$41,0),0)</f>
        <v>0</v>
      </c>
      <c r="O63" s="34">
        <f>IF(SUM($I63:N63)&lt;1,IF($C63&lt;=O$4,1/$E$41,0),0)</f>
        <v>0</v>
      </c>
      <c r="P63" s="34">
        <f>IF(SUM($I63:O63)&lt;1,IF($C63&lt;=P$4,1/$E$41,0),0)</f>
        <v>0</v>
      </c>
      <c r="Q63" s="34">
        <f>IF(SUM($I63:P63)&lt;1,IF($C63&lt;=Q$4,1/$E$41,0),0)</f>
        <v>0</v>
      </c>
      <c r="R63" s="34">
        <f>IF(SUM($I63:Q63)&lt;1,IF($C63&lt;=R$4,1/$E$41,0),0)</f>
        <v>0</v>
      </c>
      <c r="S63" s="34">
        <f>IF(SUM($I63:R63)&lt;1,IF($C63&lt;=S$4,1/$E$41,0),0)</f>
        <v>0</v>
      </c>
      <c r="T63" s="34">
        <f>IF(SUM($I63:S63)&lt;1,IF($C63&lt;=T$4,1/$E$41,0),0)</f>
        <v>0</v>
      </c>
      <c r="U63" s="34">
        <f>IF(SUM($I63:T63)&lt;1,IF($C63&lt;=U$4,1/$E$41,0),0)</f>
        <v>0</v>
      </c>
      <c r="V63" s="34">
        <f>IF(SUM($I63:U63)&lt;1,IF($C63&lt;=V$4,1/$E$41,0),0)</f>
        <v>0</v>
      </c>
      <c r="W63" s="34">
        <f>IF(SUM($I63:V63)&lt;1,IF($C63&lt;=W$4,1/$E$41,0),0)</f>
        <v>0</v>
      </c>
      <c r="X63" s="34">
        <f>IF(SUM($I63:W63)&lt;1,IF($C63&lt;=X$4,1/$E$41,0),0)</f>
        <v>0</v>
      </c>
      <c r="Y63" s="34">
        <f>IF(SUM($I63:X63)&lt;1,IF($C63&lt;=Y$4,1/$E$41,0),0)</f>
        <v>0</v>
      </c>
      <c r="Z63" s="34">
        <f>IF(SUM($I63:Y63)&lt;1,IF($C63&lt;=Z$4,1/$E$41,0),0)</f>
        <v>0</v>
      </c>
      <c r="AA63" s="34">
        <f>IF(SUM($I63:Z63)&lt;1,IF($C63&lt;=AA$4,1/$E$41,0),0)</f>
        <v>0</v>
      </c>
      <c r="AB63" s="34">
        <f>IF(SUM($I63:AA63)&lt;1,IF($C63&lt;=AB$4,1/$E$41,0),0)</f>
        <v>0.25</v>
      </c>
      <c r="AC63" s="34">
        <f>IF(SUM($I63:AB63)&lt;1,IF($C63&lt;=AC$4,1/$E$41,0),0)</f>
        <v>0.25</v>
      </c>
      <c r="AD63" s="34">
        <f>IF(SUM($I63:AC63)&lt;1,IF($C63&lt;=AD$4,1/$E$41,0),0)</f>
        <v>0.25</v>
      </c>
      <c r="AE63" s="34">
        <f>IF(SUM($I63:AD63)&lt;1,IF($C63&lt;=AE$4,1/$E$41,0),0)</f>
        <v>0.25</v>
      </c>
      <c r="AF63" s="34">
        <f>IF(SUM($I63:AE63)&lt;1,IF($C63&lt;=AF$4,1/$E$41,0),0)</f>
        <v>0</v>
      </c>
      <c r="AG63" s="34">
        <f>IF(SUM($I63:AF63)&lt;1,IF($C63&lt;=AG$4,1/$E$41,0),0)</f>
        <v>0</v>
      </c>
      <c r="AH63" s="34">
        <f>IF(SUM($I63:AG63)&lt;1,IF($C63&lt;=AH$4,1/$E$41,0),0)</f>
        <v>0</v>
      </c>
      <c r="AI63" s="34">
        <f>IF(SUM($I63:AH63)&lt;1,IF($C63&lt;=AI$4,1/$E$41,0),0)</f>
        <v>0</v>
      </c>
      <c r="AJ63" s="34">
        <f>IF(SUM($I63:AI63)&lt;1,IF($C63&lt;=AJ$4,1/$E$41,0),0)</f>
        <v>0</v>
      </c>
      <c r="AK63" s="34">
        <f>IF(SUM($I63:AJ63)&lt;1,IF($C63&lt;=AK$4,1/$E$41,0),0)</f>
        <v>0</v>
      </c>
      <c r="AL63" s="34">
        <f>IF(SUM($I63:AK63)&lt;1,IF($C63&lt;=AL$4,1/$E$41,0),0)</f>
        <v>0</v>
      </c>
      <c r="AM63" s="34">
        <f>IF(SUM($I63:AL63)&lt;1,IF($C63&lt;=AM$4,1/$E$41,0),0)</f>
        <v>0</v>
      </c>
      <c r="AN63" s="34">
        <f>IF(SUM($I63:AM63)&lt;1,IF($C63&lt;=AN$4,1/$E$41,0),0)</f>
        <v>0</v>
      </c>
      <c r="AO63" s="34">
        <f>IF(SUM($I63:AN63)&lt;1,IF($C63&lt;=AO$4,1/$E$41,0),0)</f>
        <v>0</v>
      </c>
      <c r="AP63" s="34">
        <f>IF(SUM($I63:AO63)&lt;1,IF($C63&lt;=AP$4,1/$E$41,0),0)</f>
        <v>0</v>
      </c>
      <c r="AQ63" s="34">
        <f>IF(SUM($I63:AP63)&lt;1,IF($C63&lt;=AQ$4,1/$E$41,0),0)</f>
        <v>0</v>
      </c>
      <c r="AR63" s="34">
        <f>IF(SUM($I63:AQ63)&lt;1,IF($C63&lt;=AR$4,1/$E$41,0),0)</f>
        <v>0</v>
      </c>
      <c r="AS63" s="34">
        <f>IF(SUM($I63:AR63)&lt;1,IF($C63&lt;=AS$4,1/$E$41,0),0)</f>
        <v>0</v>
      </c>
      <c r="AT63" s="34">
        <f>IF(SUM($I63:AS63)&lt;1,IF($C63&lt;=AT$4,1/$E$41,0),0)</f>
        <v>0</v>
      </c>
      <c r="AU63" s="34">
        <f>IF(SUM($I63:AT63)&lt;1,IF($C63&lt;=AU$4,1/$E$41,0),0)</f>
        <v>0</v>
      </c>
      <c r="AV63" s="34">
        <f>IF(SUM($I63:AU63)&lt;1,IF($C63&lt;=AV$4,1/$E$41,0),0)</f>
        <v>0</v>
      </c>
      <c r="AW63" s="34">
        <f>IF(SUM($I63:AV63)&lt;1,IF($C63&lt;=AW$4,1/$E$41,0),0)</f>
        <v>0</v>
      </c>
      <c r="AX63" s="34">
        <f>IF(SUM($I63:AW63)&lt;1,IF($C63&lt;=AX$4,1/$E$41,0),0)</f>
        <v>0</v>
      </c>
      <c r="AY63" s="34">
        <f>IF(SUM($I63:AX63)&lt;1,IF($C63&lt;=AY$4,1/$E$41,0),0)</f>
        <v>0</v>
      </c>
      <c r="AZ63" s="34">
        <f>IF(SUM($I63:AY63)&lt;1,IF($C63&lt;=AZ$4,1/$E$41,0),0)</f>
        <v>0</v>
      </c>
      <c r="BA63" s="34">
        <f>IF(SUM($I63:AZ63)&lt;1,IF($C63&lt;=BA$4,1/$E$41,0),0)</f>
        <v>0</v>
      </c>
      <c r="BB63" s="34">
        <f>IF(SUM($I63:BA63)&lt;1,IF($C63&lt;=BB$4,1/$E$41,0),0)</f>
        <v>0</v>
      </c>
      <c r="BC63" s="34">
        <f>IF(SUM($I63:BB63)&lt;1,IF($C63&lt;=BC$4,1/$E$41,0),0)</f>
        <v>0</v>
      </c>
      <c r="BD63" s="34">
        <f>IF(SUM($I63:BC63)&lt;1,IF($C63&lt;=BD$4,1/$E$41,0),0)</f>
        <v>0</v>
      </c>
      <c r="BE63" s="34">
        <f>IF(SUM($I63:BD63)&lt;1,IF($C63&lt;=BE$4,1/$E$41,0),0)</f>
        <v>0</v>
      </c>
      <c r="BF63" s="34">
        <f>IF(SUM($I63:BE63)&lt;1,IF($C63&lt;=BF$4,1/$E$41,0),0)</f>
        <v>0</v>
      </c>
      <c r="BG63" s="34">
        <f>IF(SUM($I63:BF63)&lt;1,IF($C63&lt;=BG$4,1/$E$41,0),0)</f>
        <v>0</v>
      </c>
      <c r="BH63" s="34">
        <f>IF(SUM($I63:BG63)&lt;1,IF($C63&lt;=BH$4,1/$E$41,0),0)</f>
        <v>0</v>
      </c>
      <c r="BI63" s="34">
        <f>IF(SUM($I63:BH63)&lt;1,IF($C63&lt;=BI$4,1/$E$41,0),0)</f>
        <v>0</v>
      </c>
      <c r="BJ63" s="34">
        <f>IF(SUM($I63:BI63)&lt;1,IF($C63&lt;=BJ$4,1/$E$41,0),0)</f>
        <v>0</v>
      </c>
      <c r="BK63" s="34">
        <f>IF(SUM($I63:BJ63)&lt;1,IF($C63&lt;=BK$4,1/$E$41,0),0)</f>
        <v>0</v>
      </c>
      <c r="BL63" s="34">
        <f>IF(SUM($I63:BK63)&lt;1,IF($C63&lt;=BL$4,1/$E$41,0),0)</f>
        <v>0</v>
      </c>
      <c r="BM63" s="34">
        <f>IF(SUM($I63:BL63)&lt;1,IF($C63&lt;=BM$4,1/$E$41,0),0)</f>
        <v>0</v>
      </c>
      <c r="BN63" s="34">
        <f>IF(SUM($I63:BM63)&lt;1,IF($C63&lt;=BN$4,1/$E$41,0),0)</f>
        <v>0</v>
      </c>
      <c r="BO63" s="34">
        <f>IF(SUM($I63:BN63)&lt;1,IF($C63&lt;=BO$4,1/$E$41,0),0)</f>
        <v>0</v>
      </c>
      <c r="BP63" s="34">
        <f>IF(SUM($I63:BO63)&lt;1,IF($C63&lt;=BP$4,1/$E$41,0),0)</f>
        <v>0</v>
      </c>
      <c r="BQ63" s="34">
        <f>IF(SUM($I63:BP63)&lt;1,IF($C63&lt;=BQ$4,1/$E$41,0),0)</f>
        <v>0</v>
      </c>
      <c r="BR63" s="34">
        <f>IF(SUM($I63:BQ63)&lt;1,IF($C63&lt;=BR$4,1/$E$41,0),0)</f>
        <v>0</v>
      </c>
      <c r="BS63" s="34">
        <f>IF(SUM($I63:BR63)&lt;1,IF($C63&lt;=BS$4,1/$E$41,0),0)</f>
        <v>0</v>
      </c>
      <c r="BT63" s="34">
        <f>IF(SUM($I63:BS63)&lt;1,IF($C63&lt;=BT$4,1/$E$41,0),0)</f>
        <v>0</v>
      </c>
      <c r="BU63" s="34">
        <f>IF(SUM($I63:BT63)&lt;1,IF($C63&lt;=BU$4,1/$E$41,0),0)</f>
        <v>0</v>
      </c>
      <c r="BV63" s="34">
        <f>IF(SUM($I63:BU63)&lt;1,IF($C63&lt;=BV$4,1/$E$41,0),0)</f>
        <v>0</v>
      </c>
      <c r="BW63" s="34">
        <f>IF(SUM($I63:BV63)&lt;1,IF($C63&lt;=BW$4,1/$E$41,0),0)</f>
        <v>0</v>
      </c>
      <c r="BX63" s="34">
        <f>IF(SUM($I63:BW63)&lt;1,IF($C63&lt;=BX$4,1/$E$41,0),0)</f>
        <v>0</v>
      </c>
      <c r="BY63" s="34">
        <f>IF(SUM($I63:BX63)&lt;1,IF($C63&lt;=BY$4,1/$E$41,0),0)</f>
        <v>0</v>
      </c>
      <c r="BZ63" s="34">
        <f>IF(SUM($I63:BY63)&lt;1,IF($C63&lt;=BZ$4,1/$E$41,0),0)</f>
        <v>0</v>
      </c>
      <c r="CA63" s="34">
        <f>IF(SUM($I63:BZ63)&lt;1,IF($C63&lt;=CA$4,1/$E$41,0),0)</f>
        <v>0</v>
      </c>
      <c r="CB63" s="34">
        <f>IF(SUM($I63:CA63)&lt;1,IF($C63&lt;=CB$4,1/$E$41,0),0)</f>
        <v>0</v>
      </c>
      <c r="CC63" s="34">
        <f>IF(SUM($I63:CB63)&lt;1,IF($C63&lt;=CC$4,1/$E$41,0),0)</f>
        <v>0</v>
      </c>
      <c r="CD63" s="34">
        <f>IF(SUM($I63:CC63)&lt;1,IF($C63&lt;=CD$4,1/$E$41,0),0)</f>
        <v>0</v>
      </c>
      <c r="CE63" s="34">
        <f>IF(SUM($I63:CD63)&lt;1,IF($C63&lt;=CE$4,1/$E$41,0),0)</f>
        <v>0</v>
      </c>
      <c r="CF63" s="34">
        <f>IF(SUM($I63:CE63)&lt;1,IF($C63&lt;=CF$4,1/$E$41,0),0)</f>
        <v>0</v>
      </c>
      <c r="CG63" s="34">
        <f>IF(SUM($I63:CF63)&lt;1,IF($C63&lt;=CG$4,1/$E$41,0),0)</f>
        <v>0</v>
      </c>
      <c r="CH63" s="34">
        <f>IF(SUM($I63:CG63)&lt;1,IF($C63&lt;=CH$4,1/$E$41,0),0)</f>
        <v>0</v>
      </c>
      <c r="CI63" s="34">
        <f>IF(SUM($I63:CH63)&lt;1,IF($C63&lt;=CI$4,1/$E$41,0),0)</f>
        <v>0</v>
      </c>
      <c r="CJ63" s="34">
        <f>IF(SUM($I63:CI63)&lt;1,IF($C63&lt;=CJ$4,1/$E$41,0),0)</f>
        <v>0</v>
      </c>
      <c r="CK63" s="34">
        <f>IF(SUM($I63:CJ63)&lt;1,IF($C63&lt;=CK$4,1/$E$41,0),0)</f>
        <v>0</v>
      </c>
      <c r="CL63" s="34">
        <f>IF(SUM($I63:CK63)&lt;1,IF($C63&lt;=CL$4,1/$E$41,0),0)</f>
        <v>0</v>
      </c>
      <c r="CM63" s="34">
        <f>IF(SUM($I63:CL63)&lt;1,IF($C63&lt;=CM$4,1/$E$41,0),0)</f>
        <v>0</v>
      </c>
      <c r="CN63" s="34">
        <f>IF(SUM($I63:CM63)&lt;1,IF($C63&lt;=CN$4,1/$E$41,0),0)</f>
        <v>0</v>
      </c>
      <c r="CO63" s="34">
        <f>IF(SUM($I63:CN63)&lt;1,IF($C63&lt;=CO$4,1/$E$41,0),0)</f>
        <v>0</v>
      </c>
      <c r="CP63" s="34">
        <f>IF(SUM($I63:CO63)&lt;1,IF($C63&lt;=CP$4,1/$E$41,0),0)</f>
        <v>0</v>
      </c>
      <c r="CQ63" s="34">
        <f>IF(SUM($I63:CP63)&lt;1,IF($C63&lt;=CQ$4,1/$E$41,0),0)</f>
        <v>0</v>
      </c>
      <c r="CR63" s="34">
        <f>IF(SUM($I63:CQ63)&lt;1,IF($C63&lt;=CR$4,1/$E$41,0),0)</f>
        <v>0</v>
      </c>
      <c r="CS63" s="34">
        <f>IF(SUM($I63:CR63)&lt;1,IF($C63&lt;=CS$4,1/$E$41,0),0)</f>
        <v>0</v>
      </c>
      <c r="CT63" s="34">
        <f>IF(SUM($I63:CS63)&lt;1,IF($C63&lt;=CT$4,1/$E$41,0),0)</f>
        <v>0</v>
      </c>
      <c r="CU63" s="34">
        <f>IF(SUM($I63:CT63)&lt;1,IF($C63&lt;=CU$4,1/$E$41,0),0)</f>
        <v>0</v>
      </c>
      <c r="CV63" s="34">
        <f>IF(SUM($I63:CU63)&lt;1,IF($C63&lt;=CV$4,1/$E$41,0),0)</f>
        <v>0</v>
      </c>
      <c r="CW63" s="34">
        <f>IF(SUM($I63:CV63)&lt;1,IF($C63&lt;=CW$4,1/$E$41,0),0)</f>
        <v>0</v>
      </c>
      <c r="CX63" s="34">
        <f>IF(SUM($I63:CW63)&lt;1,IF($C63&lt;=CX$4,1/$E$41,0),0)</f>
        <v>0</v>
      </c>
      <c r="CY63" s="34">
        <f>IF(SUM($I63:CX63)&lt;1,IF($C63&lt;=CY$4,1/$E$41,0),0)</f>
        <v>0</v>
      </c>
      <c r="CZ63" s="34">
        <f>IF(SUM($I63:CY63)&lt;1,IF($C63&lt;=CZ$4,1/$E$41,0),0)</f>
        <v>0</v>
      </c>
      <c r="DA63" s="34">
        <f>IF(SUM($I63:CZ63)&lt;1,IF($C63&lt;=DA$4,1/$E$41,0),0)</f>
        <v>0</v>
      </c>
      <c r="DB63" s="34">
        <f>IF(SUM($I63:DA63)&lt;1,IF($C63&lt;=DB$4,1/$E$41,0),0)</f>
        <v>0</v>
      </c>
      <c r="DC63" s="34">
        <f>IF(SUM($I63:DB63)&lt;1,IF($C63&lt;=DC$4,1/$E$41,0),0)</f>
        <v>0</v>
      </c>
      <c r="DD63" s="34">
        <f>IF(SUM($I63:DC63)&lt;1,IF($C63&lt;=DD$4,1/$E$41,0),0)</f>
        <v>0</v>
      </c>
      <c r="DE63" s="34">
        <f>IF(SUM($I63:DD63)&lt;1,IF($C63&lt;=DE$4,1/$E$41,0),0)</f>
        <v>0</v>
      </c>
      <c r="DF63" s="34">
        <f>IF(SUM($I63:DE63)&lt;1,IF($C63&lt;=DF$4,1/$E$41,0),0)</f>
        <v>0</v>
      </c>
      <c r="DG63" s="34">
        <f>IF(SUM($I63:DF63)&lt;1,IF($C63&lt;=DG$4,1/$E$41,0),0)</f>
        <v>0</v>
      </c>
      <c r="DH63" s="34">
        <f>IF(SUM($I63:DG63)&lt;1,IF($C63&lt;=DH$4,1/$E$41,0),0)</f>
        <v>0</v>
      </c>
      <c r="DI63" s="34">
        <f>IF(SUM($I63:DH63)&lt;1,IF($C63&lt;=DI$4,1/$E$41,0),0)</f>
        <v>0</v>
      </c>
      <c r="DJ63" s="34">
        <f>IF(SUM($I63:DI63)&lt;1,IF($C63&lt;=DJ$4,1/$E$41,0),0)</f>
        <v>0</v>
      </c>
      <c r="DK63" s="34">
        <f>IF(SUM($I63:DJ63)&lt;1,IF($C63&lt;=DK$4,1/$E$41,0),0)</f>
        <v>0</v>
      </c>
      <c r="DL63" s="34">
        <f>IF(SUM($I63:DK63)&lt;1,IF($C63&lt;=DL$4,1/$E$41,0),0)</f>
        <v>0</v>
      </c>
      <c r="DM63" s="34">
        <f>IF(SUM($I63:DL63)&lt;1,IF($C63&lt;=DM$4,1/$E$41,0),0)</f>
        <v>0</v>
      </c>
    </row>
    <row r="64" spans="3:117" outlineLevel="1" x14ac:dyDescent="0.15">
      <c r="C64" s="50">
        <f t="shared" si="48"/>
        <v>20</v>
      </c>
      <c r="D64" s="5" t="s">
        <v>18</v>
      </c>
      <c r="E64" s="19">
        <f t="shared" si="47"/>
        <v>0</v>
      </c>
      <c r="I64" s="9"/>
      <c r="J64" s="34">
        <f>IF(SUM($I64:I64)&lt;1,IF($C64&lt;=J$4,1/$E$41,0),0)</f>
        <v>0</v>
      </c>
      <c r="K64" s="34">
        <f>IF(SUM($I64:J64)&lt;1,IF($C64&lt;=K$4,1/$E$41,0),0)</f>
        <v>0</v>
      </c>
      <c r="L64" s="34">
        <f>IF(SUM($I64:K64)&lt;1,IF($C64&lt;=L$4,1/$E$41,0),0)</f>
        <v>0</v>
      </c>
      <c r="M64" s="34">
        <f>IF(SUM($I64:L64)&lt;1,IF($C64&lt;=M$4,1/$E$41,0),0)</f>
        <v>0</v>
      </c>
      <c r="N64" s="34">
        <f>IF(SUM($I64:M64)&lt;1,IF($C64&lt;=N$4,1/$E$41,0),0)</f>
        <v>0</v>
      </c>
      <c r="O64" s="34">
        <f>IF(SUM($I64:N64)&lt;1,IF($C64&lt;=O$4,1/$E$41,0),0)</f>
        <v>0</v>
      </c>
      <c r="P64" s="34">
        <f>IF(SUM($I64:O64)&lt;1,IF($C64&lt;=P$4,1/$E$41,0),0)</f>
        <v>0</v>
      </c>
      <c r="Q64" s="34">
        <f>IF(SUM($I64:P64)&lt;1,IF($C64&lt;=Q$4,1/$E$41,0),0)</f>
        <v>0</v>
      </c>
      <c r="R64" s="34">
        <f>IF(SUM($I64:Q64)&lt;1,IF($C64&lt;=R$4,1/$E$41,0),0)</f>
        <v>0</v>
      </c>
      <c r="S64" s="34">
        <f>IF(SUM($I64:R64)&lt;1,IF($C64&lt;=S$4,1/$E$41,0),0)</f>
        <v>0</v>
      </c>
      <c r="T64" s="34">
        <f>IF(SUM($I64:S64)&lt;1,IF($C64&lt;=T$4,1/$E$41,0),0)</f>
        <v>0</v>
      </c>
      <c r="U64" s="34">
        <f>IF(SUM($I64:T64)&lt;1,IF($C64&lt;=U$4,1/$E$41,0),0)</f>
        <v>0</v>
      </c>
      <c r="V64" s="34">
        <f>IF(SUM($I64:U64)&lt;1,IF($C64&lt;=V$4,1/$E$41,0),0)</f>
        <v>0</v>
      </c>
      <c r="W64" s="34">
        <f>IF(SUM($I64:V64)&lt;1,IF($C64&lt;=W$4,1/$E$41,0),0)</f>
        <v>0</v>
      </c>
      <c r="X64" s="34">
        <f>IF(SUM($I64:W64)&lt;1,IF($C64&lt;=X$4,1/$E$41,0),0)</f>
        <v>0</v>
      </c>
      <c r="Y64" s="34">
        <f>IF(SUM($I64:X64)&lt;1,IF($C64&lt;=Y$4,1/$E$41,0),0)</f>
        <v>0</v>
      </c>
      <c r="Z64" s="34">
        <f>IF(SUM($I64:Y64)&lt;1,IF($C64&lt;=Z$4,1/$E$41,0),0)</f>
        <v>0</v>
      </c>
      <c r="AA64" s="34">
        <f>IF(SUM($I64:Z64)&lt;1,IF($C64&lt;=AA$4,1/$E$41,0),0)</f>
        <v>0</v>
      </c>
      <c r="AB64" s="34">
        <f>IF(SUM($I64:AA64)&lt;1,IF($C64&lt;=AB$4,1/$E$41,0),0)</f>
        <v>0</v>
      </c>
      <c r="AC64" s="34">
        <f>IF(SUM($I64:AB64)&lt;1,IF($C64&lt;=AC$4,1/$E$41,0),0)</f>
        <v>0.25</v>
      </c>
      <c r="AD64" s="34">
        <f>IF(SUM($I64:AC64)&lt;1,IF($C64&lt;=AD$4,1/$E$41,0),0)</f>
        <v>0.25</v>
      </c>
      <c r="AE64" s="34">
        <f>IF(SUM($I64:AD64)&lt;1,IF($C64&lt;=AE$4,1/$E$41,0),0)</f>
        <v>0.25</v>
      </c>
      <c r="AF64" s="34">
        <f>IF(SUM($I64:AE64)&lt;1,IF($C64&lt;=AF$4,1/$E$41,0),0)</f>
        <v>0.25</v>
      </c>
      <c r="AG64" s="34">
        <f>IF(SUM($I64:AF64)&lt;1,IF($C64&lt;=AG$4,1/$E$41,0),0)</f>
        <v>0</v>
      </c>
      <c r="AH64" s="34">
        <f>IF(SUM($I64:AG64)&lt;1,IF($C64&lt;=AH$4,1/$E$41,0),0)</f>
        <v>0</v>
      </c>
      <c r="AI64" s="34">
        <f>IF(SUM($I64:AH64)&lt;1,IF($C64&lt;=AI$4,1/$E$41,0),0)</f>
        <v>0</v>
      </c>
      <c r="AJ64" s="34">
        <f>IF(SUM($I64:AI64)&lt;1,IF($C64&lt;=AJ$4,1/$E$41,0),0)</f>
        <v>0</v>
      </c>
      <c r="AK64" s="34">
        <f>IF(SUM($I64:AJ64)&lt;1,IF($C64&lt;=AK$4,1/$E$41,0),0)</f>
        <v>0</v>
      </c>
      <c r="AL64" s="34">
        <f>IF(SUM($I64:AK64)&lt;1,IF($C64&lt;=AL$4,1/$E$41,0),0)</f>
        <v>0</v>
      </c>
      <c r="AM64" s="34">
        <f>IF(SUM($I64:AL64)&lt;1,IF($C64&lt;=AM$4,1/$E$41,0),0)</f>
        <v>0</v>
      </c>
      <c r="AN64" s="34">
        <f>IF(SUM($I64:AM64)&lt;1,IF($C64&lt;=AN$4,1/$E$41,0),0)</f>
        <v>0</v>
      </c>
      <c r="AO64" s="34">
        <f>IF(SUM($I64:AN64)&lt;1,IF($C64&lt;=AO$4,1/$E$41,0),0)</f>
        <v>0</v>
      </c>
      <c r="AP64" s="34">
        <f>IF(SUM($I64:AO64)&lt;1,IF($C64&lt;=AP$4,1/$E$41,0),0)</f>
        <v>0</v>
      </c>
      <c r="AQ64" s="34">
        <f>IF(SUM($I64:AP64)&lt;1,IF($C64&lt;=AQ$4,1/$E$41,0),0)</f>
        <v>0</v>
      </c>
      <c r="AR64" s="34">
        <f>IF(SUM($I64:AQ64)&lt;1,IF($C64&lt;=AR$4,1/$E$41,0),0)</f>
        <v>0</v>
      </c>
      <c r="AS64" s="34">
        <f>IF(SUM($I64:AR64)&lt;1,IF($C64&lt;=AS$4,1/$E$41,0),0)</f>
        <v>0</v>
      </c>
      <c r="AT64" s="34">
        <f>IF(SUM($I64:AS64)&lt;1,IF($C64&lt;=AT$4,1/$E$41,0),0)</f>
        <v>0</v>
      </c>
      <c r="AU64" s="34">
        <f>IF(SUM($I64:AT64)&lt;1,IF($C64&lt;=AU$4,1/$E$41,0),0)</f>
        <v>0</v>
      </c>
      <c r="AV64" s="34">
        <f>IF(SUM($I64:AU64)&lt;1,IF($C64&lt;=AV$4,1/$E$41,0),0)</f>
        <v>0</v>
      </c>
      <c r="AW64" s="34">
        <f>IF(SUM($I64:AV64)&lt;1,IF($C64&lt;=AW$4,1/$E$41,0),0)</f>
        <v>0</v>
      </c>
      <c r="AX64" s="34">
        <f>IF(SUM($I64:AW64)&lt;1,IF($C64&lt;=AX$4,1/$E$41,0),0)</f>
        <v>0</v>
      </c>
      <c r="AY64" s="34">
        <f>IF(SUM($I64:AX64)&lt;1,IF($C64&lt;=AY$4,1/$E$41,0),0)</f>
        <v>0</v>
      </c>
      <c r="AZ64" s="34">
        <f>IF(SUM($I64:AY64)&lt;1,IF($C64&lt;=AZ$4,1/$E$41,0),0)</f>
        <v>0</v>
      </c>
      <c r="BA64" s="34">
        <f>IF(SUM($I64:AZ64)&lt;1,IF($C64&lt;=BA$4,1/$E$41,0),0)</f>
        <v>0</v>
      </c>
      <c r="BB64" s="34">
        <f>IF(SUM($I64:BA64)&lt;1,IF($C64&lt;=BB$4,1/$E$41,0),0)</f>
        <v>0</v>
      </c>
      <c r="BC64" s="34">
        <f>IF(SUM($I64:BB64)&lt;1,IF($C64&lt;=BC$4,1/$E$41,0),0)</f>
        <v>0</v>
      </c>
      <c r="BD64" s="34">
        <f>IF(SUM($I64:BC64)&lt;1,IF($C64&lt;=BD$4,1/$E$41,0),0)</f>
        <v>0</v>
      </c>
      <c r="BE64" s="34">
        <f>IF(SUM($I64:BD64)&lt;1,IF($C64&lt;=BE$4,1/$E$41,0),0)</f>
        <v>0</v>
      </c>
      <c r="BF64" s="34">
        <f>IF(SUM($I64:BE64)&lt;1,IF($C64&lt;=BF$4,1/$E$41,0),0)</f>
        <v>0</v>
      </c>
      <c r="BG64" s="34">
        <f>IF(SUM($I64:BF64)&lt;1,IF($C64&lt;=BG$4,1/$E$41,0),0)</f>
        <v>0</v>
      </c>
      <c r="BH64" s="34">
        <f>IF(SUM($I64:BG64)&lt;1,IF($C64&lt;=BH$4,1/$E$41,0),0)</f>
        <v>0</v>
      </c>
      <c r="BI64" s="34">
        <f>IF(SUM($I64:BH64)&lt;1,IF($C64&lt;=BI$4,1/$E$41,0),0)</f>
        <v>0</v>
      </c>
      <c r="BJ64" s="34">
        <f>IF(SUM($I64:BI64)&lt;1,IF($C64&lt;=BJ$4,1/$E$41,0),0)</f>
        <v>0</v>
      </c>
      <c r="BK64" s="34">
        <f>IF(SUM($I64:BJ64)&lt;1,IF($C64&lt;=BK$4,1/$E$41,0),0)</f>
        <v>0</v>
      </c>
      <c r="BL64" s="34">
        <f>IF(SUM($I64:BK64)&lt;1,IF($C64&lt;=BL$4,1/$E$41,0),0)</f>
        <v>0</v>
      </c>
      <c r="BM64" s="34">
        <f>IF(SUM($I64:BL64)&lt;1,IF($C64&lt;=BM$4,1/$E$41,0),0)</f>
        <v>0</v>
      </c>
      <c r="BN64" s="34">
        <f>IF(SUM($I64:BM64)&lt;1,IF($C64&lt;=BN$4,1/$E$41,0),0)</f>
        <v>0</v>
      </c>
      <c r="BO64" s="34">
        <f>IF(SUM($I64:BN64)&lt;1,IF($C64&lt;=BO$4,1/$E$41,0),0)</f>
        <v>0</v>
      </c>
      <c r="BP64" s="34">
        <f>IF(SUM($I64:BO64)&lt;1,IF($C64&lt;=BP$4,1/$E$41,0),0)</f>
        <v>0</v>
      </c>
      <c r="BQ64" s="34">
        <f>IF(SUM($I64:BP64)&lt;1,IF($C64&lt;=BQ$4,1/$E$41,0),0)</f>
        <v>0</v>
      </c>
      <c r="BR64" s="34">
        <f>IF(SUM($I64:BQ64)&lt;1,IF($C64&lt;=BR$4,1/$E$41,0),0)</f>
        <v>0</v>
      </c>
      <c r="BS64" s="34">
        <f>IF(SUM($I64:BR64)&lt;1,IF($C64&lt;=BS$4,1/$E$41,0),0)</f>
        <v>0</v>
      </c>
      <c r="BT64" s="34">
        <f>IF(SUM($I64:BS64)&lt;1,IF($C64&lt;=BT$4,1/$E$41,0),0)</f>
        <v>0</v>
      </c>
      <c r="BU64" s="34">
        <f>IF(SUM($I64:BT64)&lt;1,IF($C64&lt;=BU$4,1/$E$41,0),0)</f>
        <v>0</v>
      </c>
      <c r="BV64" s="34">
        <f>IF(SUM($I64:BU64)&lt;1,IF($C64&lt;=BV$4,1/$E$41,0),0)</f>
        <v>0</v>
      </c>
      <c r="BW64" s="34">
        <f>IF(SUM($I64:BV64)&lt;1,IF($C64&lt;=BW$4,1/$E$41,0),0)</f>
        <v>0</v>
      </c>
      <c r="BX64" s="34">
        <f>IF(SUM($I64:BW64)&lt;1,IF($C64&lt;=BX$4,1/$E$41,0),0)</f>
        <v>0</v>
      </c>
      <c r="BY64" s="34">
        <f>IF(SUM($I64:BX64)&lt;1,IF($C64&lt;=BY$4,1/$E$41,0),0)</f>
        <v>0</v>
      </c>
      <c r="BZ64" s="34">
        <f>IF(SUM($I64:BY64)&lt;1,IF($C64&lt;=BZ$4,1/$E$41,0),0)</f>
        <v>0</v>
      </c>
      <c r="CA64" s="34">
        <f>IF(SUM($I64:BZ64)&lt;1,IF($C64&lt;=CA$4,1/$E$41,0),0)</f>
        <v>0</v>
      </c>
      <c r="CB64" s="34">
        <f>IF(SUM($I64:CA64)&lt;1,IF($C64&lt;=CB$4,1/$E$41,0),0)</f>
        <v>0</v>
      </c>
      <c r="CC64" s="34">
        <f>IF(SUM($I64:CB64)&lt;1,IF($C64&lt;=CC$4,1/$E$41,0),0)</f>
        <v>0</v>
      </c>
      <c r="CD64" s="34">
        <f>IF(SUM($I64:CC64)&lt;1,IF($C64&lt;=CD$4,1/$E$41,0),0)</f>
        <v>0</v>
      </c>
      <c r="CE64" s="34">
        <f>IF(SUM($I64:CD64)&lt;1,IF($C64&lt;=CE$4,1/$E$41,0),0)</f>
        <v>0</v>
      </c>
      <c r="CF64" s="34">
        <f>IF(SUM($I64:CE64)&lt;1,IF($C64&lt;=CF$4,1/$E$41,0),0)</f>
        <v>0</v>
      </c>
      <c r="CG64" s="34">
        <f>IF(SUM($I64:CF64)&lt;1,IF($C64&lt;=CG$4,1/$E$41,0),0)</f>
        <v>0</v>
      </c>
      <c r="CH64" s="34">
        <f>IF(SUM($I64:CG64)&lt;1,IF($C64&lt;=CH$4,1/$E$41,0),0)</f>
        <v>0</v>
      </c>
      <c r="CI64" s="34">
        <f>IF(SUM($I64:CH64)&lt;1,IF($C64&lt;=CI$4,1/$E$41,0),0)</f>
        <v>0</v>
      </c>
      <c r="CJ64" s="34">
        <f>IF(SUM($I64:CI64)&lt;1,IF($C64&lt;=CJ$4,1/$E$41,0),0)</f>
        <v>0</v>
      </c>
      <c r="CK64" s="34">
        <f>IF(SUM($I64:CJ64)&lt;1,IF($C64&lt;=CK$4,1/$E$41,0),0)</f>
        <v>0</v>
      </c>
      <c r="CL64" s="34">
        <f>IF(SUM($I64:CK64)&lt;1,IF($C64&lt;=CL$4,1/$E$41,0),0)</f>
        <v>0</v>
      </c>
      <c r="CM64" s="34">
        <f>IF(SUM($I64:CL64)&lt;1,IF($C64&lt;=CM$4,1/$E$41,0),0)</f>
        <v>0</v>
      </c>
      <c r="CN64" s="34">
        <f>IF(SUM($I64:CM64)&lt;1,IF($C64&lt;=CN$4,1/$E$41,0),0)</f>
        <v>0</v>
      </c>
      <c r="CO64" s="34">
        <f>IF(SUM($I64:CN64)&lt;1,IF($C64&lt;=CO$4,1/$E$41,0),0)</f>
        <v>0</v>
      </c>
      <c r="CP64" s="34">
        <f>IF(SUM($I64:CO64)&lt;1,IF($C64&lt;=CP$4,1/$E$41,0),0)</f>
        <v>0</v>
      </c>
      <c r="CQ64" s="34">
        <f>IF(SUM($I64:CP64)&lt;1,IF($C64&lt;=CQ$4,1/$E$41,0),0)</f>
        <v>0</v>
      </c>
      <c r="CR64" s="34">
        <f>IF(SUM($I64:CQ64)&lt;1,IF($C64&lt;=CR$4,1/$E$41,0),0)</f>
        <v>0</v>
      </c>
      <c r="CS64" s="34">
        <f>IF(SUM($I64:CR64)&lt;1,IF($C64&lt;=CS$4,1/$E$41,0),0)</f>
        <v>0</v>
      </c>
      <c r="CT64" s="34">
        <f>IF(SUM($I64:CS64)&lt;1,IF($C64&lt;=CT$4,1/$E$41,0),0)</f>
        <v>0</v>
      </c>
      <c r="CU64" s="34">
        <f>IF(SUM($I64:CT64)&lt;1,IF($C64&lt;=CU$4,1/$E$41,0),0)</f>
        <v>0</v>
      </c>
      <c r="CV64" s="34">
        <f>IF(SUM($I64:CU64)&lt;1,IF($C64&lt;=CV$4,1/$E$41,0),0)</f>
        <v>0</v>
      </c>
      <c r="CW64" s="34">
        <f>IF(SUM($I64:CV64)&lt;1,IF($C64&lt;=CW$4,1/$E$41,0),0)</f>
        <v>0</v>
      </c>
      <c r="CX64" s="34">
        <f>IF(SUM($I64:CW64)&lt;1,IF($C64&lt;=CX$4,1/$E$41,0),0)</f>
        <v>0</v>
      </c>
      <c r="CY64" s="34">
        <f>IF(SUM($I64:CX64)&lt;1,IF($C64&lt;=CY$4,1/$E$41,0),0)</f>
        <v>0</v>
      </c>
      <c r="CZ64" s="34">
        <f>IF(SUM($I64:CY64)&lt;1,IF($C64&lt;=CZ$4,1/$E$41,0),0)</f>
        <v>0</v>
      </c>
      <c r="DA64" s="34">
        <f>IF(SUM($I64:CZ64)&lt;1,IF($C64&lt;=DA$4,1/$E$41,0),0)</f>
        <v>0</v>
      </c>
      <c r="DB64" s="34">
        <f>IF(SUM($I64:DA64)&lt;1,IF($C64&lt;=DB$4,1/$E$41,0),0)</f>
        <v>0</v>
      </c>
      <c r="DC64" s="34">
        <f>IF(SUM($I64:DB64)&lt;1,IF($C64&lt;=DC$4,1/$E$41,0),0)</f>
        <v>0</v>
      </c>
      <c r="DD64" s="34">
        <f>IF(SUM($I64:DC64)&lt;1,IF($C64&lt;=DD$4,1/$E$41,0),0)</f>
        <v>0</v>
      </c>
      <c r="DE64" s="34">
        <f>IF(SUM($I64:DD64)&lt;1,IF($C64&lt;=DE$4,1/$E$41,0),0)</f>
        <v>0</v>
      </c>
      <c r="DF64" s="34">
        <f>IF(SUM($I64:DE64)&lt;1,IF($C64&lt;=DF$4,1/$E$41,0),0)</f>
        <v>0</v>
      </c>
      <c r="DG64" s="34">
        <f>IF(SUM($I64:DF64)&lt;1,IF($C64&lt;=DG$4,1/$E$41,0),0)</f>
        <v>0</v>
      </c>
      <c r="DH64" s="34">
        <f>IF(SUM($I64:DG64)&lt;1,IF($C64&lt;=DH$4,1/$E$41,0),0)</f>
        <v>0</v>
      </c>
      <c r="DI64" s="34">
        <f>IF(SUM($I64:DH64)&lt;1,IF($C64&lt;=DI$4,1/$E$41,0),0)</f>
        <v>0</v>
      </c>
      <c r="DJ64" s="34">
        <f>IF(SUM($I64:DI64)&lt;1,IF($C64&lt;=DJ$4,1/$E$41,0),0)</f>
        <v>0</v>
      </c>
      <c r="DK64" s="34">
        <f>IF(SUM($I64:DJ64)&lt;1,IF($C64&lt;=DK$4,1/$E$41,0),0)</f>
        <v>0</v>
      </c>
      <c r="DL64" s="34">
        <f>IF(SUM($I64:DK64)&lt;1,IF($C64&lt;=DL$4,1/$E$41,0),0)</f>
        <v>0</v>
      </c>
      <c r="DM64" s="34">
        <f>IF(SUM($I64:DL64)&lt;1,IF($C64&lt;=DM$4,1/$E$41,0),0)</f>
        <v>0</v>
      </c>
    </row>
    <row r="65" spans="3:117" outlineLevel="1" x14ac:dyDescent="0.15">
      <c r="C65" s="50">
        <f t="shared" si="48"/>
        <v>21</v>
      </c>
      <c r="D65" s="5" t="s">
        <v>18</v>
      </c>
      <c r="E65" s="19">
        <f t="shared" si="47"/>
        <v>0</v>
      </c>
      <c r="I65" s="9"/>
      <c r="J65" s="34">
        <f>IF(SUM($I65:I65)&lt;1,IF($C65&lt;=J$4,1/$E$41,0),0)</f>
        <v>0</v>
      </c>
      <c r="K65" s="34">
        <f>IF(SUM($I65:J65)&lt;1,IF($C65&lt;=K$4,1/$E$41,0),0)</f>
        <v>0</v>
      </c>
      <c r="L65" s="34">
        <f>IF(SUM($I65:K65)&lt;1,IF($C65&lt;=L$4,1/$E$41,0),0)</f>
        <v>0</v>
      </c>
      <c r="M65" s="34">
        <f>IF(SUM($I65:L65)&lt;1,IF($C65&lt;=M$4,1/$E$41,0),0)</f>
        <v>0</v>
      </c>
      <c r="N65" s="34">
        <f>IF(SUM($I65:M65)&lt;1,IF($C65&lt;=N$4,1/$E$41,0),0)</f>
        <v>0</v>
      </c>
      <c r="O65" s="34">
        <f>IF(SUM($I65:N65)&lt;1,IF($C65&lt;=O$4,1/$E$41,0),0)</f>
        <v>0</v>
      </c>
      <c r="P65" s="34">
        <f>IF(SUM($I65:O65)&lt;1,IF($C65&lt;=P$4,1/$E$41,0),0)</f>
        <v>0</v>
      </c>
      <c r="Q65" s="34">
        <f>IF(SUM($I65:P65)&lt;1,IF($C65&lt;=Q$4,1/$E$41,0),0)</f>
        <v>0</v>
      </c>
      <c r="R65" s="34">
        <f>IF(SUM($I65:Q65)&lt;1,IF($C65&lt;=R$4,1/$E$41,0),0)</f>
        <v>0</v>
      </c>
      <c r="S65" s="34">
        <f>IF(SUM($I65:R65)&lt;1,IF($C65&lt;=S$4,1/$E$41,0),0)</f>
        <v>0</v>
      </c>
      <c r="T65" s="34">
        <f>IF(SUM($I65:S65)&lt;1,IF($C65&lt;=T$4,1/$E$41,0),0)</f>
        <v>0</v>
      </c>
      <c r="U65" s="34">
        <f>IF(SUM($I65:T65)&lt;1,IF($C65&lt;=U$4,1/$E$41,0),0)</f>
        <v>0</v>
      </c>
      <c r="V65" s="34">
        <f>IF(SUM($I65:U65)&lt;1,IF($C65&lt;=V$4,1/$E$41,0),0)</f>
        <v>0</v>
      </c>
      <c r="W65" s="34">
        <f>IF(SUM($I65:V65)&lt;1,IF($C65&lt;=W$4,1/$E$41,0),0)</f>
        <v>0</v>
      </c>
      <c r="X65" s="34">
        <f>IF(SUM($I65:W65)&lt;1,IF($C65&lt;=X$4,1/$E$41,0),0)</f>
        <v>0</v>
      </c>
      <c r="Y65" s="34">
        <f>IF(SUM($I65:X65)&lt;1,IF($C65&lt;=Y$4,1/$E$41,0),0)</f>
        <v>0</v>
      </c>
      <c r="Z65" s="34">
        <f>IF(SUM($I65:Y65)&lt;1,IF($C65&lt;=Z$4,1/$E$41,0),0)</f>
        <v>0</v>
      </c>
      <c r="AA65" s="34">
        <f>IF(SUM($I65:Z65)&lt;1,IF($C65&lt;=AA$4,1/$E$41,0),0)</f>
        <v>0</v>
      </c>
      <c r="AB65" s="34">
        <f>IF(SUM($I65:AA65)&lt;1,IF($C65&lt;=AB$4,1/$E$41,0),0)</f>
        <v>0</v>
      </c>
      <c r="AC65" s="34">
        <f>IF(SUM($I65:AB65)&lt;1,IF($C65&lt;=AC$4,1/$E$41,0),0)</f>
        <v>0</v>
      </c>
      <c r="AD65" s="34">
        <f>IF(SUM($I65:AC65)&lt;1,IF($C65&lt;=AD$4,1/$E$41,0),0)</f>
        <v>0.25</v>
      </c>
      <c r="AE65" s="34">
        <f>IF(SUM($I65:AD65)&lt;1,IF($C65&lt;=AE$4,1/$E$41,0),0)</f>
        <v>0.25</v>
      </c>
      <c r="AF65" s="34">
        <f>IF(SUM($I65:AE65)&lt;1,IF($C65&lt;=AF$4,1/$E$41,0),0)</f>
        <v>0.25</v>
      </c>
      <c r="AG65" s="34">
        <f>IF(SUM($I65:AF65)&lt;1,IF($C65&lt;=AG$4,1/$E$41,0),0)</f>
        <v>0.25</v>
      </c>
      <c r="AH65" s="34">
        <f>IF(SUM($I65:AG65)&lt;1,IF($C65&lt;=AH$4,1/$E$41,0),0)</f>
        <v>0</v>
      </c>
      <c r="AI65" s="34">
        <f>IF(SUM($I65:AH65)&lt;1,IF($C65&lt;=AI$4,1/$E$41,0),0)</f>
        <v>0</v>
      </c>
      <c r="AJ65" s="34">
        <f>IF(SUM($I65:AI65)&lt;1,IF($C65&lt;=AJ$4,1/$E$41,0),0)</f>
        <v>0</v>
      </c>
      <c r="AK65" s="34">
        <f>IF(SUM($I65:AJ65)&lt;1,IF($C65&lt;=AK$4,1/$E$41,0),0)</f>
        <v>0</v>
      </c>
      <c r="AL65" s="34">
        <f>IF(SUM($I65:AK65)&lt;1,IF($C65&lt;=AL$4,1/$E$41,0),0)</f>
        <v>0</v>
      </c>
      <c r="AM65" s="34">
        <f>IF(SUM($I65:AL65)&lt;1,IF($C65&lt;=AM$4,1/$E$41,0),0)</f>
        <v>0</v>
      </c>
      <c r="AN65" s="34">
        <f>IF(SUM($I65:AM65)&lt;1,IF($C65&lt;=AN$4,1/$E$41,0),0)</f>
        <v>0</v>
      </c>
      <c r="AO65" s="34">
        <f>IF(SUM($I65:AN65)&lt;1,IF($C65&lt;=AO$4,1/$E$41,0),0)</f>
        <v>0</v>
      </c>
      <c r="AP65" s="34">
        <f>IF(SUM($I65:AO65)&lt;1,IF($C65&lt;=AP$4,1/$E$41,0),0)</f>
        <v>0</v>
      </c>
      <c r="AQ65" s="34">
        <f>IF(SUM($I65:AP65)&lt;1,IF($C65&lt;=AQ$4,1/$E$41,0),0)</f>
        <v>0</v>
      </c>
      <c r="AR65" s="34">
        <f>IF(SUM($I65:AQ65)&lt;1,IF($C65&lt;=AR$4,1/$E$41,0),0)</f>
        <v>0</v>
      </c>
      <c r="AS65" s="34">
        <f>IF(SUM($I65:AR65)&lt;1,IF($C65&lt;=AS$4,1/$E$41,0),0)</f>
        <v>0</v>
      </c>
      <c r="AT65" s="34">
        <f>IF(SUM($I65:AS65)&lt;1,IF($C65&lt;=AT$4,1/$E$41,0),0)</f>
        <v>0</v>
      </c>
      <c r="AU65" s="34">
        <f>IF(SUM($I65:AT65)&lt;1,IF($C65&lt;=AU$4,1/$E$41,0),0)</f>
        <v>0</v>
      </c>
      <c r="AV65" s="34">
        <f>IF(SUM($I65:AU65)&lt;1,IF($C65&lt;=AV$4,1/$E$41,0),0)</f>
        <v>0</v>
      </c>
      <c r="AW65" s="34">
        <f>IF(SUM($I65:AV65)&lt;1,IF($C65&lt;=AW$4,1/$E$41,0),0)</f>
        <v>0</v>
      </c>
      <c r="AX65" s="34">
        <f>IF(SUM($I65:AW65)&lt;1,IF($C65&lt;=AX$4,1/$E$41,0),0)</f>
        <v>0</v>
      </c>
      <c r="AY65" s="34">
        <f>IF(SUM($I65:AX65)&lt;1,IF($C65&lt;=AY$4,1/$E$41,0),0)</f>
        <v>0</v>
      </c>
      <c r="AZ65" s="34">
        <f>IF(SUM($I65:AY65)&lt;1,IF($C65&lt;=AZ$4,1/$E$41,0),0)</f>
        <v>0</v>
      </c>
      <c r="BA65" s="34">
        <f>IF(SUM($I65:AZ65)&lt;1,IF($C65&lt;=BA$4,1/$E$41,0),0)</f>
        <v>0</v>
      </c>
      <c r="BB65" s="34">
        <f>IF(SUM($I65:BA65)&lt;1,IF($C65&lt;=BB$4,1/$E$41,0),0)</f>
        <v>0</v>
      </c>
      <c r="BC65" s="34">
        <f>IF(SUM($I65:BB65)&lt;1,IF($C65&lt;=BC$4,1/$E$41,0),0)</f>
        <v>0</v>
      </c>
      <c r="BD65" s="34">
        <f>IF(SUM($I65:BC65)&lt;1,IF($C65&lt;=BD$4,1/$E$41,0),0)</f>
        <v>0</v>
      </c>
      <c r="BE65" s="34">
        <f>IF(SUM($I65:BD65)&lt;1,IF($C65&lt;=BE$4,1/$E$41,0),0)</f>
        <v>0</v>
      </c>
      <c r="BF65" s="34">
        <f>IF(SUM($I65:BE65)&lt;1,IF($C65&lt;=BF$4,1/$E$41,0),0)</f>
        <v>0</v>
      </c>
      <c r="BG65" s="34">
        <f>IF(SUM($I65:BF65)&lt;1,IF($C65&lt;=BG$4,1/$E$41,0),0)</f>
        <v>0</v>
      </c>
      <c r="BH65" s="34">
        <f>IF(SUM($I65:BG65)&lt;1,IF($C65&lt;=BH$4,1/$E$41,0),0)</f>
        <v>0</v>
      </c>
      <c r="BI65" s="34">
        <f>IF(SUM($I65:BH65)&lt;1,IF($C65&lt;=BI$4,1/$E$41,0),0)</f>
        <v>0</v>
      </c>
      <c r="BJ65" s="34">
        <f>IF(SUM($I65:BI65)&lt;1,IF($C65&lt;=BJ$4,1/$E$41,0),0)</f>
        <v>0</v>
      </c>
      <c r="BK65" s="34">
        <f>IF(SUM($I65:BJ65)&lt;1,IF($C65&lt;=BK$4,1/$E$41,0),0)</f>
        <v>0</v>
      </c>
      <c r="BL65" s="34">
        <f>IF(SUM($I65:BK65)&lt;1,IF($C65&lt;=BL$4,1/$E$41,0),0)</f>
        <v>0</v>
      </c>
      <c r="BM65" s="34">
        <f>IF(SUM($I65:BL65)&lt;1,IF($C65&lt;=BM$4,1/$E$41,0),0)</f>
        <v>0</v>
      </c>
      <c r="BN65" s="34">
        <f>IF(SUM($I65:BM65)&lt;1,IF($C65&lt;=BN$4,1/$E$41,0),0)</f>
        <v>0</v>
      </c>
      <c r="BO65" s="34">
        <f>IF(SUM($I65:BN65)&lt;1,IF($C65&lt;=BO$4,1/$E$41,0),0)</f>
        <v>0</v>
      </c>
      <c r="BP65" s="34">
        <f>IF(SUM($I65:BO65)&lt;1,IF($C65&lt;=BP$4,1/$E$41,0),0)</f>
        <v>0</v>
      </c>
      <c r="BQ65" s="34">
        <f>IF(SUM($I65:BP65)&lt;1,IF($C65&lt;=BQ$4,1/$E$41,0),0)</f>
        <v>0</v>
      </c>
      <c r="BR65" s="34">
        <f>IF(SUM($I65:BQ65)&lt;1,IF($C65&lt;=BR$4,1/$E$41,0),0)</f>
        <v>0</v>
      </c>
      <c r="BS65" s="34">
        <f>IF(SUM($I65:BR65)&lt;1,IF($C65&lt;=BS$4,1/$E$41,0),0)</f>
        <v>0</v>
      </c>
      <c r="BT65" s="34">
        <f>IF(SUM($I65:BS65)&lt;1,IF($C65&lt;=BT$4,1/$E$41,0),0)</f>
        <v>0</v>
      </c>
      <c r="BU65" s="34">
        <f>IF(SUM($I65:BT65)&lt;1,IF($C65&lt;=BU$4,1/$E$41,0),0)</f>
        <v>0</v>
      </c>
      <c r="BV65" s="34">
        <f>IF(SUM($I65:BU65)&lt;1,IF($C65&lt;=BV$4,1/$E$41,0),0)</f>
        <v>0</v>
      </c>
      <c r="BW65" s="34">
        <f>IF(SUM($I65:BV65)&lt;1,IF($C65&lt;=BW$4,1/$E$41,0),0)</f>
        <v>0</v>
      </c>
      <c r="BX65" s="34">
        <f>IF(SUM($I65:BW65)&lt;1,IF($C65&lt;=BX$4,1/$E$41,0),0)</f>
        <v>0</v>
      </c>
      <c r="BY65" s="34">
        <f>IF(SUM($I65:BX65)&lt;1,IF($C65&lt;=BY$4,1/$E$41,0),0)</f>
        <v>0</v>
      </c>
      <c r="BZ65" s="34">
        <f>IF(SUM($I65:BY65)&lt;1,IF($C65&lt;=BZ$4,1/$E$41,0),0)</f>
        <v>0</v>
      </c>
      <c r="CA65" s="34">
        <f>IF(SUM($I65:BZ65)&lt;1,IF($C65&lt;=CA$4,1/$E$41,0),0)</f>
        <v>0</v>
      </c>
      <c r="CB65" s="34">
        <f>IF(SUM($I65:CA65)&lt;1,IF($C65&lt;=CB$4,1/$E$41,0),0)</f>
        <v>0</v>
      </c>
      <c r="CC65" s="34">
        <f>IF(SUM($I65:CB65)&lt;1,IF($C65&lt;=CC$4,1/$E$41,0),0)</f>
        <v>0</v>
      </c>
      <c r="CD65" s="34">
        <f>IF(SUM($I65:CC65)&lt;1,IF($C65&lt;=CD$4,1/$E$41,0),0)</f>
        <v>0</v>
      </c>
      <c r="CE65" s="34">
        <f>IF(SUM($I65:CD65)&lt;1,IF($C65&lt;=CE$4,1/$E$41,0),0)</f>
        <v>0</v>
      </c>
      <c r="CF65" s="34">
        <f>IF(SUM($I65:CE65)&lt;1,IF($C65&lt;=CF$4,1/$E$41,0),0)</f>
        <v>0</v>
      </c>
      <c r="CG65" s="34">
        <f>IF(SUM($I65:CF65)&lt;1,IF($C65&lt;=CG$4,1/$E$41,0),0)</f>
        <v>0</v>
      </c>
      <c r="CH65" s="34">
        <f>IF(SUM($I65:CG65)&lt;1,IF($C65&lt;=CH$4,1/$E$41,0),0)</f>
        <v>0</v>
      </c>
      <c r="CI65" s="34">
        <f>IF(SUM($I65:CH65)&lt;1,IF($C65&lt;=CI$4,1/$E$41,0),0)</f>
        <v>0</v>
      </c>
      <c r="CJ65" s="34">
        <f>IF(SUM($I65:CI65)&lt;1,IF($C65&lt;=CJ$4,1/$E$41,0),0)</f>
        <v>0</v>
      </c>
      <c r="CK65" s="34">
        <f>IF(SUM($I65:CJ65)&lt;1,IF($C65&lt;=CK$4,1/$E$41,0),0)</f>
        <v>0</v>
      </c>
      <c r="CL65" s="34">
        <f>IF(SUM($I65:CK65)&lt;1,IF($C65&lt;=CL$4,1/$E$41,0),0)</f>
        <v>0</v>
      </c>
      <c r="CM65" s="34">
        <f>IF(SUM($I65:CL65)&lt;1,IF($C65&lt;=CM$4,1/$E$41,0),0)</f>
        <v>0</v>
      </c>
      <c r="CN65" s="34">
        <f>IF(SUM($I65:CM65)&lt;1,IF($C65&lt;=CN$4,1/$E$41,0),0)</f>
        <v>0</v>
      </c>
      <c r="CO65" s="34">
        <f>IF(SUM($I65:CN65)&lt;1,IF($C65&lt;=CO$4,1/$E$41,0),0)</f>
        <v>0</v>
      </c>
      <c r="CP65" s="34">
        <f>IF(SUM($I65:CO65)&lt;1,IF($C65&lt;=CP$4,1/$E$41,0),0)</f>
        <v>0</v>
      </c>
      <c r="CQ65" s="34">
        <f>IF(SUM($I65:CP65)&lt;1,IF($C65&lt;=CQ$4,1/$E$41,0),0)</f>
        <v>0</v>
      </c>
      <c r="CR65" s="34">
        <f>IF(SUM($I65:CQ65)&lt;1,IF($C65&lt;=CR$4,1/$E$41,0),0)</f>
        <v>0</v>
      </c>
      <c r="CS65" s="34">
        <f>IF(SUM($I65:CR65)&lt;1,IF($C65&lt;=CS$4,1/$E$41,0),0)</f>
        <v>0</v>
      </c>
      <c r="CT65" s="34">
        <f>IF(SUM($I65:CS65)&lt;1,IF($C65&lt;=CT$4,1/$E$41,0),0)</f>
        <v>0</v>
      </c>
      <c r="CU65" s="34">
        <f>IF(SUM($I65:CT65)&lt;1,IF($C65&lt;=CU$4,1/$E$41,0),0)</f>
        <v>0</v>
      </c>
      <c r="CV65" s="34">
        <f>IF(SUM($I65:CU65)&lt;1,IF($C65&lt;=CV$4,1/$E$41,0),0)</f>
        <v>0</v>
      </c>
      <c r="CW65" s="34">
        <f>IF(SUM($I65:CV65)&lt;1,IF($C65&lt;=CW$4,1/$E$41,0),0)</f>
        <v>0</v>
      </c>
      <c r="CX65" s="34">
        <f>IF(SUM($I65:CW65)&lt;1,IF($C65&lt;=CX$4,1/$E$41,0),0)</f>
        <v>0</v>
      </c>
      <c r="CY65" s="34">
        <f>IF(SUM($I65:CX65)&lt;1,IF($C65&lt;=CY$4,1/$E$41,0),0)</f>
        <v>0</v>
      </c>
      <c r="CZ65" s="34">
        <f>IF(SUM($I65:CY65)&lt;1,IF($C65&lt;=CZ$4,1/$E$41,0),0)</f>
        <v>0</v>
      </c>
      <c r="DA65" s="34">
        <f>IF(SUM($I65:CZ65)&lt;1,IF($C65&lt;=DA$4,1/$E$41,0),0)</f>
        <v>0</v>
      </c>
      <c r="DB65" s="34">
        <f>IF(SUM($I65:DA65)&lt;1,IF($C65&lt;=DB$4,1/$E$41,0),0)</f>
        <v>0</v>
      </c>
      <c r="DC65" s="34">
        <f>IF(SUM($I65:DB65)&lt;1,IF($C65&lt;=DC$4,1/$E$41,0),0)</f>
        <v>0</v>
      </c>
      <c r="DD65" s="34">
        <f>IF(SUM($I65:DC65)&lt;1,IF($C65&lt;=DD$4,1/$E$41,0),0)</f>
        <v>0</v>
      </c>
      <c r="DE65" s="34">
        <f>IF(SUM($I65:DD65)&lt;1,IF($C65&lt;=DE$4,1/$E$41,0),0)</f>
        <v>0</v>
      </c>
      <c r="DF65" s="34">
        <f>IF(SUM($I65:DE65)&lt;1,IF($C65&lt;=DF$4,1/$E$41,0),0)</f>
        <v>0</v>
      </c>
      <c r="DG65" s="34">
        <f>IF(SUM($I65:DF65)&lt;1,IF($C65&lt;=DG$4,1/$E$41,0),0)</f>
        <v>0</v>
      </c>
      <c r="DH65" s="34">
        <f>IF(SUM($I65:DG65)&lt;1,IF($C65&lt;=DH$4,1/$E$41,0),0)</f>
        <v>0</v>
      </c>
      <c r="DI65" s="34">
        <f>IF(SUM($I65:DH65)&lt;1,IF($C65&lt;=DI$4,1/$E$41,0),0)</f>
        <v>0</v>
      </c>
      <c r="DJ65" s="34">
        <f>IF(SUM($I65:DI65)&lt;1,IF($C65&lt;=DJ$4,1/$E$41,0),0)</f>
        <v>0</v>
      </c>
      <c r="DK65" s="34">
        <f>IF(SUM($I65:DJ65)&lt;1,IF($C65&lt;=DK$4,1/$E$41,0),0)</f>
        <v>0</v>
      </c>
      <c r="DL65" s="34">
        <f>IF(SUM($I65:DK65)&lt;1,IF($C65&lt;=DL$4,1/$E$41,0),0)</f>
        <v>0</v>
      </c>
      <c r="DM65" s="34">
        <f>IF(SUM($I65:DL65)&lt;1,IF($C65&lt;=DM$4,1/$E$41,0),0)</f>
        <v>0</v>
      </c>
    </row>
    <row r="66" spans="3:117" outlineLevel="1" x14ac:dyDescent="0.15">
      <c r="C66" s="50">
        <f t="shared" si="48"/>
        <v>22</v>
      </c>
      <c r="D66" s="5" t="s">
        <v>18</v>
      </c>
      <c r="E66" s="19">
        <f t="shared" si="47"/>
        <v>0</v>
      </c>
      <c r="I66" s="9"/>
      <c r="J66" s="34">
        <f>IF(SUM($I66:I66)&lt;1,IF($C66&lt;=J$4,1/$E$41,0),0)</f>
        <v>0</v>
      </c>
      <c r="K66" s="34">
        <f>IF(SUM($I66:J66)&lt;1,IF($C66&lt;=K$4,1/$E$41,0),0)</f>
        <v>0</v>
      </c>
      <c r="L66" s="34">
        <f>IF(SUM($I66:K66)&lt;1,IF($C66&lt;=L$4,1/$E$41,0),0)</f>
        <v>0</v>
      </c>
      <c r="M66" s="34">
        <f>IF(SUM($I66:L66)&lt;1,IF($C66&lt;=M$4,1/$E$41,0),0)</f>
        <v>0</v>
      </c>
      <c r="N66" s="34">
        <f>IF(SUM($I66:M66)&lt;1,IF($C66&lt;=N$4,1/$E$41,0),0)</f>
        <v>0</v>
      </c>
      <c r="O66" s="34">
        <f>IF(SUM($I66:N66)&lt;1,IF($C66&lt;=O$4,1/$E$41,0),0)</f>
        <v>0</v>
      </c>
      <c r="P66" s="34">
        <f>IF(SUM($I66:O66)&lt;1,IF($C66&lt;=P$4,1/$E$41,0),0)</f>
        <v>0</v>
      </c>
      <c r="Q66" s="34">
        <f>IF(SUM($I66:P66)&lt;1,IF($C66&lt;=Q$4,1/$E$41,0),0)</f>
        <v>0</v>
      </c>
      <c r="R66" s="34">
        <f>IF(SUM($I66:Q66)&lt;1,IF($C66&lt;=R$4,1/$E$41,0),0)</f>
        <v>0</v>
      </c>
      <c r="S66" s="34">
        <f>IF(SUM($I66:R66)&lt;1,IF($C66&lt;=S$4,1/$E$41,0),0)</f>
        <v>0</v>
      </c>
      <c r="T66" s="34">
        <f>IF(SUM($I66:S66)&lt;1,IF($C66&lt;=T$4,1/$E$41,0),0)</f>
        <v>0</v>
      </c>
      <c r="U66" s="34">
        <f>IF(SUM($I66:T66)&lt;1,IF($C66&lt;=U$4,1/$E$41,0),0)</f>
        <v>0</v>
      </c>
      <c r="V66" s="34">
        <f>IF(SUM($I66:U66)&lt;1,IF($C66&lt;=V$4,1/$E$41,0),0)</f>
        <v>0</v>
      </c>
      <c r="W66" s="34">
        <f>IF(SUM($I66:V66)&lt;1,IF($C66&lt;=W$4,1/$E$41,0),0)</f>
        <v>0</v>
      </c>
      <c r="X66" s="34">
        <f>IF(SUM($I66:W66)&lt;1,IF($C66&lt;=X$4,1/$E$41,0),0)</f>
        <v>0</v>
      </c>
      <c r="Y66" s="34">
        <f>IF(SUM($I66:X66)&lt;1,IF($C66&lt;=Y$4,1/$E$41,0),0)</f>
        <v>0</v>
      </c>
      <c r="Z66" s="34">
        <f>IF(SUM($I66:Y66)&lt;1,IF($C66&lt;=Z$4,1/$E$41,0),0)</f>
        <v>0</v>
      </c>
      <c r="AA66" s="34">
        <f>IF(SUM($I66:Z66)&lt;1,IF($C66&lt;=AA$4,1/$E$41,0),0)</f>
        <v>0</v>
      </c>
      <c r="AB66" s="34">
        <f>IF(SUM($I66:AA66)&lt;1,IF($C66&lt;=AB$4,1/$E$41,0),0)</f>
        <v>0</v>
      </c>
      <c r="AC66" s="34">
        <f>IF(SUM($I66:AB66)&lt;1,IF($C66&lt;=AC$4,1/$E$41,0),0)</f>
        <v>0</v>
      </c>
      <c r="AD66" s="34">
        <f>IF(SUM($I66:AC66)&lt;1,IF($C66&lt;=AD$4,1/$E$41,0),0)</f>
        <v>0</v>
      </c>
      <c r="AE66" s="34">
        <f>IF(SUM($I66:AD66)&lt;1,IF($C66&lt;=AE$4,1/$E$41,0),0)</f>
        <v>0.25</v>
      </c>
      <c r="AF66" s="34">
        <f>IF(SUM($I66:AE66)&lt;1,IF($C66&lt;=AF$4,1/$E$41,0),0)</f>
        <v>0.25</v>
      </c>
      <c r="AG66" s="34">
        <f>IF(SUM($I66:AF66)&lt;1,IF($C66&lt;=AG$4,1/$E$41,0),0)</f>
        <v>0.25</v>
      </c>
      <c r="AH66" s="34">
        <f>IF(SUM($I66:AG66)&lt;1,IF($C66&lt;=AH$4,1/$E$41,0),0)</f>
        <v>0.25</v>
      </c>
      <c r="AI66" s="34">
        <f>IF(SUM($I66:AH66)&lt;1,IF($C66&lt;=AI$4,1/$E$41,0),0)</f>
        <v>0</v>
      </c>
      <c r="AJ66" s="34">
        <f>IF(SUM($I66:AI66)&lt;1,IF($C66&lt;=AJ$4,1/$E$41,0),0)</f>
        <v>0</v>
      </c>
      <c r="AK66" s="34">
        <f>IF(SUM($I66:AJ66)&lt;1,IF($C66&lt;=AK$4,1/$E$41,0),0)</f>
        <v>0</v>
      </c>
      <c r="AL66" s="34">
        <f>IF(SUM($I66:AK66)&lt;1,IF($C66&lt;=AL$4,1/$E$41,0),0)</f>
        <v>0</v>
      </c>
      <c r="AM66" s="34">
        <f>IF(SUM($I66:AL66)&lt;1,IF($C66&lt;=AM$4,1/$E$41,0),0)</f>
        <v>0</v>
      </c>
      <c r="AN66" s="34">
        <f>IF(SUM($I66:AM66)&lt;1,IF($C66&lt;=AN$4,1/$E$41,0),0)</f>
        <v>0</v>
      </c>
      <c r="AO66" s="34">
        <f>IF(SUM($I66:AN66)&lt;1,IF($C66&lt;=AO$4,1/$E$41,0),0)</f>
        <v>0</v>
      </c>
      <c r="AP66" s="34">
        <f>IF(SUM($I66:AO66)&lt;1,IF($C66&lt;=AP$4,1/$E$41,0),0)</f>
        <v>0</v>
      </c>
      <c r="AQ66" s="34">
        <f>IF(SUM($I66:AP66)&lt;1,IF($C66&lt;=AQ$4,1/$E$41,0),0)</f>
        <v>0</v>
      </c>
      <c r="AR66" s="34">
        <f>IF(SUM($I66:AQ66)&lt;1,IF($C66&lt;=AR$4,1/$E$41,0),0)</f>
        <v>0</v>
      </c>
      <c r="AS66" s="34">
        <f>IF(SUM($I66:AR66)&lt;1,IF($C66&lt;=AS$4,1/$E$41,0),0)</f>
        <v>0</v>
      </c>
      <c r="AT66" s="34">
        <f>IF(SUM($I66:AS66)&lt;1,IF($C66&lt;=AT$4,1/$E$41,0),0)</f>
        <v>0</v>
      </c>
      <c r="AU66" s="34">
        <f>IF(SUM($I66:AT66)&lt;1,IF($C66&lt;=AU$4,1/$E$41,0),0)</f>
        <v>0</v>
      </c>
      <c r="AV66" s="34">
        <f>IF(SUM($I66:AU66)&lt;1,IF($C66&lt;=AV$4,1/$E$41,0),0)</f>
        <v>0</v>
      </c>
      <c r="AW66" s="34">
        <f>IF(SUM($I66:AV66)&lt;1,IF($C66&lt;=AW$4,1/$E$41,0),0)</f>
        <v>0</v>
      </c>
      <c r="AX66" s="34">
        <f>IF(SUM($I66:AW66)&lt;1,IF($C66&lt;=AX$4,1/$E$41,0),0)</f>
        <v>0</v>
      </c>
      <c r="AY66" s="34">
        <f>IF(SUM($I66:AX66)&lt;1,IF($C66&lt;=AY$4,1/$E$41,0),0)</f>
        <v>0</v>
      </c>
      <c r="AZ66" s="34">
        <f>IF(SUM($I66:AY66)&lt;1,IF($C66&lt;=AZ$4,1/$E$41,0),0)</f>
        <v>0</v>
      </c>
      <c r="BA66" s="34">
        <f>IF(SUM($I66:AZ66)&lt;1,IF($C66&lt;=BA$4,1/$E$41,0),0)</f>
        <v>0</v>
      </c>
      <c r="BB66" s="34">
        <f>IF(SUM($I66:BA66)&lt;1,IF($C66&lt;=BB$4,1/$E$41,0),0)</f>
        <v>0</v>
      </c>
      <c r="BC66" s="34">
        <f>IF(SUM($I66:BB66)&lt;1,IF($C66&lt;=BC$4,1/$E$41,0),0)</f>
        <v>0</v>
      </c>
      <c r="BD66" s="34">
        <f>IF(SUM($I66:BC66)&lt;1,IF($C66&lt;=BD$4,1/$E$41,0),0)</f>
        <v>0</v>
      </c>
      <c r="BE66" s="34">
        <f>IF(SUM($I66:BD66)&lt;1,IF($C66&lt;=BE$4,1/$E$41,0),0)</f>
        <v>0</v>
      </c>
      <c r="BF66" s="34">
        <f>IF(SUM($I66:BE66)&lt;1,IF($C66&lt;=BF$4,1/$E$41,0),0)</f>
        <v>0</v>
      </c>
      <c r="BG66" s="34">
        <f>IF(SUM($I66:BF66)&lt;1,IF($C66&lt;=BG$4,1/$E$41,0),0)</f>
        <v>0</v>
      </c>
      <c r="BH66" s="34">
        <f>IF(SUM($I66:BG66)&lt;1,IF($C66&lt;=BH$4,1/$E$41,0),0)</f>
        <v>0</v>
      </c>
      <c r="BI66" s="34">
        <f>IF(SUM($I66:BH66)&lt;1,IF($C66&lt;=BI$4,1/$E$41,0),0)</f>
        <v>0</v>
      </c>
      <c r="BJ66" s="34">
        <f>IF(SUM($I66:BI66)&lt;1,IF($C66&lt;=BJ$4,1/$E$41,0),0)</f>
        <v>0</v>
      </c>
      <c r="BK66" s="34">
        <f>IF(SUM($I66:BJ66)&lt;1,IF($C66&lt;=BK$4,1/$E$41,0),0)</f>
        <v>0</v>
      </c>
      <c r="BL66" s="34">
        <f>IF(SUM($I66:BK66)&lt;1,IF($C66&lt;=BL$4,1/$E$41,0),0)</f>
        <v>0</v>
      </c>
      <c r="BM66" s="34">
        <f>IF(SUM($I66:BL66)&lt;1,IF($C66&lt;=BM$4,1/$E$41,0),0)</f>
        <v>0</v>
      </c>
      <c r="BN66" s="34">
        <f>IF(SUM($I66:BM66)&lt;1,IF($C66&lt;=BN$4,1/$E$41,0),0)</f>
        <v>0</v>
      </c>
      <c r="BO66" s="34">
        <f>IF(SUM($I66:BN66)&lt;1,IF($C66&lt;=BO$4,1/$E$41,0),0)</f>
        <v>0</v>
      </c>
      <c r="BP66" s="34">
        <f>IF(SUM($I66:BO66)&lt;1,IF($C66&lt;=BP$4,1/$E$41,0),0)</f>
        <v>0</v>
      </c>
      <c r="BQ66" s="34">
        <f>IF(SUM($I66:BP66)&lt;1,IF($C66&lt;=BQ$4,1/$E$41,0),0)</f>
        <v>0</v>
      </c>
      <c r="BR66" s="34">
        <f>IF(SUM($I66:BQ66)&lt;1,IF($C66&lt;=BR$4,1/$E$41,0),0)</f>
        <v>0</v>
      </c>
      <c r="BS66" s="34">
        <f>IF(SUM($I66:BR66)&lt;1,IF($C66&lt;=BS$4,1/$E$41,0),0)</f>
        <v>0</v>
      </c>
      <c r="BT66" s="34">
        <f>IF(SUM($I66:BS66)&lt;1,IF($C66&lt;=BT$4,1/$E$41,0),0)</f>
        <v>0</v>
      </c>
      <c r="BU66" s="34">
        <f>IF(SUM($I66:BT66)&lt;1,IF($C66&lt;=BU$4,1/$E$41,0),0)</f>
        <v>0</v>
      </c>
      <c r="BV66" s="34">
        <f>IF(SUM($I66:BU66)&lt;1,IF($C66&lt;=BV$4,1/$E$41,0),0)</f>
        <v>0</v>
      </c>
      <c r="BW66" s="34">
        <f>IF(SUM($I66:BV66)&lt;1,IF($C66&lt;=BW$4,1/$E$41,0),0)</f>
        <v>0</v>
      </c>
      <c r="BX66" s="34">
        <f>IF(SUM($I66:BW66)&lt;1,IF($C66&lt;=BX$4,1/$E$41,0),0)</f>
        <v>0</v>
      </c>
      <c r="BY66" s="34">
        <f>IF(SUM($I66:BX66)&lt;1,IF($C66&lt;=BY$4,1/$E$41,0),0)</f>
        <v>0</v>
      </c>
      <c r="BZ66" s="34">
        <f>IF(SUM($I66:BY66)&lt;1,IF($C66&lt;=BZ$4,1/$E$41,0),0)</f>
        <v>0</v>
      </c>
      <c r="CA66" s="34">
        <f>IF(SUM($I66:BZ66)&lt;1,IF($C66&lt;=CA$4,1/$E$41,0),0)</f>
        <v>0</v>
      </c>
      <c r="CB66" s="34">
        <f>IF(SUM($I66:CA66)&lt;1,IF($C66&lt;=CB$4,1/$E$41,0),0)</f>
        <v>0</v>
      </c>
      <c r="CC66" s="34">
        <f>IF(SUM($I66:CB66)&lt;1,IF($C66&lt;=CC$4,1/$E$41,0),0)</f>
        <v>0</v>
      </c>
      <c r="CD66" s="34">
        <f>IF(SUM($I66:CC66)&lt;1,IF($C66&lt;=CD$4,1/$E$41,0),0)</f>
        <v>0</v>
      </c>
      <c r="CE66" s="34">
        <f>IF(SUM($I66:CD66)&lt;1,IF($C66&lt;=CE$4,1/$E$41,0),0)</f>
        <v>0</v>
      </c>
      <c r="CF66" s="34">
        <f>IF(SUM($I66:CE66)&lt;1,IF($C66&lt;=CF$4,1/$E$41,0),0)</f>
        <v>0</v>
      </c>
      <c r="CG66" s="34">
        <f>IF(SUM($I66:CF66)&lt;1,IF($C66&lt;=CG$4,1/$E$41,0),0)</f>
        <v>0</v>
      </c>
      <c r="CH66" s="34">
        <f>IF(SUM($I66:CG66)&lt;1,IF($C66&lt;=CH$4,1/$E$41,0),0)</f>
        <v>0</v>
      </c>
      <c r="CI66" s="34">
        <f>IF(SUM($I66:CH66)&lt;1,IF($C66&lt;=CI$4,1/$E$41,0),0)</f>
        <v>0</v>
      </c>
      <c r="CJ66" s="34">
        <f>IF(SUM($I66:CI66)&lt;1,IF($C66&lt;=CJ$4,1/$E$41,0),0)</f>
        <v>0</v>
      </c>
      <c r="CK66" s="34">
        <f>IF(SUM($I66:CJ66)&lt;1,IF($C66&lt;=CK$4,1/$E$41,0),0)</f>
        <v>0</v>
      </c>
      <c r="CL66" s="34">
        <f>IF(SUM($I66:CK66)&lt;1,IF($C66&lt;=CL$4,1/$E$41,0),0)</f>
        <v>0</v>
      </c>
      <c r="CM66" s="34">
        <f>IF(SUM($I66:CL66)&lt;1,IF($C66&lt;=CM$4,1/$E$41,0),0)</f>
        <v>0</v>
      </c>
      <c r="CN66" s="34">
        <f>IF(SUM($I66:CM66)&lt;1,IF($C66&lt;=CN$4,1/$E$41,0),0)</f>
        <v>0</v>
      </c>
      <c r="CO66" s="34">
        <f>IF(SUM($I66:CN66)&lt;1,IF($C66&lt;=CO$4,1/$E$41,0),0)</f>
        <v>0</v>
      </c>
      <c r="CP66" s="34">
        <f>IF(SUM($I66:CO66)&lt;1,IF($C66&lt;=CP$4,1/$E$41,0),0)</f>
        <v>0</v>
      </c>
      <c r="CQ66" s="34">
        <f>IF(SUM($I66:CP66)&lt;1,IF($C66&lt;=CQ$4,1/$E$41,0),0)</f>
        <v>0</v>
      </c>
      <c r="CR66" s="34">
        <f>IF(SUM($I66:CQ66)&lt;1,IF($C66&lt;=CR$4,1/$E$41,0),0)</f>
        <v>0</v>
      </c>
      <c r="CS66" s="34">
        <f>IF(SUM($I66:CR66)&lt;1,IF($C66&lt;=CS$4,1/$E$41,0),0)</f>
        <v>0</v>
      </c>
      <c r="CT66" s="34">
        <f>IF(SUM($I66:CS66)&lt;1,IF($C66&lt;=CT$4,1/$E$41,0),0)</f>
        <v>0</v>
      </c>
      <c r="CU66" s="34">
        <f>IF(SUM($I66:CT66)&lt;1,IF($C66&lt;=CU$4,1/$E$41,0),0)</f>
        <v>0</v>
      </c>
      <c r="CV66" s="34">
        <f>IF(SUM($I66:CU66)&lt;1,IF($C66&lt;=CV$4,1/$E$41,0),0)</f>
        <v>0</v>
      </c>
      <c r="CW66" s="34">
        <f>IF(SUM($I66:CV66)&lt;1,IF($C66&lt;=CW$4,1/$E$41,0),0)</f>
        <v>0</v>
      </c>
      <c r="CX66" s="34">
        <f>IF(SUM($I66:CW66)&lt;1,IF($C66&lt;=CX$4,1/$E$41,0),0)</f>
        <v>0</v>
      </c>
      <c r="CY66" s="34">
        <f>IF(SUM($I66:CX66)&lt;1,IF($C66&lt;=CY$4,1/$E$41,0),0)</f>
        <v>0</v>
      </c>
      <c r="CZ66" s="34">
        <f>IF(SUM($I66:CY66)&lt;1,IF($C66&lt;=CZ$4,1/$E$41,0),0)</f>
        <v>0</v>
      </c>
      <c r="DA66" s="34">
        <f>IF(SUM($I66:CZ66)&lt;1,IF($C66&lt;=DA$4,1/$E$41,0),0)</f>
        <v>0</v>
      </c>
      <c r="DB66" s="34">
        <f>IF(SUM($I66:DA66)&lt;1,IF($C66&lt;=DB$4,1/$E$41,0),0)</f>
        <v>0</v>
      </c>
      <c r="DC66" s="34">
        <f>IF(SUM($I66:DB66)&lt;1,IF($C66&lt;=DC$4,1/$E$41,0),0)</f>
        <v>0</v>
      </c>
      <c r="DD66" s="34">
        <f>IF(SUM($I66:DC66)&lt;1,IF($C66&lt;=DD$4,1/$E$41,0),0)</f>
        <v>0</v>
      </c>
      <c r="DE66" s="34">
        <f>IF(SUM($I66:DD66)&lt;1,IF($C66&lt;=DE$4,1/$E$41,0),0)</f>
        <v>0</v>
      </c>
      <c r="DF66" s="34">
        <f>IF(SUM($I66:DE66)&lt;1,IF($C66&lt;=DF$4,1/$E$41,0),0)</f>
        <v>0</v>
      </c>
      <c r="DG66" s="34">
        <f>IF(SUM($I66:DF66)&lt;1,IF($C66&lt;=DG$4,1/$E$41,0),0)</f>
        <v>0</v>
      </c>
      <c r="DH66" s="34">
        <f>IF(SUM($I66:DG66)&lt;1,IF($C66&lt;=DH$4,1/$E$41,0),0)</f>
        <v>0</v>
      </c>
      <c r="DI66" s="34">
        <f>IF(SUM($I66:DH66)&lt;1,IF($C66&lt;=DI$4,1/$E$41,0),0)</f>
        <v>0</v>
      </c>
      <c r="DJ66" s="34">
        <f>IF(SUM($I66:DI66)&lt;1,IF($C66&lt;=DJ$4,1/$E$41,0),0)</f>
        <v>0</v>
      </c>
      <c r="DK66" s="34">
        <f>IF(SUM($I66:DJ66)&lt;1,IF($C66&lt;=DK$4,1/$E$41,0),0)</f>
        <v>0</v>
      </c>
      <c r="DL66" s="34">
        <f>IF(SUM($I66:DK66)&lt;1,IF($C66&lt;=DL$4,1/$E$41,0),0)</f>
        <v>0</v>
      </c>
      <c r="DM66" s="34">
        <f>IF(SUM($I66:DL66)&lt;1,IF($C66&lt;=DM$4,1/$E$41,0),0)</f>
        <v>0</v>
      </c>
    </row>
    <row r="67" spans="3:117" outlineLevel="1" x14ac:dyDescent="0.15">
      <c r="C67" s="50">
        <f t="shared" si="48"/>
        <v>23</v>
      </c>
      <c r="D67" s="5" t="s">
        <v>18</v>
      </c>
      <c r="E67" s="19">
        <f t="shared" si="47"/>
        <v>0</v>
      </c>
      <c r="I67" s="9"/>
      <c r="J67" s="34">
        <f>IF(SUM($I67:I67)&lt;1,IF($C67&lt;=J$4,1/$E$41,0),0)</f>
        <v>0</v>
      </c>
      <c r="K67" s="34">
        <f>IF(SUM($I67:J67)&lt;1,IF($C67&lt;=K$4,1/$E$41,0),0)</f>
        <v>0</v>
      </c>
      <c r="L67" s="34">
        <f>IF(SUM($I67:K67)&lt;1,IF($C67&lt;=L$4,1/$E$41,0),0)</f>
        <v>0</v>
      </c>
      <c r="M67" s="34">
        <f>IF(SUM($I67:L67)&lt;1,IF($C67&lt;=M$4,1/$E$41,0),0)</f>
        <v>0</v>
      </c>
      <c r="N67" s="34">
        <f>IF(SUM($I67:M67)&lt;1,IF($C67&lt;=N$4,1/$E$41,0),0)</f>
        <v>0</v>
      </c>
      <c r="O67" s="34">
        <f>IF(SUM($I67:N67)&lt;1,IF($C67&lt;=O$4,1/$E$41,0),0)</f>
        <v>0</v>
      </c>
      <c r="P67" s="34">
        <f>IF(SUM($I67:O67)&lt;1,IF($C67&lt;=P$4,1/$E$41,0),0)</f>
        <v>0</v>
      </c>
      <c r="Q67" s="34">
        <f>IF(SUM($I67:P67)&lt;1,IF($C67&lt;=Q$4,1/$E$41,0),0)</f>
        <v>0</v>
      </c>
      <c r="R67" s="34">
        <f>IF(SUM($I67:Q67)&lt;1,IF($C67&lt;=R$4,1/$E$41,0),0)</f>
        <v>0</v>
      </c>
      <c r="S67" s="34">
        <f>IF(SUM($I67:R67)&lt;1,IF($C67&lt;=S$4,1/$E$41,0),0)</f>
        <v>0</v>
      </c>
      <c r="T67" s="34">
        <f>IF(SUM($I67:S67)&lt;1,IF($C67&lt;=T$4,1/$E$41,0),0)</f>
        <v>0</v>
      </c>
      <c r="U67" s="34">
        <f>IF(SUM($I67:T67)&lt;1,IF($C67&lt;=U$4,1/$E$41,0),0)</f>
        <v>0</v>
      </c>
      <c r="V67" s="34">
        <f>IF(SUM($I67:U67)&lt;1,IF($C67&lt;=V$4,1/$E$41,0),0)</f>
        <v>0</v>
      </c>
      <c r="W67" s="34">
        <f>IF(SUM($I67:V67)&lt;1,IF($C67&lt;=W$4,1/$E$41,0),0)</f>
        <v>0</v>
      </c>
      <c r="X67" s="34">
        <f>IF(SUM($I67:W67)&lt;1,IF($C67&lt;=X$4,1/$E$41,0),0)</f>
        <v>0</v>
      </c>
      <c r="Y67" s="34">
        <f>IF(SUM($I67:X67)&lt;1,IF($C67&lt;=Y$4,1/$E$41,0),0)</f>
        <v>0</v>
      </c>
      <c r="Z67" s="34">
        <f>IF(SUM($I67:Y67)&lt;1,IF($C67&lt;=Z$4,1/$E$41,0),0)</f>
        <v>0</v>
      </c>
      <c r="AA67" s="34">
        <f>IF(SUM($I67:Z67)&lt;1,IF($C67&lt;=AA$4,1/$E$41,0),0)</f>
        <v>0</v>
      </c>
      <c r="AB67" s="34">
        <f>IF(SUM($I67:AA67)&lt;1,IF($C67&lt;=AB$4,1/$E$41,0),0)</f>
        <v>0</v>
      </c>
      <c r="AC67" s="34">
        <f>IF(SUM($I67:AB67)&lt;1,IF($C67&lt;=AC$4,1/$E$41,0),0)</f>
        <v>0</v>
      </c>
      <c r="AD67" s="34">
        <f>IF(SUM($I67:AC67)&lt;1,IF($C67&lt;=AD$4,1/$E$41,0),0)</f>
        <v>0</v>
      </c>
      <c r="AE67" s="34">
        <f>IF(SUM($I67:AD67)&lt;1,IF($C67&lt;=AE$4,1/$E$41,0),0)</f>
        <v>0</v>
      </c>
      <c r="AF67" s="34">
        <f>IF(SUM($I67:AE67)&lt;1,IF($C67&lt;=AF$4,1/$E$41,0),0)</f>
        <v>0.25</v>
      </c>
      <c r="AG67" s="34">
        <f>IF(SUM($I67:AF67)&lt;1,IF($C67&lt;=AG$4,1/$E$41,0),0)</f>
        <v>0.25</v>
      </c>
      <c r="AH67" s="34">
        <f>IF(SUM($I67:AG67)&lt;1,IF($C67&lt;=AH$4,1/$E$41,0),0)</f>
        <v>0.25</v>
      </c>
      <c r="AI67" s="34">
        <f>IF(SUM($I67:AH67)&lt;1,IF($C67&lt;=AI$4,1/$E$41,0),0)</f>
        <v>0.25</v>
      </c>
      <c r="AJ67" s="34">
        <f>IF(SUM($I67:AI67)&lt;1,IF($C67&lt;=AJ$4,1/$E$41,0),0)</f>
        <v>0</v>
      </c>
      <c r="AK67" s="34">
        <f>IF(SUM($I67:AJ67)&lt;1,IF($C67&lt;=AK$4,1/$E$41,0),0)</f>
        <v>0</v>
      </c>
      <c r="AL67" s="34">
        <f>IF(SUM($I67:AK67)&lt;1,IF($C67&lt;=AL$4,1/$E$41,0),0)</f>
        <v>0</v>
      </c>
      <c r="AM67" s="34">
        <f>IF(SUM($I67:AL67)&lt;1,IF($C67&lt;=AM$4,1/$E$41,0),0)</f>
        <v>0</v>
      </c>
      <c r="AN67" s="34">
        <f>IF(SUM($I67:AM67)&lt;1,IF($C67&lt;=AN$4,1/$E$41,0),0)</f>
        <v>0</v>
      </c>
      <c r="AO67" s="34">
        <f>IF(SUM($I67:AN67)&lt;1,IF($C67&lt;=AO$4,1/$E$41,0),0)</f>
        <v>0</v>
      </c>
      <c r="AP67" s="34">
        <f>IF(SUM($I67:AO67)&lt;1,IF($C67&lt;=AP$4,1/$E$41,0),0)</f>
        <v>0</v>
      </c>
      <c r="AQ67" s="34">
        <f>IF(SUM($I67:AP67)&lt;1,IF($C67&lt;=AQ$4,1/$E$41,0),0)</f>
        <v>0</v>
      </c>
      <c r="AR67" s="34">
        <f>IF(SUM($I67:AQ67)&lt;1,IF($C67&lt;=AR$4,1/$E$41,0),0)</f>
        <v>0</v>
      </c>
      <c r="AS67" s="34">
        <f>IF(SUM($I67:AR67)&lt;1,IF($C67&lt;=AS$4,1/$E$41,0),0)</f>
        <v>0</v>
      </c>
      <c r="AT67" s="34">
        <f>IF(SUM($I67:AS67)&lt;1,IF($C67&lt;=AT$4,1/$E$41,0),0)</f>
        <v>0</v>
      </c>
      <c r="AU67" s="34">
        <f>IF(SUM($I67:AT67)&lt;1,IF($C67&lt;=AU$4,1/$E$41,0),0)</f>
        <v>0</v>
      </c>
      <c r="AV67" s="34">
        <f>IF(SUM($I67:AU67)&lt;1,IF($C67&lt;=AV$4,1/$E$41,0),0)</f>
        <v>0</v>
      </c>
      <c r="AW67" s="34">
        <f>IF(SUM($I67:AV67)&lt;1,IF($C67&lt;=AW$4,1/$E$41,0),0)</f>
        <v>0</v>
      </c>
      <c r="AX67" s="34">
        <f>IF(SUM($I67:AW67)&lt;1,IF($C67&lt;=AX$4,1/$E$41,0),0)</f>
        <v>0</v>
      </c>
      <c r="AY67" s="34">
        <f>IF(SUM($I67:AX67)&lt;1,IF($C67&lt;=AY$4,1/$E$41,0),0)</f>
        <v>0</v>
      </c>
      <c r="AZ67" s="34">
        <f>IF(SUM($I67:AY67)&lt;1,IF($C67&lt;=AZ$4,1/$E$41,0),0)</f>
        <v>0</v>
      </c>
      <c r="BA67" s="34">
        <f>IF(SUM($I67:AZ67)&lt;1,IF($C67&lt;=BA$4,1/$E$41,0),0)</f>
        <v>0</v>
      </c>
      <c r="BB67" s="34">
        <f>IF(SUM($I67:BA67)&lt;1,IF($C67&lt;=BB$4,1/$E$41,0),0)</f>
        <v>0</v>
      </c>
      <c r="BC67" s="34">
        <f>IF(SUM($I67:BB67)&lt;1,IF($C67&lt;=BC$4,1/$E$41,0),0)</f>
        <v>0</v>
      </c>
      <c r="BD67" s="34">
        <f>IF(SUM($I67:BC67)&lt;1,IF($C67&lt;=BD$4,1/$E$41,0),0)</f>
        <v>0</v>
      </c>
      <c r="BE67" s="34">
        <f>IF(SUM($I67:BD67)&lt;1,IF($C67&lt;=BE$4,1/$E$41,0),0)</f>
        <v>0</v>
      </c>
      <c r="BF67" s="34">
        <f>IF(SUM($I67:BE67)&lt;1,IF($C67&lt;=BF$4,1/$E$41,0),0)</f>
        <v>0</v>
      </c>
      <c r="BG67" s="34">
        <f>IF(SUM($I67:BF67)&lt;1,IF($C67&lt;=BG$4,1/$E$41,0),0)</f>
        <v>0</v>
      </c>
      <c r="BH67" s="34">
        <f>IF(SUM($I67:BG67)&lt;1,IF($C67&lt;=BH$4,1/$E$41,0),0)</f>
        <v>0</v>
      </c>
      <c r="BI67" s="34">
        <f>IF(SUM($I67:BH67)&lt;1,IF($C67&lt;=BI$4,1/$E$41,0),0)</f>
        <v>0</v>
      </c>
      <c r="BJ67" s="34">
        <f>IF(SUM($I67:BI67)&lt;1,IF($C67&lt;=BJ$4,1/$E$41,0),0)</f>
        <v>0</v>
      </c>
      <c r="BK67" s="34">
        <f>IF(SUM($I67:BJ67)&lt;1,IF($C67&lt;=BK$4,1/$E$41,0),0)</f>
        <v>0</v>
      </c>
      <c r="BL67" s="34">
        <f>IF(SUM($I67:BK67)&lt;1,IF($C67&lt;=BL$4,1/$E$41,0),0)</f>
        <v>0</v>
      </c>
      <c r="BM67" s="34">
        <f>IF(SUM($I67:BL67)&lt;1,IF($C67&lt;=BM$4,1/$E$41,0),0)</f>
        <v>0</v>
      </c>
      <c r="BN67" s="34">
        <f>IF(SUM($I67:BM67)&lt;1,IF($C67&lt;=BN$4,1/$E$41,0),0)</f>
        <v>0</v>
      </c>
      <c r="BO67" s="34">
        <f>IF(SUM($I67:BN67)&lt;1,IF($C67&lt;=BO$4,1/$E$41,0),0)</f>
        <v>0</v>
      </c>
      <c r="BP67" s="34">
        <f>IF(SUM($I67:BO67)&lt;1,IF($C67&lt;=BP$4,1/$E$41,0),0)</f>
        <v>0</v>
      </c>
      <c r="BQ67" s="34">
        <f>IF(SUM($I67:BP67)&lt;1,IF($C67&lt;=BQ$4,1/$E$41,0),0)</f>
        <v>0</v>
      </c>
      <c r="BR67" s="34">
        <f>IF(SUM($I67:BQ67)&lt;1,IF($C67&lt;=BR$4,1/$E$41,0),0)</f>
        <v>0</v>
      </c>
      <c r="BS67" s="34">
        <f>IF(SUM($I67:BR67)&lt;1,IF($C67&lt;=BS$4,1/$E$41,0),0)</f>
        <v>0</v>
      </c>
      <c r="BT67" s="34">
        <f>IF(SUM($I67:BS67)&lt;1,IF($C67&lt;=BT$4,1/$E$41,0),0)</f>
        <v>0</v>
      </c>
      <c r="BU67" s="34">
        <f>IF(SUM($I67:BT67)&lt;1,IF($C67&lt;=BU$4,1/$E$41,0),0)</f>
        <v>0</v>
      </c>
      <c r="BV67" s="34">
        <f>IF(SUM($I67:BU67)&lt;1,IF($C67&lt;=BV$4,1/$E$41,0),0)</f>
        <v>0</v>
      </c>
      <c r="BW67" s="34">
        <f>IF(SUM($I67:BV67)&lt;1,IF($C67&lt;=BW$4,1/$E$41,0),0)</f>
        <v>0</v>
      </c>
      <c r="BX67" s="34">
        <f>IF(SUM($I67:BW67)&lt;1,IF($C67&lt;=BX$4,1/$E$41,0),0)</f>
        <v>0</v>
      </c>
      <c r="BY67" s="34">
        <f>IF(SUM($I67:BX67)&lt;1,IF($C67&lt;=BY$4,1/$E$41,0),0)</f>
        <v>0</v>
      </c>
      <c r="BZ67" s="34">
        <f>IF(SUM($I67:BY67)&lt;1,IF($C67&lt;=BZ$4,1/$E$41,0),0)</f>
        <v>0</v>
      </c>
      <c r="CA67" s="34">
        <f>IF(SUM($I67:BZ67)&lt;1,IF($C67&lt;=CA$4,1/$E$41,0),0)</f>
        <v>0</v>
      </c>
      <c r="CB67" s="34">
        <f>IF(SUM($I67:CA67)&lt;1,IF($C67&lt;=CB$4,1/$E$41,0),0)</f>
        <v>0</v>
      </c>
      <c r="CC67" s="34">
        <f>IF(SUM($I67:CB67)&lt;1,IF($C67&lt;=CC$4,1/$E$41,0),0)</f>
        <v>0</v>
      </c>
      <c r="CD67" s="34">
        <f>IF(SUM($I67:CC67)&lt;1,IF($C67&lt;=CD$4,1/$E$41,0),0)</f>
        <v>0</v>
      </c>
      <c r="CE67" s="34">
        <f>IF(SUM($I67:CD67)&lt;1,IF($C67&lt;=CE$4,1/$E$41,0),0)</f>
        <v>0</v>
      </c>
      <c r="CF67" s="34">
        <f>IF(SUM($I67:CE67)&lt;1,IF($C67&lt;=CF$4,1/$E$41,0),0)</f>
        <v>0</v>
      </c>
      <c r="CG67" s="34">
        <f>IF(SUM($I67:CF67)&lt;1,IF($C67&lt;=CG$4,1/$E$41,0),0)</f>
        <v>0</v>
      </c>
      <c r="CH67" s="34">
        <f>IF(SUM($I67:CG67)&lt;1,IF($C67&lt;=CH$4,1/$E$41,0),0)</f>
        <v>0</v>
      </c>
      <c r="CI67" s="34">
        <f>IF(SUM($I67:CH67)&lt;1,IF($C67&lt;=CI$4,1/$E$41,0),0)</f>
        <v>0</v>
      </c>
      <c r="CJ67" s="34">
        <f>IF(SUM($I67:CI67)&lt;1,IF($C67&lt;=CJ$4,1/$E$41,0),0)</f>
        <v>0</v>
      </c>
      <c r="CK67" s="34">
        <f>IF(SUM($I67:CJ67)&lt;1,IF($C67&lt;=CK$4,1/$E$41,0),0)</f>
        <v>0</v>
      </c>
      <c r="CL67" s="34">
        <f>IF(SUM($I67:CK67)&lt;1,IF($C67&lt;=CL$4,1/$E$41,0),0)</f>
        <v>0</v>
      </c>
      <c r="CM67" s="34">
        <f>IF(SUM($I67:CL67)&lt;1,IF($C67&lt;=CM$4,1/$E$41,0),0)</f>
        <v>0</v>
      </c>
      <c r="CN67" s="34">
        <f>IF(SUM($I67:CM67)&lt;1,IF($C67&lt;=CN$4,1/$E$41,0),0)</f>
        <v>0</v>
      </c>
      <c r="CO67" s="34">
        <f>IF(SUM($I67:CN67)&lt;1,IF($C67&lt;=CO$4,1/$E$41,0),0)</f>
        <v>0</v>
      </c>
      <c r="CP67" s="34">
        <f>IF(SUM($I67:CO67)&lt;1,IF($C67&lt;=CP$4,1/$E$41,0),0)</f>
        <v>0</v>
      </c>
      <c r="CQ67" s="34">
        <f>IF(SUM($I67:CP67)&lt;1,IF($C67&lt;=CQ$4,1/$E$41,0),0)</f>
        <v>0</v>
      </c>
      <c r="CR67" s="34">
        <f>IF(SUM($I67:CQ67)&lt;1,IF($C67&lt;=CR$4,1/$E$41,0),0)</f>
        <v>0</v>
      </c>
      <c r="CS67" s="34">
        <f>IF(SUM($I67:CR67)&lt;1,IF($C67&lt;=CS$4,1/$E$41,0),0)</f>
        <v>0</v>
      </c>
      <c r="CT67" s="34">
        <f>IF(SUM($I67:CS67)&lt;1,IF($C67&lt;=CT$4,1/$E$41,0),0)</f>
        <v>0</v>
      </c>
      <c r="CU67" s="34">
        <f>IF(SUM($I67:CT67)&lt;1,IF($C67&lt;=CU$4,1/$E$41,0),0)</f>
        <v>0</v>
      </c>
      <c r="CV67" s="34">
        <f>IF(SUM($I67:CU67)&lt;1,IF($C67&lt;=CV$4,1/$E$41,0),0)</f>
        <v>0</v>
      </c>
      <c r="CW67" s="34">
        <f>IF(SUM($I67:CV67)&lt;1,IF($C67&lt;=CW$4,1/$E$41,0),0)</f>
        <v>0</v>
      </c>
      <c r="CX67" s="34">
        <f>IF(SUM($I67:CW67)&lt;1,IF($C67&lt;=CX$4,1/$E$41,0),0)</f>
        <v>0</v>
      </c>
      <c r="CY67" s="34">
        <f>IF(SUM($I67:CX67)&lt;1,IF($C67&lt;=CY$4,1/$E$41,0),0)</f>
        <v>0</v>
      </c>
      <c r="CZ67" s="34">
        <f>IF(SUM($I67:CY67)&lt;1,IF($C67&lt;=CZ$4,1/$E$41,0),0)</f>
        <v>0</v>
      </c>
      <c r="DA67" s="34">
        <f>IF(SUM($I67:CZ67)&lt;1,IF($C67&lt;=DA$4,1/$E$41,0),0)</f>
        <v>0</v>
      </c>
      <c r="DB67" s="34">
        <f>IF(SUM($I67:DA67)&lt;1,IF($C67&lt;=DB$4,1/$E$41,0),0)</f>
        <v>0</v>
      </c>
      <c r="DC67" s="34">
        <f>IF(SUM($I67:DB67)&lt;1,IF($C67&lt;=DC$4,1/$E$41,0),0)</f>
        <v>0</v>
      </c>
      <c r="DD67" s="34">
        <f>IF(SUM($I67:DC67)&lt;1,IF($C67&lt;=DD$4,1/$E$41,0),0)</f>
        <v>0</v>
      </c>
      <c r="DE67" s="34">
        <f>IF(SUM($I67:DD67)&lt;1,IF($C67&lt;=DE$4,1/$E$41,0),0)</f>
        <v>0</v>
      </c>
      <c r="DF67" s="34">
        <f>IF(SUM($I67:DE67)&lt;1,IF($C67&lt;=DF$4,1/$E$41,0),0)</f>
        <v>0</v>
      </c>
      <c r="DG67" s="34">
        <f>IF(SUM($I67:DF67)&lt;1,IF($C67&lt;=DG$4,1/$E$41,0),0)</f>
        <v>0</v>
      </c>
      <c r="DH67" s="34">
        <f>IF(SUM($I67:DG67)&lt;1,IF($C67&lt;=DH$4,1/$E$41,0),0)</f>
        <v>0</v>
      </c>
      <c r="DI67" s="34">
        <f>IF(SUM($I67:DH67)&lt;1,IF($C67&lt;=DI$4,1/$E$41,0),0)</f>
        <v>0</v>
      </c>
      <c r="DJ67" s="34">
        <f>IF(SUM($I67:DI67)&lt;1,IF($C67&lt;=DJ$4,1/$E$41,0),0)</f>
        <v>0</v>
      </c>
      <c r="DK67" s="34">
        <f>IF(SUM($I67:DJ67)&lt;1,IF($C67&lt;=DK$4,1/$E$41,0),0)</f>
        <v>0</v>
      </c>
      <c r="DL67" s="34">
        <f>IF(SUM($I67:DK67)&lt;1,IF($C67&lt;=DL$4,1/$E$41,0),0)</f>
        <v>0</v>
      </c>
      <c r="DM67" s="34">
        <f>IF(SUM($I67:DL67)&lt;1,IF($C67&lt;=DM$4,1/$E$41,0),0)</f>
        <v>0</v>
      </c>
    </row>
    <row r="68" spans="3:117" outlineLevel="1" x14ac:dyDescent="0.15">
      <c r="C68" s="50">
        <f t="shared" si="48"/>
        <v>24</v>
      </c>
      <c r="D68" s="5" t="s">
        <v>18</v>
      </c>
      <c r="E68" s="19">
        <f t="shared" si="47"/>
        <v>0</v>
      </c>
      <c r="I68" s="9"/>
      <c r="J68" s="34">
        <f>IF(SUM($I68:I68)&lt;1,IF($C68&lt;=J$4,1/$E$41,0),0)</f>
        <v>0</v>
      </c>
      <c r="K68" s="34">
        <f>IF(SUM($I68:J68)&lt;1,IF($C68&lt;=K$4,1/$E$41,0),0)</f>
        <v>0</v>
      </c>
      <c r="L68" s="34">
        <f>IF(SUM($I68:K68)&lt;1,IF($C68&lt;=L$4,1/$E$41,0),0)</f>
        <v>0</v>
      </c>
      <c r="M68" s="34">
        <f>IF(SUM($I68:L68)&lt;1,IF($C68&lt;=M$4,1/$E$41,0),0)</f>
        <v>0</v>
      </c>
      <c r="N68" s="34">
        <f>IF(SUM($I68:M68)&lt;1,IF($C68&lt;=N$4,1/$E$41,0),0)</f>
        <v>0</v>
      </c>
      <c r="O68" s="34">
        <f>IF(SUM($I68:N68)&lt;1,IF($C68&lt;=O$4,1/$E$41,0),0)</f>
        <v>0</v>
      </c>
      <c r="P68" s="34">
        <f>IF(SUM($I68:O68)&lt;1,IF($C68&lt;=P$4,1/$E$41,0),0)</f>
        <v>0</v>
      </c>
      <c r="Q68" s="34">
        <f>IF(SUM($I68:P68)&lt;1,IF($C68&lt;=Q$4,1/$E$41,0),0)</f>
        <v>0</v>
      </c>
      <c r="R68" s="34">
        <f>IF(SUM($I68:Q68)&lt;1,IF($C68&lt;=R$4,1/$E$41,0),0)</f>
        <v>0</v>
      </c>
      <c r="S68" s="34">
        <f>IF(SUM($I68:R68)&lt;1,IF($C68&lt;=S$4,1/$E$41,0),0)</f>
        <v>0</v>
      </c>
      <c r="T68" s="34">
        <f>IF(SUM($I68:S68)&lt;1,IF($C68&lt;=T$4,1/$E$41,0),0)</f>
        <v>0</v>
      </c>
      <c r="U68" s="34">
        <f>IF(SUM($I68:T68)&lt;1,IF($C68&lt;=U$4,1/$E$41,0),0)</f>
        <v>0</v>
      </c>
      <c r="V68" s="34">
        <f>IF(SUM($I68:U68)&lt;1,IF($C68&lt;=V$4,1/$E$41,0),0)</f>
        <v>0</v>
      </c>
      <c r="W68" s="34">
        <f>IF(SUM($I68:V68)&lt;1,IF($C68&lt;=W$4,1/$E$41,0),0)</f>
        <v>0</v>
      </c>
      <c r="X68" s="34">
        <f>IF(SUM($I68:W68)&lt;1,IF($C68&lt;=X$4,1/$E$41,0),0)</f>
        <v>0</v>
      </c>
      <c r="Y68" s="34">
        <f>IF(SUM($I68:X68)&lt;1,IF($C68&lt;=Y$4,1/$E$41,0),0)</f>
        <v>0</v>
      </c>
      <c r="Z68" s="34">
        <f>IF(SUM($I68:Y68)&lt;1,IF($C68&lt;=Z$4,1/$E$41,0),0)</f>
        <v>0</v>
      </c>
      <c r="AA68" s="34">
        <f>IF(SUM($I68:Z68)&lt;1,IF($C68&lt;=AA$4,1/$E$41,0),0)</f>
        <v>0</v>
      </c>
      <c r="AB68" s="34">
        <f>IF(SUM($I68:AA68)&lt;1,IF($C68&lt;=AB$4,1/$E$41,0),0)</f>
        <v>0</v>
      </c>
      <c r="AC68" s="34">
        <f>IF(SUM($I68:AB68)&lt;1,IF($C68&lt;=AC$4,1/$E$41,0),0)</f>
        <v>0</v>
      </c>
      <c r="AD68" s="34">
        <f>IF(SUM($I68:AC68)&lt;1,IF($C68&lt;=AD$4,1/$E$41,0),0)</f>
        <v>0</v>
      </c>
      <c r="AE68" s="34">
        <f>IF(SUM($I68:AD68)&lt;1,IF($C68&lt;=AE$4,1/$E$41,0),0)</f>
        <v>0</v>
      </c>
      <c r="AF68" s="34">
        <f>IF(SUM($I68:AE68)&lt;1,IF($C68&lt;=AF$4,1/$E$41,0),0)</f>
        <v>0</v>
      </c>
      <c r="AG68" s="34">
        <f>IF(SUM($I68:AF68)&lt;1,IF($C68&lt;=AG$4,1/$E$41,0),0)</f>
        <v>0.25</v>
      </c>
      <c r="AH68" s="34">
        <f>IF(SUM($I68:AG68)&lt;1,IF($C68&lt;=AH$4,1/$E$41,0),0)</f>
        <v>0.25</v>
      </c>
      <c r="AI68" s="34">
        <f>IF(SUM($I68:AH68)&lt;1,IF($C68&lt;=AI$4,1/$E$41,0),0)</f>
        <v>0.25</v>
      </c>
      <c r="AJ68" s="34">
        <f>IF(SUM($I68:AI68)&lt;1,IF($C68&lt;=AJ$4,1/$E$41,0),0)</f>
        <v>0.25</v>
      </c>
      <c r="AK68" s="34">
        <f>IF(SUM($I68:AJ68)&lt;1,IF($C68&lt;=AK$4,1/$E$41,0),0)</f>
        <v>0</v>
      </c>
      <c r="AL68" s="34">
        <f>IF(SUM($I68:AK68)&lt;1,IF($C68&lt;=AL$4,1/$E$41,0),0)</f>
        <v>0</v>
      </c>
      <c r="AM68" s="34">
        <f>IF(SUM($I68:AL68)&lt;1,IF($C68&lt;=AM$4,1/$E$41,0),0)</f>
        <v>0</v>
      </c>
      <c r="AN68" s="34">
        <f>IF(SUM($I68:AM68)&lt;1,IF($C68&lt;=AN$4,1/$E$41,0),0)</f>
        <v>0</v>
      </c>
      <c r="AO68" s="34">
        <f>IF(SUM($I68:AN68)&lt;1,IF($C68&lt;=AO$4,1/$E$41,0),0)</f>
        <v>0</v>
      </c>
      <c r="AP68" s="34">
        <f>IF(SUM($I68:AO68)&lt;1,IF($C68&lt;=AP$4,1/$E$41,0),0)</f>
        <v>0</v>
      </c>
      <c r="AQ68" s="34">
        <f>IF(SUM($I68:AP68)&lt;1,IF($C68&lt;=AQ$4,1/$E$41,0),0)</f>
        <v>0</v>
      </c>
      <c r="AR68" s="34">
        <f>IF(SUM($I68:AQ68)&lt;1,IF($C68&lt;=AR$4,1/$E$41,0),0)</f>
        <v>0</v>
      </c>
      <c r="AS68" s="34">
        <f>IF(SUM($I68:AR68)&lt;1,IF($C68&lt;=AS$4,1/$E$41,0),0)</f>
        <v>0</v>
      </c>
      <c r="AT68" s="34">
        <f>IF(SUM($I68:AS68)&lt;1,IF($C68&lt;=AT$4,1/$E$41,0),0)</f>
        <v>0</v>
      </c>
      <c r="AU68" s="34">
        <f>IF(SUM($I68:AT68)&lt;1,IF($C68&lt;=AU$4,1/$E$41,0),0)</f>
        <v>0</v>
      </c>
      <c r="AV68" s="34">
        <f>IF(SUM($I68:AU68)&lt;1,IF($C68&lt;=AV$4,1/$E$41,0),0)</f>
        <v>0</v>
      </c>
      <c r="AW68" s="34">
        <f>IF(SUM($I68:AV68)&lt;1,IF($C68&lt;=AW$4,1/$E$41,0),0)</f>
        <v>0</v>
      </c>
      <c r="AX68" s="34">
        <f>IF(SUM($I68:AW68)&lt;1,IF($C68&lt;=AX$4,1/$E$41,0),0)</f>
        <v>0</v>
      </c>
      <c r="AY68" s="34">
        <f>IF(SUM($I68:AX68)&lt;1,IF($C68&lt;=AY$4,1/$E$41,0),0)</f>
        <v>0</v>
      </c>
      <c r="AZ68" s="34">
        <f>IF(SUM($I68:AY68)&lt;1,IF($C68&lt;=AZ$4,1/$E$41,0),0)</f>
        <v>0</v>
      </c>
      <c r="BA68" s="34">
        <f>IF(SUM($I68:AZ68)&lt;1,IF($C68&lt;=BA$4,1/$E$41,0),0)</f>
        <v>0</v>
      </c>
      <c r="BB68" s="34">
        <f>IF(SUM($I68:BA68)&lt;1,IF($C68&lt;=BB$4,1/$E$41,0),0)</f>
        <v>0</v>
      </c>
      <c r="BC68" s="34">
        <f>IF(SUM($I68:BB68)&lt;1,IF($C68&lt;=BC$4,1/$E$41,0),0)</f>
        <v>0</v>
      </c>
      <c r="BD68" s="34">
        <f>IF(SUM($I68:BC68)&lt;1,IF($C68&lt;=BD$4,1/$E$41,0),0)</f>
        <v>0</v>
      </c>
      <c r="BE68" s="34">
        <f>IF(SUM($I68:BD68)&lt;1,IF($C68&lt;=BE$4,1/$E$41,0),0)</f>
        <v>0</v>
      </c>
      <c r="BF68" s="34">
        <f>IF(SUM($I68:BE68)&lt;1,IF($C68&lt;=BF$4,1/$E$41,0),0)</f>
        <v>0</v>
      </c>
      <c r="BG68" s="34">
        <f>IF(SUM($I68:BF68)&lt;1,IF($C68&lt;=BG$4,1/$E$41,0),0)</f>
        <v>0</v>
      </c>
      <c r="BH68" s="34">
        <f>IF(SUM($I68:BG68)&lt;1,IF($C68&lt;=BH$4,1/$E$41,0),0)</f>
        <v>0</v>
      </c>
      <c r="BI68" s="34">
        <f>IF(SUM($I68:BH68)&lt;1,IF($C68&lt;=BI$4,1/$E$41,0),0)</f>
        <v>0</v>
      </c>
      <c r="BJ68" s="34">
        <f>IF(SUM($I68:BI68)&lt;1,IF($C68&lt;=BJ$4,1/$E$41,0),0)</f>
        <v>0</v>
      </c>
      <c r="BK68" s="34">
        <f>IF(SUM($I68:BJ68)&lt;1,IF($C68&lt;=BK$4,1/$E$41,0),0)</f>
        <v>0</v>
      </c>
      <c r="BL68" s="34">
        <f>IF(SUM($I68:BK68)&lt;1,IF($C68&lt;=BL$4,1/$E$41,0),0)</f>
        <v>0</v>
      </c>
      <c r="BM68" s="34">
        <f>IF(SUM($I68:BL68)&lt;1,IF($C68&lt;=BM$4,1/$E$41,0),0)</f>
        <v>0</v>
      </c>
      <c r="BN68" s="34">
        <f>IF(SUM($I68:BM68)&lt;1,IF($C68&lt;=BN$4,1/$E$41,0),0)</f>
        <v>0</v>
      </c>
      <c r="BO68" s="34">
        <f>IF(SUM($I68:BN68)&lt;1,IF($C68&lt;=BO$4,1/$E$41,0),0)</f>
        <v>0</v>
      </c>
      <c r="BP68" s="34">
        <f>IF(SUM($I68:BO68)&lt;1,IF($C68&lt;=BP$4,1/$E$41,0),0)</f>
        <v>0</v>
      </c>
      <c r="BQ68" s="34">
        <f>IF(SUM($I68:BP68)&lt;1,IF($C68&lt;=BQ$4,1/$E$41,0),0)</f>
        <v>0</v>
      </c>
      <c r="BR68" s="34">
        <f>IF(SUM($I68:BQ68)&lt;1,IF($C68&lt;=BR$4,1/$E$41,0),0)</f>
        <v>0</v>
      </c>
      <c r="BS68" s="34">
        <f>IF(SUM($I68:BR68)&lt;1,IF($C68&lt;=BS$4,1/$E$41,0),0)</f>
        <v>0</v>
      </c>
      <c r="BT68" s="34">
        <f>IF(SUM($I68:BS68)&lt;1,IF($C68&lt;=BT$4,1/$E$41,0),0)</f>
        <v>0</v>
      </c>
      <c r="BU68" s="34">
        <f>IF(SUM($I68:BT68)&lt;1,IF($C68&lt;=BU$4,1/$E$41,0),0)</f>
        <v>0</v>
      </c>
      <c r="BV68" s="34">
        <f>IF(SUM($I68:BU68)&lt;1,IF($C68&lt;=BV$4,1/$E$41,0),0)</f>
        <v>0</v>
      </c>
      <c r="BW68" s="34">
        <f>IF(SUM($I68:BV68)&lt;1,IF($C68&lt;=BW$4,1/$E$41,0),0)</f>
        <v>0</v>
      </c>
      <c r="BX68" s="34">
        <f>IF(SUM($I68:BW68)&lt;1,IF($C68&lt;=BX$4,1/$E$41,0),0)</f>
        <v>0</v>
      </c>
      <c r="BY68" s="34">
        <f>IF(SUM($I68:BX68)&lt;1,IF($C68&lt;=BY$4,1/$E$41,0),0)</f>
        <v>0</v>
      </c>
      <c r="BZ68" s="34">
        <f>IF(SUM($I68:BY68)&lt;1,IF($C68&lt;=BZ$4,1/$E$41,0),0)</f>
        <v>0</v>
      </c>
      <c r="CA68" s="34">
        <f>IF(SUM($I68:BZ68)&lt;1,IF($C68&lt;=CA$4,1/$E$41,0),0)</f>
        <v>0</v>
      </c>
      <c r="CB68" s="34">
        <f>IF(SUM($I68:CA68)&lt;1,IF($C68&lt;=CB$4,1/$E$41,0),0)</f>
        <v>0</v>
      </c>
      <c r="CC68" s="34">
        <f>IF(SUM($I68:CB68)&lt;1,IF($C68&lt;=CC$4,1/$E$41,0),0)</f>
        <v>0</v>
      </c>
      <c r="CD68" s="34">
        <f>IF(SUM($I68:CC68)&lt;1,IF($C68&lt;=CD$4,1/$E$41,0),0)</f>
        <v>0</v>
      </c>
      <c r="CE68" s="34">
        <f>IF(SUM($I68:CD68)&lt;1,IF($C68&lt;=CE$4,1/$E$41,0),0)</f>
        <v>0</v>
      </c>
      <c r="CF68" s="34">
        <f>IF(SUM($I68:CE68)&lt;1,IF($C68&lt;=CF$4,1/$E$41,0),0)</f>
        <v>0</v>
      </c>
      <c r="CG68" s="34">
        <f>IF(SUM($I68:CF68)&lt;1,IF($C68&lt;=CG$4,1/$E$41,0),0)</f>
        <v>0</v>
      </c>
      <c r="CH68" s="34">
        <f>IF(SUM($I68:CG68)&lt;1,IF($C68&lt;=CH$4,1/$E$41,0),0)</f>
        <v>0</v>
      </c>
      <c r="CI68" s="34">
        <f>IF(SUM($I68:CH68)&lt;1,IF($C68&lt;=CI$4,1/$E$41,0),0)</f>
        <v>0</v>
      </c>
      <c r="CJ68" s="34">
        <f>IF(SUM($I68:CI68)&lt;1,IF($C68&lt;=CJ$4,1/$E$41,0),0)</f>
        <v>0</v>
      </c>
      <c r="CK68" s="34">
        <f>IF(SUM($I68:CJ68)&lt;1,IF($C68&lt;=CK$4,1/$E$41,0),0)</f>
        <v>0</v>
      </c>
      <c r="CL68" s="34">
        <f>IF(SUM($I68:CK68)&lt;1,IF($C68&lt;=CL$4,1/$E$41,0),0)</f>
        <v>0</v>
      </c>
      <c r="CM68" s="34">
        <f>IF(SUM($I68:CL68)&lt;1,IF($C68&lt;=CM$4,1/$E$41,0),0)</f>
        <v>0</v>
      </c>
      <c r="CN68" s="34">
        <f>IF(SUM($I68:CM68)&lt;1,IF($C68&lt;=CN$4,1/$E$41,0),0)</f>
        <v>0</v>
      </c>
      <c r="CO68" s="34">
        <f>IF(SUM($I68:CN68)&lt;1,IF($C68&lt;=CO$4,1/$E$41,0),0)</f>
        <v>0</v>
      </c>
      <c r="CP68" s="34">
        <f>IF(SUM($I68:CO68)&lt;1,IF($C68&lt;=CP$4,1/$E$41,0),0)</f>
        <v>0</v>
      </c>
      <c r="CQ68" s="34">
        <f>IF(SUM($I68:CP68)&lt;1,IF($C68&lt;=CQ$4,1/$E$41,0),0)</f>
        <v>0</v>
      </c>
      <c r="CR68" s="34">
        <f>IF(SUM($I68:CQ68)&lt;1,IF($C68&lt;=CR$4,1/$E$41,0),0)</f>
        <v>0</v>
      </c>
      <c r="CS68" s="34">
        <f>IF(SUM($I68:CR68)&lt;1,IF($C68&lt;=CS$4,1/$E$41,0),0)</f>
        <v>0</v>
      </c>
      <c r="CT68" s="34">
        <f>IF(SUM($I68:CS68)&lt;1,IF($C68&lt;=CT$4,1/$E$41,0),0)</f>
        <v>0</v>
      </c>
      <c r="CU68" s="34">
        <f>IF(SUM($I68:CT68)&lt;1,IF($C68&lt;=CU$4,1/$E$41,0),0)</f>
        <v>0</v>
      </c>
      <c r="CV68" s="34">
        <f>IF(SUM($I68:CU68)&lt;1,IF($C68&lt;=CV$4,1/$E$41,0),0)</f>
        <v>0</v>
      </c>
      <c r="CW68" s="34">
        <f>IF(SUM($I68:CV68)&lt;1,IF($C68&lt;=CW$4,1/$E$41,0),0)</f>
        <v>0</v>
      </c>
      <c r="CX68" s="34">
        <f>IF(SUM($I68:CW68)&lt;1,IF($C68&lt;=CX$4,1/$E$41,0),0)</f>
        <v>0</v>
      </c>
      <c r="CY68" s="34">
        <f>IF(SUM($I68:CX68)&lt;1,IF($C68&lt;=CY$4,1/$E$41,0),0)</f>
        <v>0</v>
      </c>
      <c r="CZ68" s="34">
        <f>IF(SUM($I68:CY68)&lt;1,IF($C68&lt;=CZ$4,1/$E$41,0),0)</f>
        <v>0</v>
      </c>
      <c r="DA68" s="34">
        <f>IF(SUM($I68:CZ68)&lt;1,IF($C68&lt;=DA$4,1/$E$41,0),0)</f>
        <v>0</v>
      </c>
      <c r="DB68" s="34">
        <f>IF(SUM($I68:DA68)&lt;1,IF($C68&lt;=DB$4,1/$E$41,0),0)</f>
        <v>0</v>
      </c>
      <c r="DC68" s="34">
        <f>IF(SUM($I68:DB68)&lt;1,IF($C68&lt;=DC$4,1/$E$41,0),0)</f>
        <v>0</v>
      </c>
      <c r="DD68" s="34">
        <f>IF(SUM($I68:DC68)&lt;1,IF($C68&lt;=DD$4,1/$E$41,0),0)</f>
        <v>0</v>
      </c>
      <c r="DE68" s="34">
        <f>IF(SUM($I68:DD68)&lt;1,IF($C68&lt;=DE$4,1/$E$41,0),0)</f>
        <v>0</v>
      </c>
      <c r="DF68" s="34">
        <f>IF(SUM($I68:DE68)&lt;1,IF($C68&lt;=DF$4,1/$E$41,0),0)</f>
        <v>0</v>
      </c>
      <c r="DG68" s="34">
        <f>IF(SUM($I68:DF68)&lt;1,IF($C68&lt;=DG$4,1/$E$41,0),0)</f>
        <v>0</v>
      </c>
      <c r="DH68" s="34">
        <f>IF(SUM($I68:DG68)&lt;1,IF($C68&lt;=DH$4,1/$E$41,0),0)</f>
        <v>0</v>
      </c>
      <c r="DI68" s="34">
        <f>IF(SUM($I68:DH68)&lt;1,IF($C68&lt;=DI$4,1/$E$41,0),0)</f>
        <v>0</v>
      </c>
      <c r="DJ68" s="34">
        <f>IF(SUM($I68:DI68)&lt;1,IF($C68&lt;=DJ$4,1/$E$41,0),0)</f>
        <v>0</v>
      </c>
      <c r="DK68" s="34">
        <f>IF(SUM($I68:DJ68)&lt;1,IF($C68&lt;=DK$4,1/$E$41,0),0)</f>
        <v>0</v>
      </c>
      <c r="DL68" s="34">
        <f>IF(SUM($I68:DK68)&lt;1,IF($C68&lt;=DL$4,1/$E$41,0),0)</f>
        <v>0</v>
      </c>
      <c r="DM68" s="34">
        <f>IF(SUM($I68:DL68)&lt;1,IF($C68&lt;=DM$4,1/$E$41,0),0)</f>
        <v>0</v>
      </c>
    </row>
    <row r="69" spans="3:117" outlineLevel="1" x14ac:dyDescent="0.15">
      <c r="C69" s="50">
        <f t="shared" si="48"/>
        <v>25</v>
      </c>
      <c r="D69" s="5" t="s">
        <v>18</v>
      </c>
      <c r="E69" s="19">
        <f t="shared" si="47"/>
        <v>0</v>
      </c>
      <c r="I69" s="9"/>
      <c r="J69" s="34">
        <f>IF(SUM($I69:I69)&lt;1,IF($C69&lt;=J$4,1/$E$41,0),0)</f>
        <v>0</v>
      </c>
      <c r="K69" s="34">
        <f>IF(SUM($I69:J69)&lt;1,IF($C69&lt;=K$4,1/$E$41,0),0)</f>
        <v>0</v>
      </c>
      <c r="L69" s="34">
        <f>IF(SUM($I69:K69)&lt;1,IF($C69&lt;=L$4,1/$E$41,0),0)</f>
        <v>0</v>
      </c>
      <c r="M69" s="34">
        <f>IF(SUM($I69:L69)&lt;1,IF($C69&lt;=M$4,1/$E$41,0),0)</f>
        <v>0</v>
      </c>
      <c r="N69" s="34">
        <f>IF(SUM($I69:M69)&lt;1,IF($C69&lt;=N$4,1/$E$41,0),0)</f>
        <v>0</v>
      </c>
      <c r="O69" s="34">
        <f>IF(SUM($I69:N69)&lt;1,IF($C69&lt;=O$4,1/$E$41,0),0)</f>
        <v>0</v>
      </c>
      <c r="P69" s="34">
        <f>IF(SUM($I69:O69)&lt;1,IF($C69&lt;=P$4,1/$E$41,0),0)</f>
        <v>0</v>
      </c>
      <c r="Q69" s="34">
        <f>IF(SUM($I69:P69)&lt;1,IF($C69&lt;=Q$4,1/$E$41,0),0)</f>
        <v>0</v>
      </c>
      <c r="R69" s="34">
        <f>IF(SUM($I69:Q69)&lt;1,IF($C69&lt;=R$4,1/$E$41,0),0)</f>
        <v>0</v>
      </c>
      <c r="S69" s="34">
        <f>IF(SUM($I69:R69)&lt;1,IF($C69&lt;=S$4,1/$E$41,0),0)</f>
        <v>0</v>
      </c>
      <c r="T69" s="34">
        <f>IF(SUM($I69:S69)&lt;1,IF($C69&lt;=T$4,1/$E$41,0),0)</f>
        <v>0</v>
      </c>
      <c r="U69" s="34">
        <f>IF(SUM($I69:T69)&lt;1,IF($C69&lt;=U$4,1/$E$41,0),0)</f>
        <v>0</v>
      </c>
      <c r="V69" s="34">
        <f>IF(SUM($I69:U69)&lt;1,IF($C69&lt;=V$4,1/$E$41,0),0)</f>
        <v>0</v>
      </c>
      <c r="W69" s="34">
        <f>IF(SUM($I69:V69)&lt;1,IF($C69&lt;=W$4,1/$E$41,0),0)</f>
        <v>0</v>
      </c>
      <c r="X69" s="34">
        <f>IF(SUM($I69:W69)&lt;1,IF($C69&lt;=X$4,1/$E$41,0),0)</f>
        <v>0</v>
      </c>
      <c r="Y69" s="34">
        <f>IF(SUM($I69:X69)&lt;1,IF($C69&lt;=Y$4,1/$E$41,0),0)</f>
        <v>0</v>
      </c>
      <c r="Z69" s="34">
        <f>IF(SUM($I69:Y69)&lt;1,IF($C69&lt;=Z$4,1/$E$41,0),0)</f>
        <v>0</v>
      </c>
      <c r="AA69" s="34">
        <f>IF(SUM($I69:Z69)&lt;1,IF($C69&lt;=AA$4,1/$E$41,0),0)</f>
        <v>0</v>
      </c>
      <c r="AB69" s="34">
        <f>IF(SUM($I69:AA69)&lt;1,IF($C69&lt;=AB$4,1/$E$41,0),0)</f>
        <v>0</v>
      </c>
      <c r="AC69" s="34">
        <f>IF(SUM($I69:AB69)&lt;1,IF($C69&lt;=AC$4,1/$E$41,0),0)</f>
        <v>0</v>
      </c>
      <c r="AD69" s="34">
        <f>IF(SUM($I69:AC69)&lt;1,IF($C69&lt;=AD$4,1/$E$41,0),0)</f>
        <v>0</v>
      </c>
      <c r="AE69" s="34">
        <f>IF(SUM($I69:AD69)&lt;1,IF($C69&lt;=AE$4,1/$E$41,0),0)</f>
        <v>0</v>
      </c>
      <c r="AF69" s="34">
        <f>IF(SUM($I69:AE69)&lt;1,IF($C69&lt;=AF$4,1/$E$41,0),0)</f>
        <v>0</v>
      </c>
      <c r="AG69" s="34">
        <f>IF(SUM($I69:AF69)&lt;1,IF($C69&lt;=AG$4,1/$E$41,0),0)</f>
        <v>0</v>
      </c>
      <c r="AH69" s="34">
        <f>IF(SUM($I69:AG69)&lt;1,IF($C69&lt;=AH$4,1/$E$41,0),0)</f>
        <v>0.25</v>
      </c>
      <c r="AI69" s="34">
        <f>IF(SUM($I69:AH69)&lt;1,IF($C69&lt;=AI$4,1/$E$41,0),0)</f>
        <v>0.25</v>
      </c>
      <c r="AJ69" s="34">
        <f>IF(SUM($I69:AI69)&lt;1,IF($C69&lt;=AJ$4,1/$E$41,0),0)</f>
        <v>0.25</v>
      </c>
      <c r="AK69" s="34">
        <f>IF(SUM($I69:AJ69)&lt;1,IF($C69&lt;=AK$4,1/$E$41,0),0)</f>
        <v>0.25</v>
      </c>
      <c r="AL69" s="34">
        <f>IF(SUM($I69:AK69)&lt;1,IF($C69&lt;=AL$4,1/$E$41,0),0)</f>
        <v>0</v>
      </c>
      <c r="AM69" s="34">
        <f>IF(SUM($I69:AL69)&lt;1,IF($C69&lt;=AM$4,1/$E$41,0),0)</f>
        <v>0</v>
      </c>
      <c r="AN69" s="34">
        <f>IF(SUM($I69:AM69)&lt;1,IF($C69&lt;=AN$4,1/$E$41,0),0)</f>
        <v>0</v>
      </c>
      <c r="AO69" s="34">
        <f>IF(SUM($I69:AN69)&lt;1,IF($C69&lt;=AO$4,1/$E$41,0),0)</f>
        <v>0</v>
      </c>
      <c r="AP69" s="34">
        <f>IF(SUM($I69:AO69)&lt;1,IF($C69&lt;=AP$4,1/$E$41,0),0)</f>
        <v>0</v>
      </c>
      <c r="AQ69" s="34">
        <f>IF(SUM($I69:AP69)&lt;1,IF($C69&lt;=AQ$4,1/$E$41,0),0)</f>
        <v>0</v>
      </c>
      <c r="AR69" s="34">
        <f>IF(SUM($I69:AQ69)&lt;1,IF($C69&lt;=AR$4,1/$E$41,0),0)</f>
        <v>0</v>
      </c>
      <c r="AS69" s="34">
        <f>IF(SUM($I69:AR69)&lt;1,IF($C69&lt;=AS$4,1/$E$41,0),0)</f>
        <v>0</v>
      </c>
      <c r="AT69" s="34">
        <f>IF(SUM($I69:AS69)&lt;1,IF($C69&lt;=AT$4,1/$E$41,0),0)</f>
        <v>0</v>
      </c>
      <c r="AU69" s="34">
        <f>IF(SUM($I69:AT69)&lt;1,IF($C69&lt;=AU$4,1/$E$41,0),0)</f>
        <v>0</v>
      </c>
      <c r="AV69" s="34">
        <f>IF(SUM($I69:AU69)&lt;1,IF($C69&lt;=AV$4,1/$E$41,0),0)</f>
        <v>0</v>
      </c>
      <c r="AW69" s="34">
        <f>IF(SUM($I69:AV69)&lt;1,IF($C69&lt;=AW$4,1/$E$41,0),0)</f>
        <v>0</v>
      </c>
      <c r="AX69" s="34">
        <f>IF(SUM($I69:AW69)&lt;1,IF($C69&lt;=AX$4,1/$E$41,0),0)</f>
        <v>0</v>
      </c>
      <c r="AY69" s="34">
        <f>IF(SUM($I69:AX69)&lt;1,IF($C69&lt;=AY$4,1/$E$41,0),0)</f>
        <v>0</v>
      </c>
      <c r="AZ69" s="34">
        <f>IF(SUM($I69:AY69)&lt;1,IF($C69&lt;=AZ$4,1/$E$41,0),0)</f>
        <v>0</v>
      </c>
      <c r="BA69" s="34">
        <f>IF(SUM($I69:AZ69)&lt;1,IF($C69&lt;=BA$4,1/$E$41,0),0)</f>
        <v>0</v>
      </c>
      <c r="BB69" s="34">
        <f>IF(SUM($I69:BA69)&lt;1,IF($C69&lt;=BB$4,1/$E$41,0),0)</f>
        <v>0</v>
      </c>
      <c r="BC69" s="34">
        <f>IF(SUM($I69:BB69)&lt;1,IF($C69&lt;=BC$4,1/$E$41,0),0)</f>
        <v>0</v>
      </c>
      <c r="BD69" s="34">
        <f>IF(SUM($I69:BC69)&lt;1,IF($C69&lt;=BD$4,1/$E$41,0),0)</f>
        <v>0</v>
      </c>
      <c r="BE69" s="34">
        <f>IF(SUM($I69:BD69)&lt;1,IF($C69&lt;=BE$4,1/$E$41,0),0)</f>
        <v>0</v>
      </c>
      <c r="BF69" s="34">
        <f>IF(SUM($I69:BE69)&lt;1,IF($C69&lt;=BF$4,1/$E$41,0),0)</f>
        <v>0</v>
      </c>
      <c r="BG69" s="34">
        <f>IF(SUM($I69:BF69)&lt;1,IF($C69&lt;=BG$4,1/$E$41,0),0)</f>
        <v>0</v>
      </c>
      <c r="BH69" s="34">
        <f>IF(SUM($I69:BG69)&lt;1,IF($C69&lt;=BH$4,1/$E$41,0),0)</f>
        <v>0</v>
      </c>
      <c r="BI69" s="34">
        <f>IF(SUM($I69:BH69)&lt;1,IF($C69&lt;=BI$4,1/$E$41,0),0)</f>
        <v>0</v>
      </c>
      <c r="BJ69" s="34">
        <f>IF(SUM($I69:BI69)&lt;1,IF($C69&lt;=BJ$4,1/$E$41,0),0)</f>
        <v>0</v>
      </c>
      <c r="BK69" s="34">
        <f>IF(SUM($I69:BJ69)&lt;1,IF($C69&lt;=BK$4,1/$E$41,0),0)</f>
        <v>0</v>
      </c>
      <c r="BL69" s="34">
        <f>IF(SUM($I69:BK69)&lt;1,IF($C69&lt;=BL$4,1/$E$41,0),0)</f>
        <v>0</v>
      </c>
      <c r="BM69" s="34">
        <f>IF(SUM($I69:BL69)&lt;1,IF($C69&lt;=BM$4,1/$E$41,0),0)</f>
        <v>0</v>
      </c>
      <c r="BN69" s="34">
        <f>IF(SUM($I69:BM69)&lt;1,IF($C69&lt;=BN$4,1/$E$41,0),0)</f>
        <v>0</v>
      </c>
      <c r="BO69" s="34">
        <f>IF(SUM($I69:BN69)&lt;1,IF($C69&lt;=BO$4,1/$E$41,0),0)</f>
        <v>0</v>
      </c>
      <c r="BP69" s="34">
        <f>IF(SUM($I69:BO69)&lt;1,IF($C69&lt;=BP$4,1/$E$41,0),0)</f>
        <v>0</v>
      </c>
      <c r="BQ69" s="34">
        <f>IF(SUM($I69:BP69)&lt;1,IF($C69&lt;=BQ$4,1/$E$41,0),0)</f>
        <v>0</v>
      </c>
      <c r="BR69" s="34">
        <f>IF(SUM($I69:BQ69)&lt;1,IF($C69&lt;=BR$4,1/$E$41,0),0)</f>
        <v>0</v>
      </c>
      <c r="BS69" s="34">
        <f>IF(SUM($I69:BR69)&lt;1,IF($C69&lt;=BS$4,1/$E$41,0),0)</f>
        <v>0</v>
      </c>
      <c r="BT69" s="34">
        <f>IF(SUM($I69:BS69)&lt;1,IF($C69&lt;=BT$4,1/$E$41,0),0)</f>
        <v>0</v>
      </c>
      <c r="BU69" s="34">
        <f>IF(SUM($I69:BT69)&lt;1,IF($C69&lt;=BU$4,1/$E$41,0),0)</f>
        <v>0</v>
      </c>
      <c r="BV69" s="34">
        <f>IF(SUM($I69:BU69)&lt;1,IF($C69&lt;=BV$4,1/$E$41,0),0)</f>
        <v>0</v>
      </c>
      <c r="BW69" s="34">
        <f>IF(SUM($I69:BV69)&lt;1,IF($C69&lt;=BW$4,1/$E$41,0),0)</f>
        <v>0</v>
      </c>
      <c r="BX69" s="34">
        <f>IF(SUM($I69:BW69)&lt;1,IF($C69&lt;=BX$4,1/$E$41,0),0)</f>
        <v>0</v>
      </c>
      <c r="BY69" s="34">
        <f>IF(SUM($I69:BX69)&lt;1,IF($C69&lt;=BY$4,1/$E$41,0),0)</f>
        <v>0</v>
      </c>
      <c r="BZ69" s="34">
        <f>IF(SUM($I69:BY69)&lt;1,IF($C69&lt;=BZ$4,1/$E$41,0),0)</f>
        <v>0</v>
      </c>
      <c r="CA69" s="34">
        <f>IF(SUM($I69:BZ69)&lt;1,IF($C69&lt;=CA$4,1/$E$41,0),0)</f>
        <v>0</v>
      </c>
      <c r="CB69" s="34">
        <f>IF(SUM($I69:CA69)&lt;1,IF($C69&lt;=CB$4,1/$E$41,0),0)</f>
        <v>0</v>
      </c>
      <c r="CC69" s="34">
        <f>IF(SUM($I69:CB69)&lt;1,IF($C69&lt;=CC$4,1/$E$41,0),0)</f>
        <v>0</v>
      </c>
      <c r="CD69" s="34">
        <f>IF(SUM($I69:CC69)&lt;1,IF($C69&lt;=CD$4,1/$E$41,0),0)</f>
        <v>0</v>
      </c>
      <c r="CE69" s="34">
        <f>IF(SUM($I69:CD69)&lt;1,IF($C69&lt;=CE$4,1/$E$41,0),0)</f>
        <v>0</v>
      </c>
      <c r="CF69" s="34">
        <f>IF(SUM($I69:CE69)&lt;1,IF($C69&lt;=CF$4,1/$E$41,0),0)</f>
        <v>0</v>
      </c>
      <c r="CG69" s="34">
        <f>IF(SUM($I69:CF69)&lt;1,IF($C69&lt;=CG$4,1/$E$41,0),0)</f>
        <v>0</v>
      </c>
      <c r="CH69" s="34">
        <f>IF(SUM($I69:CG69)&lt;1,IF($C69&lt;=CH$4,1/$E$41,0),0)</f>
        <v>0</v>
      </c>
      <c r="CI69" s="34">
        <f>IF(SUM($I69:CH69)&lt;1,IF($C69&lt;=CI$4,1/$E$41,0),0)</f>
        <v>0</v>
      </c>
      <c r="CJ69" s="34">
        <f>IF(SUM($I69:CI69)&lt;1,IF($C69&lt;=CJ$4,1/$E$41,0),0)</f>
        <v>0</v>
      </c>
      <c r="CK69" s="34">
        <f>IF(SUM($I69:CJ69)&lt;1,IF($C69&lt;=CK$4,1/$E$41,0),0)</f>
        <v>0</v>
      </c>
      <c r="CL69" s="34">
        <f>IF(SUM($I69:CK69)&lt;1,IF($C69&lt;=CL$4,1/$E$41,0),0)</f>
        <v>0</v>
      </c>
      <c r="CM69" s="34">
        <f>IF(SUM($I69:CL69)&lt;1,IF($C69&lt;=CM$4,1/$E$41,0),0)</f>
        <v>0</v>
      </c>
      <c r="CN69" s="34">
        <f>IF(SUM($I69:CM69)&lt;1,IF($C69&lt;=CN$4,1/$E$41,0),0)</f>
        <v>0</v>
      </c>
      <c r="CO69" s="34">
        <f>IF(SUM($I69:CN69)&lt;1,IF($C69&lt;=CO$4,1/$E$41,0),0)</f>
        <v>0</v>
      </c>
      <c r="CP69" s="34">
        <f>IF(SUM($I69:CO69)&lt;1,IF($C69&lt;=CP$4,1/$E$41,0),0)</f>
        <v>0</v>
      </c>
      <c r="CQ69" s="34">
        <f>IF(SUM($I69:CP69)&lt;1,IF($C69&lt;=CQ$4,1/$E$41,0),0)</f>
        <v>0</v>
      </c>
      <c r="CR69" s="34">
        <f>IF(SUM($I69:CQ69)&lt;1,IF($C69&lt;=CR$4,1/$E$41,0),0)</f>
        <v>0</v>
      </c>
      <c r="CS69" s="34">
        <f>IF(SUM($I69:CR69)&lt;1,IF($C69&lt;=CS$4,1/$E$41,0),0)</f>
        <v>0</v>
      </c>
      <c r="CT69" s="34">
        <f>IF(SUM($I69:CS69)&lt;1,IF($C69&lt;=CT$4,1/$E$41,0),0)</f>
        <v>0</v>
      </c>
      <c r="CU69" s="34">
        <f>IF(SUM($I69:CT69)&lt;1,IF($C69&lt;=CU$4,1/$E$41,0),0)</f>
        <v>0</v>
      </c>
      <c r="CV69" s="34">
        <f>IF(SUM($I69:CU69)&lt;1,IF($C69&lt;=CV$4,1/$E$41,0),0)</f>
        <v>0</v>
      </c>
      <c r="CW69" s="34">
        <f>IF(SUM($I69:CV69)&lt;1,IF($C69&lt;=CW$4,1/$E$41,0),0)</f>
        <v>0</v>
      </c>
      <c r="CX69" s="34">
        <f>IF(SUM($I69:CW69)&lt;1,IF($C69&lt;=CX$4,1/$E$41,0),0)</f>
        <v>0</v>
      </c>
      <c r="CY69" s="34">
        <f>IF(SUM($I69:CX69)&lt;1,IF($C69&lt;=CY$4,1/$E$41,0),0)</f>
        <v>0</v>
      </c>
      <c r="CZ69" s="34">
        <f>IF(SUM($I69:CY69)&lt;1,IF($C69&lt;=CZ$4,1/$E$41,0),0)</f>
        <v>0</v>
      </c>
      <c r="DA69" s="34">
        <f>IF(SUM($I69:CZ69)&lt;1,IF($C69&lt;=DA$4,1/$E$41,0),0)</f>
        <v>0</v>
      </c>
      <c r="DB69" s="34">
        <f>IF(SUM($I69:DA69)&lt;1,IF($C69&lt;=DB$4,1/$E$41,0),0)</f>
        <v>0</v>
      </c>
      <c r="DC69" s="34">
        <f>IF(SUM($I69:DB69)&lt;1,IF($C69&lt;=DC$4,1/$E$41,0),0)</f>
        <v>0</v>
      </c>
      <c r="DD69" s="34">
        <f>IF(SUM($I69:DC69)&lt;1,IF($C69&lt;=DD$4,1/$E$41,0),0)</f>
        <v>0</v>
      </c>
      <c r="DE69" s="34">
        <f>IF(SUM($I69:DD69)&lt;1,IF($C69&lt;=DE$4,1/$E$41,0),0)</f>
        <v>0</v>
      </c>
      <c r="DF69" s="34">
        <f>IF(SUM($I69:DE69)&lt;1,IF($C69&lt;=DF$4,1/$E$41,0),0)</f>
        <v>0</v>
      </c>
      <c r="DG69" s="34">
        <f>IF(SUM($I69:DF69)&lt;1,IF($C69&lt;=DG$4,1/$E$41,0),0)</f>
        <v>0</v>
      </c>
      <c r="DH69" s="34">
        <f>IF(SUM($I69:DG69)&lt;1,IF($C69&lt;=DH$4,1/$E$41,0),0)</f>
        <v>0</v>
      </c>
      <c r="DI69" s="34">
        <f>IF(SUM($I69:DH69)&lt;1,IF($C69&lt;=DI$4,1/$E$41,0),0)</f>
        <v>0</v>
      </c>
      <c r="DJ69" s="34">
        <f>IF(SUM($I69:DI69)&lt;1,IF($C69&lt;=DJ$4,1/$E$41,0),0)</f>
        <v>0</v>
      </c>
      <c r="DK69" s="34">
        <f>IF(SUM($I69:DJ69)&lt;1,IF($C69&lt;=DK$4,1/$E$41,0),0)</f>
        <v>0</v>
      </c>
      <c r="DL69" s="34">
        <f>IF(SUM($I69:DK69)&lt;1,IF($C69&lt;=DL$4,1/$E$41,0),0)</f>
        <v>0</v>
      </c>
      <c r="DM69" s="34">
        <f>IF(SUM($I69:DL69)&lt;1,IF($C69&lt;=DM$4,1/$E$41,0),0)</f>
        <v>0</v>
      </c>
    </row>
    <row r="70" spans="3:117" outlineLevel="1" x14ac:dyDescent="0.15">
      <c r="C70" s="50">
        <f t="shared" si="48"/>
        <v>26</v>
      </c>
      <c r="D70" s="5" t="s">
        <v>18</v>
      </c>
      <c r="E70" s="19">
        <f t="shared" si="47"/>
        <v>0</v>
      </c>
      <c r="I70" s="9"/>
      <c r="J70" s="34">
        <f>IF(SUM($I70:I70)&lt;1,IF($C70&lt;=J$4,1/$E$41,0),0)</f>
        <v>0</v>
      </c>
      <c r="K70" s="34">
        <f>IF(SUM($I70:J70)&lt;1,IF($C70&lt;=K$4,1/$E$41,0),0)</f>
        <v>0</v>
      </c>
      <c r="L70" s="34">
        <f>IF(SUM($I70:K70)&lt;1,IF($C70&lt;=L$4,1/$E$41,0),0)</f>
        <v>0</v>
      </c>
      <c r="M70" s="34">
        <f>IF(SUM($I70:L70)&lt;1,IF($C70&lt;=M$4,1/$E$41,0),0)</f>
        <v>0</v>
      </c>
      <c r="N70" s="34">
        <f>IF(SUM($I70:M70)&lt;1,IF($C70&lt;=N$4,1/$E$41,0),0)</f>
        <v>0</v>
      </c>
      <c r="O70" s="34">
        <f>IF(SUM($I70:N70)&lt;1,IF($C70&lt;=O$4,1/$E$41,0),0)</f>
        <v>0</v>
      </c>
      <c r="P70" s="34">
        <f>IF(SUM($I70:O70)&lt;1,IF($C70&lt;=P$4,1/$E$41,0),0)</f>
        <v>0</v>
      </c>
      <c r="Q70" s="34">
        <f>IF(SUM($I70:P70)&lt;1,IF($C70&lt;=Q$4,1/$E$41,0),0)</f>
        <v>0</v>
      </c>
      <c r="R70" s="34">
        <f>IF(SUM($I70:Q70)&lt;1,IF($C70&lt;=R$4,1/$E$41,0),0)</f>
        <v>0</v>
      </c>
      <c r="S70" s="34">
        <f>IF(SUM($I70:R70)&lt;1,IF($C70&lt;=S$4,1/$E$41,0),0)</f>
        <v>0</v>
      </c>
      <c r="T70" s="34">
        <f>IF(SUM($I70:S70)&lt;1,IF($C70&lt;=T$4,1/$E$41,0),0)</f>
        <v>0</v>
      </c>
      <c r="U70" s="34">
        <f>IF(SUM($I70:T70)&lt;1,IF($C70&lt;=U$4,1/$E$41,0),0)</f>
        <v>0</v>
      </c>
      <c r="V70" s="34">
        <f>IF(SUM($I70:U70)&lt;1,IF($C70&lt;=V$4,1/$E$41,0),0)</f>
        <v>0</v>
      </c>
      <c r="W70" s="34">
        <f>IF(SUM($I70:V70)&lt;1,IF($C70&lt;=W$4,1/$E$41,0),0)</f>
        <v>0</v>
      </c>
      <c r="X70" s="34">
        <f>IF(SUM($I70:W70)&lt;1,IF($C70&lt;=X$4,1/$E$41,0),0)</f>
        <v>0</v>
      </c>
      <c r="Y70" s="34">
        <f>IF(SUM($I70:X70)&lt;1,IF($C70&lt;=Y$4,1/$E$41,0),0)</f>
        <v>0</v>
      </c>
      <c r="Z70" s="34">
        <f>IF(SUM($I70:Y70)&lt;1,IF($C70&lt;=Z$4,1/$E$41,0),0)</f>
        <v>0</v>
      </c>
      <c r="AA70" s="34">
        <f>IF(SUM($I70:Z70)&lt;1,IF($C70&lt;=AA$4,1/$E$41,0),0)</f>
        <v>0</v>
      </c>
      <c r="AB70" s="34">
        <f>IF(SUM($I70:AA70)&lt;1,IF($C70&lt;=AB$4,1/$E$41,0),0)</f>
        <v>0</v>
      </c>
      <c r="AC70" s="34">
        <f>IF(SUM($I70:AB70)&lt;1,IF($C70&lt;=AC$4,1/$E$41,0),0)</f>
        <v>0</v>
      </c>
      <c r="AD70" s="34">
        <f>IF(SUM($I70:AC70)&lt;1,IF($C70&lt;=AD$4,1/$E$41,0),0)</f>
        <v>0</v>
      </c>
      <c r="AE70" s="34">
        <f>IF(SUM($I70:AD70)&lt;1,IF($C70&lt;=AE$4,1/$E$41,0),0)</f>
        <v>0</v>
      </c>
      <c r="AF70" s="34">
        <f>IF(SUM($I70:AE70)&lt;1,IF($C70&lt;=AF$4,1/$E$41,0),0)</f>
        <v>0</v>
      </c>
      <c r="AG70" s="34">
        <f>IF(SUM($I70:AF70)&lt;1,IF($C70&lt;=AG$4,1/$E$41,0),0)</f>
        <v>0</v>
      </c>
      <c r="AH70" s="34">
        <f>IF(SUM($I70:AG70)&lt;1,IF($C70&lt;=AH$4,1/$E$41,0),0)</f>
        <v>0</v>
      </c>
      <c r="AI70" s="34">
        <f>IF(SUM($I70:AH70)&lt;1,IF($C70&lt;=AI$4,1/$E$41,0),0)</f>
        <v>0.25</v>
      </c>
      <c r="AJ70" s="34">
        <f>IF(SUM($I70:AI70)&lt;1,IF($C70&lt;=AJ$4,1/$E$41,0),0)</f>
        <v>0.25</v>
      </c>
      <c r="AK70" s="34">
        <f>IF(SUM($I70:AJ70)&lt;1,IF($C70&lt;=AK$4,1/$E$41,0),0)</f>
        <v>0.25</v>
      </c>
      <c r="AL70" s="34">
        <f>IF(SUM($I70:AK70)&lt;1,IF($C70&lt;=AL$4,1/$E$41,0),0)</f>
        <v>0.25</v>
      </c>
      <c r="AM70" s="34">
        <f>IF(SUM($I70:AL70)&lt;1,IF($C70&lt;=AM$4,1/$E$41,0),0)</f>
        <v>0</v>
      </c>
      <c r="AN70" s="34">
        <f>IF(SUM($I70:AM70)&lt;1,IF($C70&lt;=AN$4,1/$E$41,0),0)</f>
        <v>0</v>
      </c>
      <c r="AO70" s="34">
        <f>IF(SUM($I70:AN70)&lt;1,IF($C70&lt;=AO$4,1/$E$41,0),0)</f>
        <v>0</v>
      </c>
      <c r="AP70" s="34">
        <f>IF(SUM($I70:AO70)&lt;1,IF($C70&lt;=AP$4,1/$E$41,0),0)</f>
        <v>0</v>
      </c>
      <c r="AQ70" s="34">
        <f>IF(SUM($I70:AP70)&lt;1,IF($C70&lt;=AQ$4,1/$E$41,0),0)</f>
        <v>0</v>
      </c>
      <c r="AR70" s="34">
        <f>IF(SUM($I70:AQ70)&lt;1,IF($C70&lt;=AR$4,1/$E$41,0),0)</f>
        <v>0</v>
      </c>
      <c r="AS70" s="34">
        <f>IF(SUM($I70:AR70)&lt;1,IF($C70&lt;=AS$4,1/$E$41,0),0)</f>
        <v>0</v>
      </c>
      <c r="AT70" s="34">
        <f>IF(SUM($I70:AS70)&lt;1,IF($C70&lt;=AT$4,1/$E$41,0),0)</f>
        <v>0</v>
      </c>
      <c r="AU70" s="34">
        <f>IF(SUM($I70:AT70)&lt;1,IF($C70&lt;=AU$4,1/$E$41,0),0)</f>
        <v>0</v>
      </c>
      <c r="AV70" s="34">
        <f>IF(SUM($I70:AU70)&lt;1,IF($C70&lt;=AV$4,1/$E$41,0),0)</f>
        <v>0</v>
      </c>
      <c r="AW70" s="34">
        <f>IF(SUM($I70:AV70)&lt;1,IF($C70&lt;=AW$4,1/$E$41,0),0)</f>
        <v>0</v>
      </c>
      <c r="AX70" s="34">
        <f>IF(SUM($I70:AW70)&lt;1,IF($C70&lt;=AX$4,1/$E$41,0),0)</f>
        <v>0</v>
      </c>
      <c r="AY70" s="34">
        <f>IF(SUM($I70:AX70)&lt;1,IF($C70&lt;=AY$4,1/$E$41,0),0)</f>
        <v>0</v>
      </c>
      <c r="AZ70" s="34">
        <f>IF(SUM($I70:AY70)&lt;1,IF($C70&lt;=AZ$4,1/$E$41,0),0)</f>
        <v>0</v>
      </c>
      <c r="BA70" s="34">
        <f>IF(SUM($I70:AZ70)&lt;1,IF($C70&lt;=BA$4,1/$E$41,0),0)</f>
        <v>0</v>
      </c>
      <c r="BB70" s="34">
        <f>IF(SUM($I70:BA70)&lt;1,IF($C70&lt;=BB$4,1/$E$41,0),0)</f>
        <v>0</v>
      </c>
      <c r="BC70" s="34">
        <f>IF(SUM($I70:BB70)&lt;1,IF($C70&lt;=BC$4,1/$E$41,0),0)</f>
        <v>0</v>
      </c>
      <c r="BD70" s="34">
        <f>IF(SUM($I70:BC70)&lt;1,IF($C70&lt;=BD$4,1/$E$41,0),0)</f>
        <v>0</v>
      </c>
      <c r="BE70" s="34">
        <f>IF(SUM($I70:BD70)&lt;1,IF($C70&lt;=BE$4,1/$E$41,0),0)</f>
        <v>0</v>
      </c>
      <c r="BF70" s="34">
        <f>IF(SUM($I70:BE70)&lt;1,IF($C70&lt;=BF$4,1/$E$41,0),0)</f>
        <v>0</v>
      </c>
      <c r="BG70" s="34">
        <f>IF(SUM($I70:BF70)&lt;1,IF($C70&lt;=BG$4,1/$E$41,0),0)</f>
        <v>0</v>
      </c>
      <c r="BH70" s="34">
        <f>IF(SUM($I70:BG70)&lt;1,IF($C70&lt;=BH$4,1/$E$41,0),0)</f>
        <v>0</v>
      </c>
      <c r="BI70" s="34">
        <f>IF(SUM($I70:BH70)&lt;1,IF($C70&lt;=BI$4,1/$E$41,0),0)</f>
        <v>0</v>
      </c>
      <c r="BJ70" s="34">
        <f>IF(SUM($I70:BI70)&lt;1,IF($C70&lt;=BJ$4,1/$E$41,0),0)</f>
        <v>0</v>
      </c>
      <c r="BK70" s="34">
        <f>IF(SUM($I70:BJ70)&lt;1,IF($C70&lt;=BK$4,1/$E$41,0),0)</f>
        <v>0</v>
      </c>
      <c r="BL70" s="34">
        <f>IF(SUM($I70:BK70)&lt;1,IF($C70&lt;=BL$4,1/$E$41,0),0)</f>
        <v>0</v>
      </c>
      <c r="BM70" s="34">
        <f>IF(SUM($I70:BL70)&lt;1,IF($C70&lt;=BM$4,1/$E$41,0),0)</f>
        <v>0</v>
      </c>
      <c r="BN70" s="34">
        <f>IF(SUM($I70:BM70)&lt;1,IF($C70&lt;=BN$4,1/$E$41,0),0)</f>
        <v>0</v>
      </c>
      <c r="BO70" s="34">
        <f>IF(SUM($I70:BN70)&lt;1,IF($C70&lt;=BO$4,1/$E$41,0),0)</f>
        <v>0</v>
      </c>
      <c r="BP70" s="34">
        <f>IF(SUM($I70:BO70)&lt;1,IF($C70&lt;=BP$4,1/$E$41,0),0)</f>
        <v>0</v>
      </c>
      <c r="BQ70" s="34">
        <f>IF(SUM($I70:BP70)&lt;1,IF($C70&lt;=BQ$4,1/$E$41,0),0)</f>
        <v>0</v>
      </c>
      <c r="BR70" s="34">
        <f>IF(SUM($I70:BQ70)&lt;1,IF($C70&lt;=BR$4,1/$E$41,0),0)</f>
        <v>0</v>
      </c>
      <c r="BS70" s="34">
        <f>IF(SUM($I70:BR70)&lt;1,IF($C70&lt;=BS$4,1/$E$41,0),0)</f>
        <v>0</v>
      </c>
      <c r="BT70" s="34">
        <f>IF(SUM($I70:BS70)&lt;1,IF($C70&lt;=BT$4,1/$E$41,0),0)</f>
        <v>0</v>
      </c>
      <c r="BU70" s="34">
        <f>IF(SUM($I70:BT70)&lt;1,IF($C70&lt;=BU$4,1/$E$41,0),0)</f>
        <v>0</v>
      </c>
      <c r="BV70" s="34">
        <f>IF(SUM($I70:BU70)&lt;1,IF($C70&lt;=BV$4,1/$E$41,0),0)</f>
        <v>0</v>
      </c>
      <c r="BW70" s="34">
        <f>IF(SUM($I70:BV70)&lt;1,IF($C70&lt;=BW$4,1/$E$41,0),0)</f>
        <v>0</v>
      </c>
      <c r="BX70" s="34">
        <f>IF(SUM($I70:BW70)&lt;1,IF($C70&lt;=BX$4,1/$E$41,0),0)</f>
        <v>0</v>
      </c>
      <c r="BY70" s="34">
        <f>IF(SUM($I70:BX70)&lt;1,IF($C70&lt;=BY$4,1/$E$41,0),0)</f>
        <v>0</v>
      </c>
      <c r="BZ70" s="34">
        <f>IF(SUM($I70:BY70)&lt;1,IF($C70&lt;=BZ$4,1/$E$41,0),0)</f>
        <v>0</v>
      </c>
      <c r="CA70" s="34">
        <f>IF(SUM($I70:BZ70)&lt;1,IF($C70&lt;=CA$4,1/$E$41,0),0)</f>
        <v>0</v>
      </c>
      <c r="CB70" s="34">
        <f>IF(SUM($I70:CA70)&lt;1,IF($C70&lt;=CB$4,1/$E$41,0),0)</f>
        <v>0</v>
      </c>
      <c r="CC70" s="34">
        <f>IF(SUM($I70:CB70)&lt;1,IF($C70&lt;=CC$4,1/$E$41,0),0)</f>
        <v>0</v>
      </c>
      <c r="CD70" s="34">
        <f>IF(SUM($I70:CC70)&lt;1,IF($C70&lt;=CD$4,1/$E$41,0),0)</f>
        <v>0</v>
      </c>
      <c r="CE70" s="34">
        <f>IF(SUM($I70:CD70)&lt;1,IF($C70&lt;=CE$4,1/$E$41,0),0)</f>
        <v>0</v>
      </c>
      <c r="CF70" s="34">
        <f>IF(SUM($I70:CE70)&lt;1,IF($C70&lt;=CF$4,1/$E$41,0),0)</f>
        <v>0</v>
      </c>
      <c r="CG70" s="34">
        <f>IF(SUM($I70:CF70)&lt;1,IF($C70&lt;=CG$4,1/$E$41,0),0)</f>
        <v>0</v>
      </c>
      <c r="CH70" s="34">
        <f>IF(SUM($I70:CG70)&lt;1,IF($C70&lt;=CH$4,1/$E$41,0),0)</f>
        <v>0</v>
      </c>
      <c r="CI70" s="34">
        <f>IF(SUM($I70:CH70)&lt;1,IF($C70&lt;=CI$4,1/$E$41,0),0)</f>
        <v>0</v>
      </c>
      <c r="CJ70" s="34">
        <f>IF(SUM($I70:CI70)&lt;1,IF($C70&lt;=CJ$4,1/$E$41,0),0)</f>
        <v>0</v>
      </c>
      <c r="CK70" s="34">
        <f>IF(SUM($I70:CJ70)&lt;1,IF($C70&lt;=CK$4,1/$E$41,0),0)</f>
        <v>0</v>
      </c>
      <c r="CL70" s="34">
        <f>IF(SUM($I70:CK70)&lt;1,IF($C70&lt;=CL$4,1/$E$41,0),0)</f>
        <v>0</v>
      </c>
      <c r="CM70" s="34">
        <f>IF(SUM($I70:CL70)&lt;1,IF($C70&lt;=CM$4,1/$E$41,0),0)</f>
        <v>0</v>
      </c>
      <c r="CN70" s="34">
        <f>IF(SUM($I70:CM70)&lt;1,IF($C70&lt;=CN$4,1/$E$41,0),0)</f>
        <v>0</v>
      </c>
      <c r="CO70" s="34">
        <f>IF(SUM($I70:CN70)&lt;1,IF($C70&lt;=CO$4,1/$E$41,0),0)</f>
        <v>0</v>
      </c>
      <c r="CP70" s="34">
        <f>IF(SUM($I70:CO70)&lt;1,IF($C70&lt;=CP$4,1/$E$41,0),0)</f>
        <v>0</v>
      </c>
      <c r="CQ70" s="34">
        <f>IF(SUM($I70:CP70)&lt;1,IF($C70&lt;=CQ$4,1/$E$41,0),0)</f>
        <v>0</v>
      </c>
      <c r="CR70" s="34">
        <f>IF(SUM($I70:CQ70)&lt;1,IF($C70&lt;=CR$4,1/$E$41,0),0)</f>
        <v>0</v>
      </c>
      <c r="CS70" s="34">
        <f>IF(SUM($I70:CR70)&lt;1,IF($C70&lt;=CS$4,1/$E$41,0),0)</f>
        <v>0</v>
      </c>
      <c r="CT70" s="34">
        <f>IF(SUM($I70:CS70)&lt;1,IF($C70&lt;=CT$4,1/$E$41,0),0)</f>
        <v>0</v>
      </c>
      <c r="CU70" s="34">
        <f>IF(SUM($I70:CT70)&lt;1,IF($C70&lt;=CU$4,1/$E$41,0),0)</f>
        <v>0</v>
      </c>
      <c r="CV70" s="34">
        <f>IF(SUM($I70:CU70)&lt;1,IF($C70&lt;=CV$4,1/$E$41,0),0)</f>
        <v>0</v>
      </c>
      <c r="CW70" s="34">
        <f>IF(SUM($I70:CV70)&lt;1,IF($C70&lt;=CW$4,1/$E$41,0),0)</f>
        <v>0</v>
      </c>
      <c r="CX70" s="34">
        <f>IF(SUM($I70:CW70)&lt;1,IF($C70&lt;=CX$4,1/$E$41,0),0)</f>
        <v>0</v>
      </c>
      <c r="CY70" s="34">
        <f>IF(SUM($I70:CX70)&lt;1,IF($C70&lt;=CY$4,1/$E$41,0),0)</f>
        <v>0</v>
      </c>
      <c r="CZ70" s="34">
        <f>IF(SUM($I70:CY70)&lt;1,IF($C70&lt;=CZ$4,1/$E$41,0),0)</f>
        <v>0</v>
      </c>
      <c r="DA70" s="34">
        <f>IF(SUM($I70:CZ70)&lt;1,IF($C70&lt;=DA$4,1/$E$41,0),0)</f>
        <v>0</v>
      </c>
      <c r="DB70" s="34">
        <f>IF(SUM($I70:DA70)&lt;1,IF($C70&lt;=DB$4,1/$E$41,0),0)</f>
        <v>0</v>
      </c>
      <c r="DC70" s="34">
        <f>IF(SUM($I70:DB70)&lt;1,IF($C70&lt;=DC$4,1/$E$41,0),0)</f>
        <v>0</v>
      </c>
      <c r="DD70" s="34">
        <f>IF(SUM($I70:DC70)&lt;1,IF($C70&lt;=DD$4,1/$E$41,0),0)</f>
        <v>0</v>
      </c>
      <c r="DE70" s="34">
        <f>IF(SUM($I70:DD70)&lt;1,IF($C70&lt;=DE$4,1/$E$41,0),0)</f>
        <v>0</v>
      </c>
      <c r="DF70" s="34">
        <f>IF(SUM($I70:DE70)&lt;1,IF($C70&lt;=DF$4,1/$E$41,0),0)</f>
        <v>0</v>
      </c>
      <c r="DG70" s="34">
        <f>IF(SUM($I70:DF70)&lt;1,IF($C70&lt;=DG$4,1/$E$41,0),0)</f>
        <v>0</v>
      </c>
      <c r="DH70" s="34">
        <f>IF(SUM($I70:DG70)&lt;1,IF($C70&lt;=DH$4,1/$E$41,0),0)</f>
        <v>0</v>
      </c>
      <c r="DI70" s="34">
        <f>IF(SUM($I70:DH70)&lt;1,IF($C70&lt;=DI$4,1/$E$41,0),0)</f>
        <v>0</v>
      </c>
      <c r="DJ70" s="34">
        <f>IF(SUM($I70:DI70)&lt;1,IF($C70&lt;=DJ$4,1/$E$41,0),0)</f>
        <v>0</v>
      </c>
      <c r="DK70" s="34">
        <f>IF(SUM($I70:DJ70)&lt;1,IF($C70&lt;=DK$4,1/$E$41,0),0)</f>
        <v>0</v>
      </c>
      <c r="DL70" s="34">
        <f>IF(SUM($I70:DK70)&lt;1,IF($C70&lt;=DL$4,1/$E$41,0),0)</f>
        <v>0</v>
      </c>
      <c r="DM70" s="34">
        <f>IF(SUM($I70:DL70)&lt;1,IF($C70&lt;=DM$4,1/$E$41,0),0)</f>
        <v>0</v>
      </c>
    </row>
    <row r="71" spans="3:117" outlineLevel="1" x14ac:dyDescent="0.15">
      <c r="C71" s="50">
        <f t="shared" si="48"/>
        <v>27</v>
      </c>
      <c r="D71" s="5" t="s">
        <v>18</v>
      </c>
      <c r="E71" s="19">
        <f t="shared" si="47"/>
        <v>0</v>
      </c>
      <c r="I71" s="9"/>
      <c r="J71" s="34">
        <f>IF(SUM($I71:I71)&lt;1,IF($C71&lt;=J$4,1/$E$41,0),0)</f>
        <v>0</v>
      </c>
      <c r="K71" s="34">
        <f>IF(SUM($I71:J71)&lt;1,IF($C71&lt;=K$4,1/$E$41,0),0)</f>
        <v>0</v>
      </c>
      <c r="L71" s="34">
        <f>IF(SUM($I71:K71)&lt;1,IF($C71&lt;=L$4,1/$E$41,0),0)</f>
        <v>0</v>
      </c>
      <c r="M71" s="34">
        <f>IF(SUM($I71:L71)&lt;1,IF($C71&lt;=M$4,1/$E$41,0),0)</f>
        <v>0</v>
      </c>
      <c r="N71" s="34">
        <f>IF(SUM($I71:M71)&lt;1,IF($C71&lt;=N$4,1/$E$41,0),0)</f>
        <v>0</v>
      </c>
      <c r="O71" s="34">
        <f>IF(SUM($I71:N71)&lt;1,IF($C71&lt;=O$4,1/$E$41,0),0)</f>
        <v>0</v>
      </c>
      <c r="P71" s="34">
        <f>IF(SUM($I71:O71)&lt;1,IF($C71&lt;=P$4,1/$E$41,0),0)</f>
        <v>0</v>
      </c>
      <c r="Q71" s="34">
        <f>IF(SUM($I71:P71)&lt;1,IF($C71&lt;=Q$4,1/$E$41,0),0)</f>
        <v>0</v>
      </c>
      <c r="R71" s="34">
        <f>IF(SUM($I71:Q71)&lt;1,IF($C71&lt;=R$4,1/$E$41,0),0)</f>
        <v>0</v>
      </c>
      <c r="S71" s="34">
        <f>IF(SUM($I71:R71)&lt;1,IF($C71&lt;=S$4,1/$E$41,0),0)</f>
        <v>0</v>
      </c>
      <c r="T71" s="34">
        <f>IF(SUM($I71:S71)&lt;1,IF($C71&lt;=T$4,1/$E$41,0),0)</f>
        <v>0</v>
      </c>
      <c r="U71" s="34">
        <f>IF(SUM($I71:T71)&lt;1,IF($C71&lt;=U$4,1/$E$41,0),0)</f>
        <v>0</v>
      </c>
      <c r="V71" s="34">
        <f>IF(SUM($I71:U71)&lt;1,IF($C71&lt;=V$4,1/$E$41,0),0)</f>
        <v>0</v>
      </c>
      <c r="W71" s="34">
        <f>IF(SUM($I71:V71)&lt;1,IF($C71&lt;=W$4,1/$E$41,0),0)</f>
        <v>0</v>
      </c>
      <c r="X71" s="34">
        <f>IF(SUM($I71:W71)&lt;1,IF($C71&lt;=X$4,1/$E$41,0),0)</f>
        <v>0</v>
      </c>
      <c r="Y71" s="34">
        <f>IF(SUM($I71:X71)&lt;1,IF($C71&lt;=Y$4,1/$E$41,0),0)</f>
        <v>0</v>
      </c>
      <c r="Z71" s="34">
        <f>IF(SUM($I71:Y71)&lt;1,IF($C71&lt;=Z$4,1/$E$41,0),0)</f>
        <v>0</v>
      </c>
      <c r="AA71" s="34">
        <f>IF(SUM($I71:Z71)&lt;1,IF($C71&lt;=AA$4,1/$E$41,0),0)</f>
        <v>0</v>
      </c>
      <c r="AB71" s="34">
        <f>IF(SUM($I71:AA71)&lt;1,IF($C71&lt;=AB$4,1/$E$41,0),0)</f>
        <v>0</v>
      </c>
      <c r="AC71" s="34">
        <f>IF(SUM($I71:AB71)&lt;1,IF($C71&lt;=AC$4,1/$E$41,0),0)</f>
        <v>0</v>
      </c>
      <c r="AD71" s="34">
        <f>IF(SUM($I71:AC71)&lt;1,IF($C71&lt;=AD$4,1/$E$41,0),0)</f>
        <v>0</v>
      </c>
      <c r="AE71" s="34">
        <f>IF(SUM($I71:AD71)&lt;1,IF($C71&lt;=AE$4,1/$E$41,0),0)</f>
        <v>0</v>
      </c>
      <c r="AF71" s="34">
        <f>IF(SUM($I71:AE71)&lt;1,IF($C71&lt;=AF$4,1/$E$41,0),0)</f>
        <v>0</v>
      </c>
      <c r="AG71" s="34">
        <f>IF(SUM($I71:AF71)&lt;1,IF($C71&lt;=AG$4,1/$E$41,0),0)</f>
        <v>0</v>
      </c>
      <c r="AH71" s="34">
        <f>IF(SUM($I71:AG71)&lt;1,IF($C71&lt;=AH$4,1/$E$41,0),0)</f>
        <v>0</v>
      </c>
      <c r="AI71" s="34">
        <f>IF(SUM($I71:AH71)&lt;1,IF($C71&lt;=AI$4,1/$E$41,0),0)</f>
        <v>0</v>
      </c>
      <c r="AJ71" s="34">
        <f>IF(SUM($I71:AI71)&lt;1,IF($C71&lt;=AJ$4,1/$E$41,0),0)</f>
        <v>0.25</v>
      </c>
      <c r="AK71" s="34">
        <f>IF(SUM($I71:AJ71)&lt;1,IF($C71&lt;=AK$4,1/$E$41,0),0)</f>
        <v>0.25</v>
      </c>
      <c r="AL71" s="34">
        <f>IF(SUM($I71:AK71)&lt;1,IF($C71&lt;=AL$4,1/$E$41,0),0)</f>
        <v>0.25</v>
      </c>
      <c r="AM71" s="34">
        <f>IF(SUM($I71:AL71)&lt;1,IF($C71&lt;=AM$4,1/$E$41,0),0)</f>
        <v>0.25</v>
      </c>
      <c r="AN71" s="34">
        <f>IF(SUM($I71:AM71)&lt;1,IF($C71&lt;=AN$4,1/$E$41,0),0)</f>
        <v>0</v>
      </c>
      <c r="AO71" s="34">
        <f>IF(SUM($I71:AN71)&lt;1,IF($C71&lt;=AO$4,1/$E$41,0),0)</f>
        <v>0</v>
      </c>
      <c r="AP71" s="34">
        <f>IF(SUM($I71:AO71)&lt;1,IF($C71&lt;=AP$4,1/$E$41,0),0)</f>
        <v>0</v>
      </c>
      <c r="AQ71" s="34">
        <f>IF(SUM($I71:AP71)&lt;1,IF($C71&lt;=AQ$4,1/$E$41,0),0)</f>
        <v>0</v>
      </c>
      <c r="AR71" s="34">
        <f>IF(SUM($I71:AQ71)&lt;1,IF($C71&lt;=AR$4,1/$E$41,0),0)</f>
        <v>0</v>
      </c>
      <c r="AS71" s="34">
        <f>IF(SUM($I71:AR71)&lt;1,IF($C71&lt;=AS$4,1/$E$41,0),0)</f>
        <v>0</v>
      </c>
      <c r="AT71" s="34">
        <f>IF(SUM($I71:AS71)&lt;1,IF($C71&lt;=AT$4,1/$E$41,0),0)</f>
        <v>0</v>
      </c>
      <c r="AU71" s="34">
        <f>IF(SUM($I71:AT71)&lt;1,IF($C71&lt;=AU$4,1/$E$41,0),0)</f>
        <v>0</v>
      </c>
      <c r="AV71" s="34">
        <f>IF(SUM($I71:AU71)&lt;1,IF($C71&lt;=AV$4,1/$E$41,0),0)</f>
        <v>0</v>
      </c>
      <c r="AW71" s="34">
        <f>IF(SUM($I71:AV71)&lt;1,IF($C71&lt;=AW$4,1/$E$41,0),0)</f>
        <v>0</v>
      </c>
      <c r="AX71" s="34">
        <f>IF(SUM($I71:AW71)&lt;1,IF($C71&lt;=AX$4,1/$E$41,0),0)</f>
        <v>0</v>
      </c>
      <c r="AY71" s="34">
        <f>IF(SUM($I71:AX71)&lt;1,IF($C71&lt;=AY$4,1/$E$41,0),0)</f>
        <v>0</v>
      </c>
      <c r="AZ71" s="34">
        <f>IF(SUM($I71:AY71)&lt;1,IF($C71&lt;=AZ$4,1/$E$41,0),0)</f>
        <v>0</v>
      </c>
      <c r="BA71" s="34">
        <f>IF(SUM($I71:AZ71)&lt;1,IF($C71&lt;=BA$4,1/$E$41,0),0)</f>
        <v>0</v>
      </c>
      <c r="BB71" s="34">
        <f>IF(SUM($I71:BA71)&lt;1,IF($C71&lt;=BB$4,1/$E$41,0),0)</f>
        <v>0</v>
      </c>
      <c r="BC71" s="34">
        <f>IF(SUM($I71:BB71)&lt;1,IF($C71&lt;=BC$4,1/$E$41,0),0)</f>
        <v>0</v>
      </c>
      <c r="BD71" s="34">
        <f>IF(SUM($I71:BC71)&lt;1,IF($C71&lt;=BD$4,1/$E$41,0),0)</f>
        <v>0</v>
      </c>
      <c r="BE71" s="34">
        <f>IF(SUM($I71:BD71)&lt;1,IF($C71&lt;=BE$4,1/$E$41,0),0)</f>
        <v>0</v>
      </c>
      <c r="BF71" s="34">
        <f>IF(SUM($I71:BE71)&lt;1,IF($C71&lt;=BF$4,1/$E$41,0),0)</f>
        <v>0</v>
      </c>
      <c r="BG71" s="34">
        <f>IF(SUM($I71:BF71)&lt;1,IF($C71&lt;=BG$4,1/$E$41,0),0)</f>
        <v>0</v>
      </c>
      <c r="BH71" s="34">
        <f>IF(SUM($I71:BG71)&lt;1,IF($C71&lt;=BH$4,1/$E$41,0),0)</f>
        <v>0</v>
      </c>
      <c r="BI71" s="34">
        <f>IF(SUM($I71:BH71)&lt;1,IF($C71&lt;=BI$4,1/$E$41,0),0)</f>
        <v>0</v>
      </c>
      <c r="BJ71" s="34">
        <f>IF(SUM($I71:BI71)&lt;1,IF($C71&lt;=BJ$4,1/$E$41,0),0)</f>
        <v>0</v>
      </c>
      <c r="BK71" s="34">
        <f>IF(SUM($I71:BJ71)&lt;1,IF($C71&lt;=BK$4,1/$E$41,0),0)</f>
        <v>0</v>
      </c>
      <c r="BL71" s="34">
        <f>IF(SUM($I71:BK71)&lt;1,IF($C71&lt;=BL$4,1/$E$41,0),0)</f>
        <v>0</v>
      </c>
      <c r="BM71" s="34">
        <f>IF(SUM($I71:BL71)&lt;1,IF($C71&lt;=BM$4,1/$E$41,0),0)</f>
        <v>0</v>
      </c>
      <c r="BN71" s="34">
        <f>IF(SUM($I71:BM71)&lt;1,IF($C71&lt;=BN$4,1/$E$41,0),0)</f>
        <v>0</v>
      </c>
      <c r="BO71" s="34">
        <f>IF(SUM($I71:BN71)&lt;1,IF($C71&lt;=BO$4,1/$E$41,0),0)</f>
        <v>0</v>
      </c>
      <c r="BP71" s="34">
        <f>IF(SUM($I71:BO71)&lt;1,IF($C71&lt;=BP$4,1/$E$41,0),0)</f>
        <v>0</v>
      </c>
      <c r="BQ71" s="34">
        <f>IF(SUM($I71:BP71)&lt;1,IF($C71&lt;=BQ$4,1/$E$41,0),0)</f>
        <v>0</v>
      </c>
      <c r="BR71" s="34">
        <f>IF(SUM($I71:BQ71)&lt;1,IF($C71&lt;=BR$4,1/$E$41,0),0)</f>
        <v>0</v>
      </c>
      <c r="BS71" s="34">
        <f>IF(SUM($I71:BR71)&lt;1,IF($C71&lt;=BS$4,1/$E$41,0),0)</f>
        <v>0</v>
      </c>
      <c r="BT71" s="34">
        <f>IF(SUM($I71:BS71)&lt;1,IF($C71&lt;=BT$4,1/$E$41,0),0)</f>
        <v>0</v>
      </c>
      <c r="BU71" s="34">
        <f>IF(SUM($I71:BT71)&lt;1,IF($C71&lt;=BU$4,1/$E$41,0),0)</f>
        <v>0</v>
      </c>
      <c r="BV71" s="34">
        <f>IF(SUM($I71:BU71)&lt;1,IF($C71&lt;=BV$4,1/$E$41,0),0)</f>
        <v>0</v>
      </c>
      <c r="BW71" s="34">
        <f>IF(SUM($I71:BV71)&lt;1,IF($C71&lt;=BW$4,1/$E$41,0),0)</f>
        <v>0</v>
      </c>
      <c r="BX71" s="34">
        <f>IF(SUM($I71:BW71)&lt;1,IF($C71&lt;=BX$4,1/$E$41,0),0)</f>
        <v>0</v>
      </c>
      <c r="BY71" s="34">
        <f>IF(SUM($I71:BX71)&lt;1,IF($C71&lt;=BY$4,1/$E$41,0),0)</f>
        <v>0</v>
      </c>
      <c r="BZ71" s="34">
        <f>IF(SUM($I71:BY71)&lt;1,IF($C71&lt;=BZ$4,1/$E$41,0),0)</f>
        <v>0</v>
      </c>
      <c r="CA71" s="34">
        <f>IF(SUM($I71:BZ71)&lt;1,IF($C71&lt;=CA$4,1/$E$41,0),0)</f>
        <v>0</v>
      </c>
      <c r="CB71" s="34">
        <f>IF(SUM($I71:CA71)&lt;1,IF($C71&lt;=CB$4,1/$E$41,0),0)</f>
        <v>0</v>
      </c>
      <c r="CC71" s="34">
        <f>IF(SUM($I71:CB71)&lt;1,IF($C71&lt;=CC$4,1/$E$41,0),0)</f>
        <v>0</v>
      </c>
      <c r="CD71" s="34">
        <f>IF(SUM($I71:CC71)&lt;1,IF($C71&lt;=CD$4,1/$E$41,0),0)</f>
        <v>0</v>
      </c>
      <c r="CE71" s="34">
        <f>IF(SUM($I71:CD71)&lt;1,IF($C71&lt;=CE$4,1/$E$41,0),0)</f>
        <v>0</v>
      </c>
      <c r="CF71" s="34">
        <f>IF(SUM($I71:CE71)&lt;1,IF($C71&lt;=CF$4,1/$E$41,0),0)</f>
        <v>0</v>
      </c>
      <c r="CG71" s="34">
        <f>IF(SUM($I71:CF71)&lt;1,IF($C71&lt;=CG$4,1/$E$41,0),0)</f>
        <v>0</v>
      </c>
      <c r="CH71" s="34">
        <f>IF(SUM($I71:CG71)&lt;1,IF($C71&lt;=CH$4,1/$E$41,0),0)</f>
        <v>0</v>
      </c>
      <c r="CI71" s="34">
        <f>IF(SUM($I71:CH71)&lt;1,IF($C71&lt;=CI$4,1/$E$41,0),0)</f>
        <v>0</v>
      </c>
      <c r="CJ71" s="34">
        <f>IF(SUM($I71:CI71)&lt;1,IF($C71&lt;=CJ$4,1/$E$41,0),0)</f>
        <v>0</v>
      </c>
      <c r="CK71" s="34">
        <f>IF(SUM($I71:CJ71)&lt;1,IF($C71&lt;=CK$4,1/$E$41,0),0)</f>
        <v>0</v>
      </c>
      <c r="CL71" s="34">
        <f>IF(SUM($I71:CK71)&lt;1,IF($C71&lt;=CL$4,1/$E$41,0),0)</f>
        <v>0</v>
      </c>
      <c r="CM71" s="34">
        <f>IF(SUM($I71:CL71)&lt;1,IF($C71&lt;=CM$4,1/$E$41,0),0)</f>
        <v>0</v>
      </c>
      <c r="CN71" s="34">
        <f>IF(SUM($I71:CM71)&lt;1,IF($C71&lt;=CN$4,1/$E$41,0),0)</f>
        <v>0</v>
      </c>
      <c r="CO71" s="34">
        <f>IF(SUM($I71:CN71)&lt;1,IF($C71&lt;=CO$4,1/$E$41,0),0)</f>
        <v>0</v>
      </c>
      <c r="CP71" s="34">
        <f>IF(SUM($I71:CO71)&lt;1,IF($C71&lt;=CP$4,1/$E$41,0),0)</f>
        <v>0</v>
      </c>
      <c r="CQ71" s="34">
        <f>IF(SUM($I71:CP71)&lt;1,IF($C71&lt;=CQ$4,1/$E$41,0),0)</f>
        <v>0</v>
      </c>
      <c r="CR71" s="34">
        <f>IF(SUM($I71:CQ71)&lt;1,IF($C71&lt;=CR$4,1/$E$41,0),0)</f>
        <v>0</v>
      </c>
      <c r="CS71" s="34">
        <f>IF(SUM($I71:CR71)&lt;1,IF($C71&lt;=CS$4,1/$E$41,0),0)</f>
        <v>0</v>
      </c>
      <c r="CT71" s="34">
        <f>IF(SUM($I71:CS71)&lt;1,IF($C71&lt;=CT$4,1/$E$41,0),0)</f>
        <v>0</v>
      </c>
      <c r="CU71" s="34">
        <f>IF(SUM($I71:CT71)&lt;1,IF($C71&lt;=CU$4,1/$E$41,0),0)</f>
        <v>0</v>
      </c>
      <c r="CV71" s="34">
        <f>IF(SUM($I71:CU71)&lt;1,IF($C71&lt;=CV$4,1/$E$41,0),0)</f>
        <v>0</v>
      </c>
      <c r="CW71" s="34">
        <f>IF(SUM($I71:CV71)&lt;1,IF($C71&lt;=CW$4,1/$E$41,0),0)</f>
        <v>0</v>
      </c>
      <c r="CX71" s="34">
        <f>IF(SUM($I71:CW71)&lt;1,IF($C71&lt;=CX$4,1/$E$41,0),0)</f>
        <v>0</v>
      </c>
      <c r="CY71" s="34">
        <f>IF(SUM($I71:CX71)&lt;1,IF($C71&lt;=CY$4,1/$E$41,0),0)</f>
        <v>0</v>
      </c>
      <c r="CZ71" s="34">
        <f>IF(SUM($I71:CY71)&lt;1,IF($C71&lt;=CZ$4,1/$E$41,0),0)</f>
        <v>0</v>
      </c>
      <c r="DA71" s="34">
        <f>IF(SUM($I71:CZ71)&lt;1,IF($C71&lt;=DA$4,1/$E$41,0),0)</f>
        <v>0</v>
      </c>
      <c r="DB71" s="34">
        <f>IF(SUM($I71:DA71)&lt;1,IF($C71&lt;=DB$4,1/$E$41,0),0)</f>
        <v>0</v>
      </c>
      <c r="DC71" s="34">
        <f>IF(SUM($I71:DB71)&lt;1,IF($C71&lt;=DC$4,1/$E$41,0),0)</f>
        <v>0</v>
      </c>
      <c r="DD71" s="34">
        <f>IF(SUM($I71:DC71)&lt;1,IF($C71&lt;=DD$4,1/$E$41,0),0)</f>
        <v>0</v>
      </c>
      <c r="DE71" s="34">
        <f>IF(SUM($I71:DD71)&lt;1,IF($C71&lt;=DE$4,1/$E$41,0),0)</f>
        <v>0</v>
      </c>
      <c r="DF71" s="34">
        <f>IF(SUM($I71:DE71)&lt;1,IF($C71&lt;=DF$4,1/$E$41,0),0)</f>
        <v>0</v>
      </c>
      <c r="DG71" s="34">
        <f>IF(SUM($I71:DF71)&lt;1,IF($C71&lt;=DG$4,1/$E$41,0),0)</f>
        <v>0</v>
      </c>
      <c r="DH71" s="34">
        <f>IF(SUM($I71:DG71)&lt;1,IF($C71&lt;=DH$4,1/$E$41,0),0)</f>
        <v>0</v>
      </c>
      <c r="DI71" s="34">
        <f>IF(SUM($I71:DH71)&lt;1,IF($C71&lt;=DI$4,1/$E$41,0),0)</f>
        <v>0</v>
      </c>
      <c r="DJ71" s="34">
        <f>IF(SUM($I71:DI71)&lt;1,IF($C71&lt;=DJ$4,1/$E$41,0),0)</f>
        <v>0</v>
      </c>
      <c r="DK71" s="34">
        <f>IF(SUM($I71:DJ71)&lt;1,IF($C71&lt;=DK$4,1/$E$41,0),0)</f>
        <v>0</v>
      </c>
      <c r="DL71" s="34">
        <f>IF(SUM($I71:DK71)&lt;1,IF($C71&lt;=DL$4,1/$E$41,0),0)</f>
        <v>0</v>
      </c>
      <c r="DM71" s="34">
        <f>IF(SUM($I71:DL71)&lt;1,IF($C71&lt;=DM$4,1/$E$41,0),0)</f>
        <v>0</v>
      </c>
    </row>
    <row r="72" spans="3:117" outlineLevel="1" x14ac:dyDescent="0.15">
      <c r="C72" s="50">
        <f t="shared" si="48"/>
        <v>28</v>
      </c>
      <c r="D72" s="5" t="s">
        <v>18</v>
      </c>
      <c r="E72" s="19">
        <f t="shared" si="47"/>
        <v>0</v>
      </c>
      <c r="I72" s="9"/>
      <c r="J72" s="34">
        <f>IF(SUM($I72:I72)&lt;1,IF($C72&lt;=J$4,1/$E$41,0),0)</f>
        <v>0</v>
      </c>
      <c r="K72" s="34">
        <f>IF(SUM($I72:J72)&lt;1,IF($C72&lt;=K$4,1/$E$41,0),0)</f>
        <v>0</v>
      </c>
      <c r="L72" s="34">
        <f>IF(SUM($I72:K72)&lt;1,IF($C72&lt;=L$4,1/$E$41,0),0)</f>
        <v>0</v>
      </c>
      <c r="M72" s="34">
        <f>IF(SUM($I72:L72)&lt;1,IF($C72&lt;=M$4,1/$E$41,0),0)</f>
        <v>0</v>
      </c>
      <c r="N72" s="34">
        <f>IF(SUM($I72:M72)&lt;1,IF($C72&lt;=N$4,1/$E$41,0),0)</f>
        <v>0</v>
      </c>
      <c r="O72" s="34">
        <f>IF(SUM($I72:N72)&lt;1,IF($C72&lt;=O$4,1/$E$41,0),0)</f>
        <v>0</v>
      </c>
      <c r="P72" s="34">
        <f>IF(SUM($I72:O72)&lt;1,IF($C72&lt;=P$4,1/$E$41,0),0)</f>
        <v>0</v>
      </c>
      <c r="Q72" s="34">
        <f>IF(SUM($I72:P72)&lt;1,IF($C72&lt;=Q$4,1/$E$41,0),0)</f>
        <v>0</v>
      </c>
      <c r="R72" s="34">
        <f>IF(SUM($I72:Q72)&lt;1,IF($C72&lt;=R$4,1/$E$41,0),0)</f>
        <v>0</v>
      </c>
      <c r="S72" s="34">
        <f>IF(SUM($I72:R72)&lt;1,IF($C72&lt;=S$4,1/$E$41,0),0)</f>
        <v>0</v>
      </c>
      <c r="T72" s="34">
        <f>IF(SUM($I72:S72)&lt;1,IF($C72&lt;=T$4,1/$E$41,0),0)</f>
        <v>0</v>
      </c>
      <c r="U72" s="34">
        <f>IF(SUM($I72:T72)&lt;1,IF($C72&lt;=U$4,1/$E$41,0),0)</f>
        <v>0</v>
      </c>
      <c r="V72" s="34">
        <f>IF(SUM($I72:U72)&lt;1,IF($C72&lt;=V$4,1/$E$41,0),0)</f>
        <v>0</v>
      </c>
      <c r="W72" s="34">
        <f>IF(SUM($I72:V72)&lt;1,IF($C72&lt;=W$4,1/$E$41,0),0)</f>
        <v>0</v>
      </c>
      <c r="X72" s="34">
        <f>IF(SUM($I72:W72)&lt;1,IF($C72&lt;=X$4,1/$E$41,0),0)</f>
        <v>0</v>
      </c>
      <c r="Y72" s="34">
        <f>IF(SUM($I72:X72)&lt;1,IF($C72&lt;=Y$4,1/$E$41,0),0)</f>
        <v>0</v>
      </c>
      <c r="Z72" s="34">
        <f>IF(SUM($I72:Y72)&lt;1,IF($C72&lt;=Z$4,1/$E$41,0),0)</f>
        <v>0</v>
      </c>
      <c r="AA72" s="34">
        <f>IF(SUM($I72:Z72)&lt;1,IF($C72&lt;=AA$4,1/$E$41,0),0)</f>
        <v>0</v>
      </c>
      <c r="AB72" s="34">
        <f>IF(SUM($I72:AA72)&lt;1,IF($C72&lt;=AB$4,1/$E$41,0),0)</f>
        <v>0</v>
      </c>
      <c r="AC72" s="34">
        <f>IF(SUM($I72:AB72)&lt;1,IF($C72&lt;=AC$4,1/$E$41,0),0)</f>
        <v>0</v>
      </c>
      <c r="AD72" s="34">
        <f>IF(SUM($I72:AC72)&lt;1,IF($C72&lt;=AD$4,1/$E$41,0),0)</f>
        <v>0</v>
      </c>
      <c r="AE72" s="34">
        <f>IF(SUM($I72:AD72)&lt;1,IF($C72&lt;=AE$4,1/$E$41,0),0)</f>
        <v>0</v>
      </c>
      <c r="AF72" s="34">
        <f>IF(SUM($I72:AE72)&lt;1,IF($C72&lt;=AF$4,1/$E$41,0),0)</f>
        <v>0</v>
      </c>
      <c r="AG72" s="34">
        <f>IF(SUM($I72:AF72)&lt;1,IF($C72&lt;=AG$4,1/$E$41,0),0)</f>
        <v>0</v>
      </c>
      <c r="AH72" s="34">
        <f>IF(SUM($I72:AG72)&lt;1,IF($C72&lt;=AH$4,1/$E$41,0),0)</f>
        <v>0</v>
      </c>
      <c r="AI72" s="34">
        <f>IF(SUM($I72:AH72)&lt;1,IF($C72&lt;=AI$4,1/$E$41,0),0)</f>
        <v>0</v>
      </c>
      <c r="AJ72" s="34">
        <f>IF(SUM($I72:AI72)&lt;1,IF($C72&lt;=AJ$4,1/$E$41,0),0)</f>
        <v>0</v>
      </c>
      <c r="AK72" s="34">
        <f>IF(SUM($I72:AJ72)&lt;1,IF($C72&lt;=AK$4,1/$E$41,0),0)</f>
        <v>0.25</v>
      </c>
      <c r="AL72" s="34">
        <f>IF(SUM($I72:AK72)&lt;1,IF($C72&lt;=AL$4,1/$E$41,0),0)</f>
        <v>0.25</v>
      </c>
      <c r="AM72" s="34">
        <f>IF(SUM($I72:AL72)&lt;1,IF($C72&lt;=AM$4,1/$E$41,0),0)</f>
        <v>0.25</v>
      </c>
      <c r="AN72" s="34">
        <f>IF(SUM($I72:AM72)&lt;1,IF($C72&lt;=AN$4,1/$E$41,0),0)</f>
        <v>0.25</v>
      </c>
      <c r="AO72" s="34">
        <f>IF(SUM($I72:AN72)&lt;1,IF($C72&lt;=AO$4,1/$E$41,0),0)</f>
        <v>0</v>
      </c>
      <c r="AP72" s="34">
        <f>IF(SUM($I72:AO72)&lt;1,IF($C72&lt;=AP$4,1/$E$41,0),0)</f>
        <v>0</v>
      </c>
      <c r="AQ72" s="34">
        <f>IF(SUM($I72:AP72)&lt;1,IF($C72&lt;=AQ$4,1/$E$41,0),0)</f>
        <v>0</v>
      </c>
      <c r="AR72" s="34">
        <f>IF(SUM($I72:AQ72)&lt;1,IF($C72&lt;=AR$4,1/$E$41,0),0)</f>
        <v>0</v>
      </c>
      <c r="AS72" s="34">
        <f>IF(SUM($I72:AR72)&lt;1,IF($C72&lt;=AS$4,1/$E$41,0),0)</f>
        <v>0</v>
      </c>
      <c r="AT72" s="34">
        <f>IF(SUM($I72:AS72)&lt;1,IF($C72&lt;=AT$4,1/$E$41,0),0)</f>
        <v>0</v>
      </c>
      <c r="AU72" s="34">
        <f>IF(SUM($I72:AT72)&lt;1,IF($C72&lt;=AU$4,1/$E$41,0),0)</f>
        <v>0</v>
      </c>
      <c r="AV72" s="34">
        <f>IF(SUM($I72:AU72)&lt;1,IF($C72&lt;=AV$4,1/$E$41,0),0)</f>
        <v>0</v>
      </c>
      <c r="AW72" s="34">
        <f>IF(SUM($I72:AV72)&lt;1,IF($C72&lt;=AW$4,1/$E$41,0),0)</f>
        <v>0</v>
      </c>
      <c r="AX72" s="34">
        <f>IF(SUM($I72:AW72)&lt;1,IF($C72&lt;=AX$4,1/$E$41,0),0)</f>
        <v>0</v>
      </c>
      <c r="AY72" s="34">
        <f>IF(SUM($I72:AX72)&lt;1,IF($C72&lt;=AY$4,1/$E$41,0),0)</f>
        <v>0</v>
      </c>
      <c r="AZ72" s="34">
        <f>IF(SUM($I72:AY72)&lt;1,IF($C72&lt;=AZ$4,1/$E$41,0),0)</f>
        <v>0</v>
      </c>
      <c r="BA72" s="34">
        <f>IF(SUM($I72:AZ72)&lt;1,IF($C72&lt;=BA$4,1/$E$41,0),0)</f>
        <v>0</v>
      </c>
      <c r="BB72" s="34">
        <f>IF(SUM($I72:BA72)&lt;1,IF($C72&lt;=BB$4,1/$E$41,0),0)</f>
        <v>0</v>
      </c>
      <c r="BC72" s="34">
        <f>IF(SUM($I72:BB72)&lt;1,IF($C72&lt;=BC$4,1/$E$41,0),0)</f>
        <v>0</v>
      </c>
      <c r="BD72" s="34">
        <f>IF(SUM($I72:BC72)&lt;1,IF($C72&lt;=BD$4,1/$E$41,0),0)</f>
        <v>0</v>
      </c>
      <c r="BE72" s="34">
        <f>IF(SUM($I72:BD72)&lt;1,IF($C72&lt;=BE$4,1/$E$41,0),0)</f>
        <v>0</v>
      </c>
      <c r="BF72" s="34">
        <f>IF(SUM($I72:BE72)&lt;1,IF($C72&lt;=BF$4,1/$E$41,0),0)</f>
        <v>0</v>
      </c>
      <c r="BG72" s="34">
        <f>IF(SUM($I72:BF72)&lt;1,IF($C72&lt;=BG$4,1/$E$41,0),0)</f>
        <v>0</v>
      </c>
      <c r="BH72" s="34">
        <f>IF(SUM($I72:BG72)&lt;1,IF($C72&lt;=BH$4,1/$E$41,0),0)</f>
        <v>0</v>
      </c>
      <c r="BI72" s="34">
        <f>IF(SUM($I72:BH72)&lt;1,IF($C72&lt;=BI$4,1/$E$41,0),0)</f>
        <v>0</v>
      </c>
      <c r="BJ72" s="34">
        <f>IF(SUM($I72:BI72)&lt;1,IF($C72&lt;=BJ$4,1/$E$41,0),0)</f>
        <v>0</v>
      </c>
      <c r="BK72" s="34">
        <f>IF(SUM($I72:BJ72)&lt;1,IF($C72&lt;=BK$4,1/$E$41,0),0)</f>
        <v>0</v>
      </c>
      <c r="BL72" s="34">
        <f>IF(SUM($I72:BK72)&lt;1,IF($C72&lt;=BL$4,1/$E$41,0),0)</f>
        <v>0</v>
      </c>
      <c r="BM72" s="34">
        <f>IF(SUM($I72:BL72)&lt;1,IF($C72&lt;=BM$4,1/$E$41,0),0)</f>
        <v>0</v>
      </c>
      <c r="BN72" s="34">
        <f>IF(SUM($I72:BM72)&lt;1,IF($C72&lt;=BN$4,1/$E$41,0),0)</f>
        <v>0</v>
      </c>
      <c r="BO72" s="34">
        <f>IF(SUM($I72:BN72)&lt;1,IF($C72&lt;=BO$4,1/$E$41,0),0)</f>
        <v>0</v>
      </c>
      <c r="BP72" s="34">
        <f>IF(SUM($I72:BO72)&lt;1,IF($C72&lt;=BP$4,1/$E$41,0),0)</f>
        <v>0</v>
      </c>
      <c r="BQ72" s="34">
        <f>IF(SUM($I72:BP72)&lt;1,IF($C72&lt;=BQ$4,1/$E$41,0),0)</f>
        <v>0</v>
      </c>
      <c r="BR72" s="34">
        <f>IF(SUM($I72:BQ72)&lt;1,IF($C72&lt;=BR$4,1/$E$41,0),0)</f>
        <v>0</v>
      </c>
      <c r="BS72" s="34">
        <f>IF(SUM($I72:BR72)&lt;1,IF($C72&lt;=BS$4,1/$E$41,0),0)</f>
        <v>0</v>
      </c>
      <c r="BT72" s="34">
        <f>IF(SUM($I72:BS72)&lt;1,IF($C72&lt;=BT$4,1/$E$41,0),0)</f>
        <v>0</v>
      </c>
      <c r="BU72" s="34">
        <f>IF(SUM($I72:BT72)&lt;1,IF($C72&lt;=BU$4,1/$E$41,0),0)</f>
        <v>0</v>
      </c>
      <c r="BV72" s="34">
        <f>IF(SUM($I72:BU72)&lt;1,IF($C72&lt;=BV$4,1/$E$41,0),0)</f>
        <v>0</v>
      </c>
      <c r="BW72" s="34">
        <f>IF(SUM($I72:BV72)&lt;1,IF($C72&lt;=BW$4,1/$E$41,0),0)</f>
        <v>0</v>
      </c>
      <c r="BX72" s="34">
        <f>IF(SUM($I72:BW72)&lt;1,IF($C72&lt;=BX$4,1/$E$41,0),0)</f>
        <v>0</v>
      </c>
      <c r="BY72" s="34">
        <f>IF(SUM($I72:BX72)&lt;1,IF($C72&lt;=BY$4,1/$E$41,0),0)</f>
        <v>0</v>
      </c>
      <c r="BZ72" s="34">
        <f>IF(SUM($I72:BY72)&lt;1,IF($C72&lt;=BZ$4,1/$E$41,0),0)</f>
        <v>0</v>
      </c>
      <c r="CA72" s="34">
        <f>IF(SUM($I72:BZ72)&lt;1,IF($C72&lt;=CA$4,1/$E$41,0),0)</f>
        <v>0</v>
      </c>
      <c r="CB72" s="34">
        <f>IF(SUM($I72:CA72)&lt;1,IF($C72&lt;=CB$4,1/$E$41,0),0)</f>
        <v>0</v>
      </c>
      <c r="CC72" s="34">
        <f>IF(SUM($I72:CB72)&lt;1,IF($C72&lt;=CC$4,1/$E$41,0),0)</f>
        <v>0</v>
      </c>
      <c r="CD72" s="34">
        <f>IF(SUM($I72:CC72)&lt;1,IF($C72&lt;=CD$4,1/$E$41,0),0)</f>
        <v>0</v>
      </c>
      <c r="CE72" s="34">
        <f>IF(SUM($I72:CD72)&lt;1,IF($C72&lt;=CE$4,1/$E$41,0),0)</f>
        <v>0</v>
      </c>
      <c r="CF72" s="34">
        <f>IF(SUM($I72:CE72)&lt;1,IF($C72&lt;=CF$4,1/$E$41,0),0)</f>
        <v>0</v>
      </c>
      <c r="CG72" s="34">
        <f>IF(SUM($I72:CF72)&lt;1,IF($C72&lt;=CG$4,1/$E$41,0),0)</f>
        <v>0</v>
      </c>
      <c r="CH72" s="34">
        <f>IF(SUM($I72:CG72)&lt;1,IF($C72&lt;=CH$4,1/$E$41,0),0)</f>
        <v>0</v>
      </c>
      <c r="CI72" s="34">
        <f>IF(SUM($I72:CH72)&lt;1,IF($C72&lt;=CI$4,1/$E$41,0),0)</f>
        <v>0</v>
      </c>
      <c r="CJ72" s="34">
        <f>IF(SUM($I72:CI72)&lt;1,IF($C72&lt;=CJ$4,1/$E$41,0),0)</f>
        <v>0</v>
      </c>
      <c r="CK72" s="34">
        <f>IF(SUM($I72:CJ72)&lt;1,IF($C72&lt;=CK$4,1/$E$41,0),0)</f>
        <v>0</v>
      </c>
      <c r="CL72" s="34">
        <f>IF(SUM($I72:CK72)&lt;1,IF($C72&lt;=CL$4,1/$E$41,0),0)</f>
        <v>0</v>
      </c>
      <c r="CM72" s="34">
        <f>IF(SUM($I72:CL72)&lt;1,IF($C72&lt;=CM$4,1/$E$41,0),0)</f>
        <v>0</v>
      </c>
      <c r="CN72" s="34">
        <f>IF(SUM($I72:CM72)&lt;1,IF($C72&lt;=CN$4,1/$E$41,0),0)</f>
        <v>0</v>
      </c>
      <c r="CO72" s="34">
        <f>IF(SUM($I72:CN72)&lt;1,IF($C72&lt;=CO$4,1/$E$41,0),0)</f>
        <v>0</v>
      </c>
      <c r="CP72" s="34">
        <f>IF(SUM($I72:CO72)&lt;1,IF($C72&lt;=CP$4,1/$E$41,0),0)</f>
        <v>0</v>
      </c>
      <c r="CQ72" s="34">
        <f>IF(SUM($I72:CP72)&lt;1,IF($C72&lt;=CQ$4,1/$E$41,0),0)</f>
        <v>0</v>
      </c>
      <c r="CR72" s="34">
        <f>IF(SUM($I72:CQ72)&lt;1,IF($C72&lt;=CR$4,1/$E$41,0),0)</f>
        <v>0</v>
      </c>
      <c r="CS72" s="34">
        <f>IF(SUM($I72:CR72)&lt;1,IF($C72&lt;=CS$4,1/$E$41,0),0)</f>
        <v>0</v>
      </c>
      <c r="CT72" s="34">
        <f>IF(SUM($I72:CS72)&lt;1,IF($C72&lt;=CT$4,1/$E$41,0),0)</f>
        <v>0</v>
      </c>
      <c r="CU72" s="34">
        <f>IF(SUM($I72:CT72)&lt;1,IF($C72&lt;=CU$4,1/$E$41,0),0)</f>
        <v>0</v>
      </c>
      <c r="CV72" s="34">
        <f>IF(SUM($I72:CU72)&lt;1,IF($C72&lt;=CV$4,1/$E$41,0),0)</f>
        <v>0</v>
      </c>
      <c r="CW72" s="34">
        <f>IF(SUM($I72:CV72)&lt;1,IF($C72&lt;=CW$4,1/$E$41,0),0)</f>
        <v>0</v>
      </c>
      <c r="CX72" s="34">
        <f>IF(SUM($I72:CW72)&lt;1,IF($C72&lt;=CX$4,1/$E$41,0),0)</f>
        <v>0</v>
      </c>
      <c r="CY72" s="34">
        <f>IF(SUM($I72:CX72)&lt;1,IF($C72&lt;=CY$4,1/$E$41,0),0)</f>
        <v>0</v>
      </c>
      <c r="CZ72" s="34">
        <f>IF(SUM($I72:CY72)&lt;1,IF($C72&lt;=CZ$4,1/$E$41,0),0)</f>
        <v>0</v>
      </c>
      <c r="DA72" s="34">
        <f>IF(SUM($I72:CZ72)&lt;1,IF($C72&lt;=DA$4,1/$E$41,0),0)</f>
        <v>0</v>
      </c>
      <c r="DB72" s="34">
        <f>IF(SUM($I72:DA72)&lt;1,IF($C72&lt;=DB$4,1/$E$41,0),0)</f>
        <v>0</v>
      </c>
      <c r="DC72" s="34">
        <f>IF(SUM($I72:DB72)&lt;1,IF($C72&lt;=DC$4,1/$E$41,0),0)</f>
        <v>0</v>
      </c>
      <c r="DD72" s="34">
        <f>IF(SUM($I72:DC72)&lt;1,IF($C72&lt;=DD$4,1/$E$41,0),0)</f>
        <v>0</v>
      </c>
      <c r="DE72" s="34">
        <f>IF(SUM($I72:DD72)&lt;1,IF($C72&lt;=DE$4,1/$E$41,0),0)</f>
        <v>0</v>
      </c>
      <c r="DF72" s="34">
        <f>IF(SUM($I72:DE72)&lt;1,IF($C72&lt;=DF$4,1/$E$41,0),0)</f>
        <v>0</v>
      </c>
      <c r="DG72" s="34">
        <f>IF(SUM($I72:DF72)&lt;1,IF($C72&lt;=DG$4,1/$E$41,0),0)</f>
        <v>0</v>
      </c>
      <c r="DH72" s="34">
        <f>IF(SUM($I72:DG72)&lt;1,IF($C72&lt;=DH$4,1/$E$41,0),0)</f>
        <v>0</v>
      </c>
      <c r="DI72" s="34">
        <f>IF(SUM($I72:DH72)&lt;1,IF($C72&lt;=DI$4,1/$E$41,0),0)</f>
        <v>0</v>
      </c>
      <c r="DJ72" s="34">
        <f>IF(SUM($I72:DI72)&lt;1,IF($C72&lt;=DJ$4,1/$E$41,0),0)</f>
        <v>0</v>
      </c>
      <c r="DK72" s="34">
        <f>IF(SUM($I72:DJ72)&lt;1,IF($C72&lt;=DK$4,1/$E$41,0),0)</f>
        <v>0</v>
      </c>
      <c r="DL72" s="34">
        <f>IF(SUM($I72:DK72)&lt;1,IF($C72&lt;=DL$4,1/$E$41,0),0)</f>
        <v>0</v>
      </c>
      <c r="DM72" s="34">
        <f>IF(SUM($I72:DL72)&lt;1,IF($C72&lt;=DM$4,1/$E$41,0),0)</f>
        <v>0</v>
      </c>
    </row>
    <row r="73" spans="3:117" outlineLevel="1" x14ac:dyDescent="0.15">
      <c r="C73" s="50">
        <f t="shared" si="48"/>
        <v>29</v>
      </c>
      <c r="D73" s="5" t="s">
        <v>18</v>
      </c>
      <c r="E73" s="19">
        <f t="shared" si="47"/>
        <v>0</v>
      </c>
      <c r="I73" s="9"/>
      <c r="J73" s="34">
        <f>IF(SUM($I73:I73)&lt;1,IF($C73&lt;=J$4,1/$E$41,0),0)</f>
        <v>0</v>
      </c>
      <c r="K73" s="34">
        <f>IF(SUM($I73:J73)&lt;1,IF($C73&lt;=K$4,1/$E$41,0),0)</f>
        <v>0</v>
      </c>
      <c r="L73" s="34">
        <f>IF(SUM($I73:K73)&lt;1,IF($C73&lt;=L$4,1/$E$41,0),0)</f>
        <v>0</v>
      </c>
      <c r="M73" s="34">
        <f>IF(SUM($I73:L73)&lt;1,IF($C73&lt;=M$4,1/$E$41,0),0)</f>
        <v>0</v>
      </c>
      <c r="N73" s="34">
        <f>IF(SUM($I73:M73)&lt;1,IF($C73&lt;=N$4,1/$E$41,0),0)</f>
        <v>0</v>
      </c>
      <c r="O73" s="34">
        <f>IF(SUM($I73:N73)&lt;1,IF($C73&lt;=O$4,1/$E$41,0),0)</f>
        <v>0</v>
      </c>
      <c r="P73" s="34">
        <f>IF(SUM($I73:O73)&lt;1,IF($C73&lt;=P$4,1/$E$41,0),0)</f>
        <v>0</v>
      </c>
      <c r="Q73" s="34">
        <f>IF(SUM($I73:P73)&lt;1,IF($C73&lt;=Q$4,1/$E$41,0),0)</f>
        <v>0</v>
      </c>
      <c r="R73" s="34">
        <f>IF(SUM($I73:Q73)&lt;1,IF($C73&lt;=R$4,1/$E$41,0),0)</f>
        <v>0</v>
      </c>
      <c r="S73" s="34">
        <f>IF(SUM($I73:R73)&lt;1,IF($C73&lt;=S$4,1/$E$41,0),0)</f>
        <v>0</v>
      </c>
      <c r="T73" s="34">
        <f>IF(SUM($I73:S73)&lt;1,IF($C73&lt;=T$4,1/$E$41,0),0)</f>
        <v>0</v>
      </c>
      <c r="U73" s="34">
        <f>IF(SUM($I73:T73)&lt;1,IF($C73&lt;=U$4,1/$E$41,0),0)</f>
        <v>0</v>
      </c>
      <c r="V73" s="34">
        <f>IF(SUM($I73:U73)&lt;1,IF($C73&lt;=V$4,1/$E$41,0),0)</f>
        <v>0</v>
      </c>
      <c r="W73" s="34">
        <f>IF(SUM($I73:V73)&lt;1,IF($C73&lt;=W$4,1/$E$41,0),0)</f>
        <v>0</v>
      </c>
      <c r="X73" s="34">
        <f>IF(SUM($I73:W73)&lt;1,IF($C73&lt;=X$4,1/$E$41,0),0)</f>
        <v>0</v>
      </c>
      <c r="Y73" s="34">
        <f>IF(SUM($I73:X73)&lt;1,IF($C73&lt;=Y$4,1/$E$41,0),0)</f>
        <v>0</v>
      </c>
      <c r="Z73" s="34">
        <f>IF(SUM($I73:Y73)&lt;1,IF($C73&lt;=Z$4,1/$E$41,0),0)</f>
        <v>0</v>
      </c>
      <c r="AA73" s="34">
        <f>IF(SUM($I73:Z73)&lt;1,IF($C73&lt;=AA$4,1/$E$41,0),0)</f>
        <v>0</v>
      </c>
      <c r="AB73" s="34">
        <f>IF(SUM($I73:AA73)&lt;1,IF($C73&lt;=AB$4,1/$E$41,0),0)</f>
        <v>0</v>
      </c>
      <c r="AC73" s="34">
        <f>IF(SUM($I73:AB73)&lt;1,IF($C73&lt;=AC$4,1/$E$41,0),0)</f>
        <v>0</v>
      </c>
      <c r="AD73" s="34">
        <f>IF(SUM($I73:AC73)&lt;1,IF($C73&lt;=AD$4,1/$E$41,0),0)</f>
        <v>0</v>
      </c>
      <c r="AE73" s="34">
        <f>IF(SUM($I73:AD73)&lt;1,IF($C73&lt;=AE$4,1/$E$41,0),0)</f>
        <v>0</v>
      </c>
      <c r="AF73" s="34">
        <f>IF(SUM($I73:AE73)&lt;1,IF($C73&lt;=AF$4,1/$E$41,0),0)</f>
        <v>0</v>
      </c>
      <c r="AG73" s="34">
        <f>IF(SUM($I73:AF73)&lt;1,IF($C73&lt;=AG$4,1/$E$41,0),0)</f>
        <v>0</v>
      </c>
      <c r="AH73" s="34">
        <f>IF(SUM($I73:AG73)&lt;1,IF($C73&lt;=AH$4,1/$E$41,0),0)</f>
        <v>0</v>
      </c>
      <c r="AI73" s="34">
        <f>IF(SUM($I73:AH73)&lt;1,IF($C73&lt;=AI$4,1/$E$41,0),0)</f>
        <v>0</v>
      </c>
      <c r="AJ73" s="34">
        <f>IF(SUM($I73:AI73)&lt;1,IF($C73&lt;=AJ$4,1/$E$41,0),0)</f>
        <v>0</v>
      </c>
      <c r="AK73" s="34">
        <f>IF(SUM($I73:AJ73)&lt;1,IF($C73&lt;=AK$4,1/$E$41,0),0)</f>
        <v>0</v>
      </c>
      <c r="AL73" s="34">
        <f>IF(SUM($I73:AK73)&lt;1,IF($C73&lt;=AL$4,1/$E$41,0),0)</f>
        <v>0.25</v>
      </c>
      <c r="AM73" s="34">
        <f>IF(SUM($I73:AL73)&lt;1,IF($C73&lt;=AM$4,1/$E$41,0),0)</f>
        <v>0.25</v>
      </c>
      <c r="AN73" s="34">
        <f>IF(SUM($I73:AM73)&lt;1,IF($C73&lt;=AN$4,1/$E$41,0),0)</f>
        <v>0.25</v>
      </c>
      <c r="AO73" s="34">
        <f>IF(SUM($I73:AN73)&lt;1,IF($C73&lt;=AO$4,1/$E$41,0),0)</f>
        <v>0.25</v>
      </c>
      <c r="AP73" s="34">
        <f>IF(SUM($I73:AO73)&lt;1,IF($C73&lt;=AP$4,1/$E$41,0),0)</f>
        <v>0</v>
      </c>
      <c r="AQ73" s="34">
        <f>IF(SUM($I73:AP73)&lt;1,IF($C73&lt;=AQ$4,1/$E$41,0),0)</f>
        <v>0</v>
      </c>
      <c r="AR73" s="34">
        <f>IF(SUM($I73:AQ73)&lt;1,IF($C73&lt;=AR$4,1/$E$41,0),0)</f>
        <v>0</v>
      </c>
      <c r="AS73" s="34">
        <f>IF(SUM($I73:AR73)&lt;1,IF($C73&lt;=AS$4,1/$E$41,0),0)</f>
        <v>0</v>
      </c>
      <c r="AT73" s="34">
        <f>IF(SUM($I73:AS73)&lt;1,IF($C73&lt;=AT$4,1/$E$41,0),0)</f>
        <v>0</v>
      </c>
      <c r="AU73" s="34">
        <f>IF(SUM($I73:AT73)&lt;1,IF($C73&lt;=AU$4,1/$E$41,0),0)</f>
        <v>0</v>
      </c>
      <c r="AV73" s="34">
        <f>IF(SUM($I73:AU73)&lt;1,IF($C73&lt;=AV$4,1/$E$41,0),0)</f>
        <v>0</v>
      </c>
      <c r="AW73" s="34">
        <f>IF(SUM($I73:AV73)&lt;1,IF($C73&lt;=AW$4,1/$E$41,0),0)</f>
        <v>0</v>
      </c>
      <c r="AX73" s="34">
        <f>IF(SUM($I73:AW73)&lt;1,IF($C73&lt;=AX$4,1/$E$41,0),0)</f>
        <v>0</v>
      </c>
      <c r="AY73" s="34">
        <f>IF(SUM($I73:AX73)&lt;1,IF($C73&lt;=AY$4,1/$E$41,0),0)</f>
        <v>0</v>
      </c>
      <c r="AZ73" s="34">
        <f>IF(SUM($I73:AY73)&lt;1,IF($C73&lt;=AZ$4,1/$E$41,0),0)</f>
        <v>0</v>
      </c>
      <c r="BA73" s="34">
        <f>IF(SUM($I73:AZ73)&lt;1,IF($C73&lt;=BA$4,1/$E$41,0),0)</f>
        <v>0</v>
      </c>
      <c r="BB73" s="34">
        <f>IF(SUM($I73:BA73)&lt;1,IF($C73&lt;=BB$4,1/$E$41,0),0)</f>
        <v>0</v>
      </c>
      <c r="BC73" s="34">
        <f>IF(SUM($I73:BB73)&lt;1,IF($C73&lt;=BC$4,1/$E$41,0),0)</f>
        <v>0</v>
      </c>
      <c r="BD73" s="34">
        <f>IF(SUM($I73:BC73)&lt;1,IF($C73&lt;=BD$4,1/$E$41,0),0)</f>
        <v>0</v>
      </c>
      <c r="BE73" s="34">
        <f>IF(SUM($I73:BD73)&lt;1,IF($C73&lt;=BE$4,1/$E$41,0),0)</f>
        <v>0</v>
      </c>
      <c r="BF73" s="34">
        <f>IF(SUM($I73:BE73)&lt;1,IF($C73&lt;=BF$4,1/$E$41,0),0)</f>
        <v>0</v>
      </c>
      <c r="BG73" s="34">
        <f>IF(SUM($I73:BF73)&lt;1,IF($C73&lt;=BG$4,1/$E$41,0),0)</f>
        <v>0</v>
      </c>
      <c r="BH73" s="34">
        <f>IF(SUM($I73:BG73)&lt;1,IF($C73&lt;=BH$4,1/$E$41,0),0)</f>
        <v>0</v>
      </c>
      <c r="BI73" s="34">
        <f>IF(SUM($I73:BH73)&lt;1,IF($C73&lt;=BI$4,1/$E$41,0),0)</f>
        <v>0</v>
      </c>
      <c r="BJ73" s="34">
        <f>IF(SUM($I73:BI73)&lt;1,IF($C73&lt;=BJ$4,1/$E$41,0),0)</f>
        <v>0</v>
      </c>
      <c r="BK73" s="34">
        <f>IF(SUM($I73:BJ73)&lt;1,IF($C73&lt;=BK$4,1/$E$41,0),0)</f>
        <v>0</v>
      </c>
      <c r="BL73" s="34">
        <f>IF(SUM($I73:BK73)&lt;1,IF($C73&lt;=BL$4,1/$E$41,0),0)</f>
        <v>0</v>
      </c>
      <c r="BM73" s="34">
        <f>IF(SUM($I73:BL73)&lt;1,IF($C73&lt;=BM$4,1/$E$41,0),0)</f>
        <v>0</v>
      </c>
      <c r="BN73" s="34">
        <f>IF(SUM($I73:BM73)&lt;1,IF($C73&lt;=BN$4,1/$E$41,0),0)</f>
        <v>0</v>
      </c>
      <c r="BO73" s="34">
        <f>IF(SUM($I73:BN73)&lt;1,IF($C73&lt;=BO$4,1/$E$41,0),0)</f>
        <v>0</v>
      </c>
      <c r="BP73" s="34">
        <f>IF(SUM($I73:BO73)&lt;1,IF($C73&lt;=BP$4,1/$E$41,0),0)</f>
        <v>0</v>
      </c>
      <c r="BQ73" s="34">
        <f>IF(SUM($I73:BP73)&lt;1,IF($C73&lt;=BQ$4,1/$E$41,0),0)</f>
        <v>0</v>
      </c>
      <c r="BR73" s="34">
        <f>IF(SUM($I73:BQ73)&lt;1,IF($C73&lt;=BR$4,1/$E$41,0),0)</f>
        <v>0</v>
      </c>
      <c r="BS73" s="34">
        <f>IF(SUM($I73:BR73)&lt;1,IF($C73&lt;=BS$4,1/$E$41,0),0)</f>
        <v>0</v>
      </c>
      <c r="BT73" s="34">
        <f>IF(SUM($I73:BS73)&lt;1,IF($C73&lt;=BT$4,1/$E$41,0),0)</f>
        <v>0</v>
      </c>
      <c r="BU73" s="34">
        <f>IF(SUM($I73:BT73)&lt;1,IF($C73&lt;=BU$4,1/$E$41,0),0)</f>
        <v>0</v>
      </c>
      <c r="BV73" s="34">
        <f>IF(SUM($I73:BU73)&lt;1,IF($C73&lt;=BV$4,1/$E$41,0),0)</f>
        <v>0</v>
      </c>
      <c r="BW73" s="34">
        <f>IF(SUM($I73:BV73)&lt;1,IF($C73&lt;=BW$4,1/$E$41,0),0)</f>
        <v>0</v>
      </c>
      <c r="BX73" s="34">
        <f>IF(SUM($I73:BW73)&lt;1,IF($C73&lt;=BX$4,1/$E$41,0),0)</f>
        <v>0</v>
      </c>
      <c r="BY73" s="34">
        <f>IF(SUM($I73:BX73)&lt;1,IF($C73&lt;=BY$4,1/$E$41,0),0)</f>
        <v>0</v>
      </c>
      <c r="BZ73" s="34">
        <f>IF(SUM($I73:BY73)&lt;1,IF($C73&lt;=BZ$4,1/$E$41,0),0)</f>
        <v>0</v>
      </c>
      <c r="CA73" s="34">
        <f>IF(SUM($I73:BZ73)&lt;1,IF($C73&lt;=CA$4,1/$E$41,0),0)</f>
        <v>0</v>
      </c>
      <c r="CB73" s="34">
        <f>IF(SUM($I73:CA73)&lt;1,IF($C73&lt;=CB$4,1/$E$41,0),0)</f>
        <v>0</v>
      </c>
      <c r="CC73" s="34">
        <f>IF(SUM($I73:CB73)&lt;1,IF($C73&lt;=CC$4,1/$E$41,0),0)</f>
        <v>0</v>
      </c>
      <c r="CD73" s="34">
        <f>IF(SUM($I73:CC73)&lt;1,IF($C73&lt;=CD$4,1/$E$41,0),0)</f>
        <v>0</v>
      </c>
      <c r="CE73" s="34">
        <f>IF(SUM($I73:CD73)&lt;1,IF($C73&lt;=CE$4,1/$E$41,0),0)</f>
        <v>0</v>
      </c>
      <c r="CF73" s="34">
        <f>IF(SUM($I73:CE73)&lt;1,IF($C73&lt;=CF$4,1/$E$41,0),0)</f>
        <v>0</v>
      </c>
      <c r="CG73" s="34">
        <f>IF(SUM($I73:CF73)&lt;1,IF($C73&lt;=CG$4,1/$E$41,0),0)</f>
        <v>0</v>
      </c>
      <c r="CH73" s="34">
        <f>IF(SUM($I73:CG73)&lt;1,IF($C73&lt;=CH$4,1/$E$41,0),0)</f>
        <v>0</v>
      </c>
      <c r="CI73" s="34">
        <f>IF(SUM($I73:CH73)&lt;1,IF($C73&lt;=CI$4,1/$E$41,0),0)</f>
        <v>0</v>
      </c>
      <c r="CJ73" s="34">
        <f>IF(SUM($I73:CI73)&lt;1,IF($C73&lt;=CJ$4,1/$E$41,0),0)</f>
        <v>0</v>
      </c>
      <c r="CK73" s="34">
        <f>IF(SUM($I73:CJ73)&lt;1,IF($C73&lt;=CK$4,1/$E$41,0),0)</f>
        <v>0</v>
      </c>
      <c r="CL73" s="34">
        <f>IF(SUM($I73:CK73)&lt;1,IF($C73&lt;=CL$4,1/$E$41,0),0)</f>
        <v>0</v>
      </c>
      <c r="CM73" s="34">
        <f>IF(SUM($I73:CL73)&lt;1,IF($C73&lt;=CM$4,1/$E$41,0),0)</f>
        <v>0</v>
      </c>
      <c r="CN73" s="34">
        <f>IF(SUM($I73:CM73)&lt;1,IF($C73&lt;=CN$4,1/$E$41,0),0)</f>
        <v>0</v>
      </c>
      <c r="CO73" s="34">
        <f>IF(SUM($I73:CN73)&lt;1,IF($C73&lt;=CO$4,1/$E$41,0),0)</f>
        <v>0</v>
      </c>
      <c r="CP73" s="34">
        <f>IF(SUM($I73:CO73)&lt;1,IF($C73&lt;=CP$4,1/$E$41,0),0)</f>
        <v>0</v>
      </c>
      <c r="CQ73" s="34">
        <f>IF(SUM($I73:CP73)&lt;1,IF($C73&lt;=CQ$4,1/$E$41,0),0)</f>
        <v>0</v>
      </c>
      <c r="CR73" s="34">
        <f>IF(SUM($I73:CQ73)&lt;1,IF($C73&lt;=CR$4,1/$E$41,0),0)</f>
        <v>0</v>
      </c>
      <c r="CS73" s="34">
        <f>IF(SUM($I73:CR73)&lt;1,IF($C73&lt;=CS$4,1/$E$41,0),0)</f>
        <v>0</v>
      </c>
      <c r="CT73" s="34">
        <f>IF(SUM($I73:CS73)&lt;1,IF($C73&lt;=CT$4,1/$E$41,0),0)</f>
        <v>0</v>
      </c>
      <c r="CU73" s="34">
        <f>IF(SUM($I73:CT73)&lt;1,IF($C73&lt;=CU$4,1/$E$41,0),0)</f>
        <v>0</v>
      </c>
      <c r="CV73" s="34">
        <f>IF(SUM($I73:CU73)&lt;1,IF($C73&lt;=CV$4,1/$E$41,0),0)</f>
        <v>0</v>
      </c>
      <c r="CW73" s="34">
        <f>IF(SUM($I73:CV73)&lt;1,IF($C73&lt;=CW$4,1/$E$41,0),0)</f>
        <v>0</v>
      </c>
      <c r="CX73" s="34">
        <f>IF(SUM($I73:CW73)&lt;1,IF($C73&lt;=CX$4,1/$E$41,0),0)</f>
        <v>0</v>
      </c>
      <c r="CY73" s="34">
        <f>IF(SUM($I73:CX73)&lt;1,IF($C73&lt;=CY$4,1/$E$41,0),0)</f>
        <v>0</v>
      </c>
      <c r="CZ73" s="34">
        <f>IF(SUM($I73:CY73)&lt;1,IF($C73&lt;=CZ$4,1/$E$41,0),0)</f>
        <v>0</v>
      </c>
      <c r="DA73" s="34">
        <f>IF(SUM($I73:CZ73)&lt;1,IF($C73&lt;=DA$4,1/$E$41,0),0)</f>
        <v>0</v>
      </c>
      <c r="DB73" s="34">
        <f>IF(SUM($I73:DA73)&lt;1,IF($C73&lt;=DB$4,1/$E$41,0),0)</f>
        <v>0</v>
      </c>
      <c r="DC73" s="34">
        <f>IF(SUM($I73:DB73)&lt;1,IF($C73&lt;=DC$4,1/$E$41,0),0)</f>
        <v>0</v>
      </c>
      <c r="DD73" s="34">
        <f>IF(SUM($I73:DC73)&lt;1,IF($C73&lt;=DD$4,1/$E$41,0),0)</f>
        <v>0</v>
      </c>
      <c r="DE73" s="34">
        <f>IF(SUM($I73:DD73)&lt;1,IF($C73&lt;=DE$4,1/$E$41,0),0)</f>
        <v>0</v>
      </c>
      <c r="DF73" s="34">
        <f>IF(SUM($I73:DE73)&lt;1,IF($C73&lt;=DF$4,1/$E$41,0),0)</f>
        <v>0</v>
      </c>
      <c r="DG73" s="34">
        <f>IF(SUM($I73:DF73)&lt;1,IF($C73&lt;=DG$4,1/$E$41,0),0)</f>
        <v>0</v>
      </c>
      <c r="DH73" s="34">
        <f>IF(SUM($I73:DG73)&lt;1,IF($C73&lt;=DH$4,1/$E$41,0),0)</f>
        <v>0</v>
      </c>
      <c r="DI73" s="34">
        <f>IF(SUM($I73:DH73)&lt;1,IF($C73&lt;=DI$4,1/$E$41,0),0)</f>
        <v>0</v>
      </c>
      <c r="DJ73" s="34">
        <f>IF(SUM($I73:DI73)&lt;1,IF($C73&lt;=DJ$4,1/$E$41,0),0)</f>
        <v>0</v>
      </c>
      <c r="DK73" s="34">
        <f>IF(SUM($I73:DJ73)&lt;1,IF($C73&lt;=DK$4,1/$E$41,0),0)</f>
        <v>0</v>
      </c>
      <c r="DL73" s="34">
        <f>IF(SUM($I73:DK73)&lt;1,IF($C73&lt;=DL$4,1/$E$41,0),0)</f>
        <v>0</v>
      </c>
      <c r="DM73" s="34">
        <f>IF(SUM($I73:DL73)&lt;1,IF($C73&lt;=DM$4,1/$E$41,0),0)</f>
        <v>0</v>
      </c>
    </row>
    <row r="74" spans="3:117" outlineLevel="1" x14ac:dyDescent="0.15">
      <c r="C74" s="50">
        <f t="shared" si="48"/>
        <v>30</v>
      </c>
      <c r="D74" s="5" t="s">
        <v>18</v>
      </c>
      <c r="E74" s="19">
        <f t="shared" si="47"/>
        <v>0</v>
      </c>
      <c r="I74" s="9"/>
      <c r="J74" s="34">
        <f>IF(SUM($I74:I74)&lt;1,IF($C74&lt;=J$4,1/$E$41,0),0)</f>
        <v>0</v>
      </c>
      <c r="K74" s="34">
        <f>IF(SUM($I74:J74)&lt;1,IF($C74&lt;=K$4,1/$E$41,0),0)</f>
        <v>0</v>
      </c>
      <c r="L74" s="34">
        <f>IF(SUM($I74:K74)&lt;1,IF($C74&lt;=L$4,1/$E$41,0),0)</f>
        <v>0</v>
      </c>
      <c r="M74" s="34">
        <f>IF(SUM($I74:L74)&lt;1,IF($C74&lt;=M$4,1/$E$41,0),0)</f>
        <v>0</v>
      </c>
      <c r="N74" s="34">
        <f>IF(SUM($I74:M74)&lt;1,IF($C74&lt;=N$4,1/$E$41,0),0)</f>
        <v>0</v>
      </c>
      <c r="O74" s="34">
        <f>IF(SUM($I74:N74)&lt;1,IF($C74&lt;=O$4,1/$E$41,0),0)</f>
        <v>0</v>
      </c>
      <c r="P74" s="34">
        <f>IF(SUM($I74:O74)&lt;1,IF($C74&lt;=P$4,1/$E$41,0),0)</f>
        <v>0</v>
      </c>
      <c r="Q74" s="34">
        <f>IF(SUM($I74:P74)&lt;1,IF($C74&lt;=Q$4,1/$E$41,0),0)</f>
        <v>0</v>
      </c>
      <c r="R74" s="34">
        <f>IF(SUM($I74:Q74)&lt;1,IF($C74&lt;=R$4,1/$E$41,0),0)</f>
        <v>0</v>
      </c>
      <c r="S74" s="34">
        <f>IF(SUM($I74:R74)&lt;1,IF($C74&lt;=S$4,1/$E$41,0),0)</f>
        <v>0</v>
      </c>
      <c r="T74" s="34">
        <f>IF(SUM($I74:S74)&lt;1,IF($C74&lt;=T$4,1/$E$41,0),0)</f>
        <v>0</v>
      </c>
      <c r="U74" s="34">
        <f>IF(SUM($I74:T74)&lt;1,IF($C74&lt;=U$4,1/$E$41,0),0)</f>
        <v>0</v>
      </c>
      <c r="V74" s="34">
        <f>IF(SUM($I74:U74)&lt;1,IF($C74&lt;=V$4,1/$E$41,0),0)</f>
        <v>0</v>
      </c>
      <c r="W74" s="34">
        <f>IF(SUM($I74:V74)&lt;1,IF($C74&lt;=W$4,1/$E$41,0),0)</f>
        <v>0</v>
      </c>
      <c r="X74" s="34">
        <f>IF(SUM($I74:W74)&lt;1,IF($C74&lt;=X$4,1/$E$41,0),0)</f>
        <v>0</v>
      </c>
      <c r="Y74" s="34">
        <f>IF(SUM($I74:X74)&lt;1,IF($C74&lt;=Y$4,1/$E$41,0),0)</f>
        <v>0</v>
      </c>
      <c r="Z74" s="34">
        <f>IF(SUM($I74:Y74)&lt;1,IF($C74&lt;=Z$4,1/$E$41,0),0)</f>
        <v>0</v>
      </c>
      <c r="AA74" s="34">
        <f>IF(SUM($I74:Z74)&lt;1,IF($C74&lt;=AA$4,1/$E$41,0),0)</f>
        <v>0</v>
      </c>
      <c r="AB74" s="34">
        <f>IF(SUM($I74:AA74)&lt;1,IF($C74&lt;=AB$4,1/$E$41,0),0)</f>
        <v>0</v>
      </c>
      <c r="AC74" s="34">
        <f>IF(SUM($I74:AB74)&lt;1,IF($C74&lt;=AC$4,1/$E$41,0),0)</f>
        <v>0</v>
      </c>
      <c r="AD74" s="34">
        <f>IF(SUM($I74:AC74)&lt;1,IF($C74&lt;=AD$4,1/$E$41,0),0)</f>
        <v>0</v>
      </c>
      <c r="AE74" s="34">
        <f>IF(SUM($I74:AD74)&lt;1,IF($C74&lt;=AE$4,1/$E$41,0),0)</f>
        <v>0</v>
      </c>
      <c r="AF74" s="34">
        <f>IF(SUM($I74:AE74)&lt;1,IF($C74&lt;=AF$4,1/$E$41,0),0)</f>
        <v>0</v>
      </c>
      <c r="AG74" s="34">
        <f>IF(SUM($I74:AF74)&lt;1,IF($C74&lt;=AG$4,1/$E$41,0),0)</f>
        <v>0</v>
      </c>
      <c r="AH74" s="34">
        <f>IF(SUM($I74:AG74)&lt;1,IF($C74&lt;=AH$4,1/$E$41,0),0)</f>
        <v>0</v>
      </c>
      <c r="AI74" s="34">
        <f>IF(SUM($I74:AH74)&lt;1,IF($C74&lt;=AI$4,1/$E$41,0),0)</f>
        <v>0</v>
      </c>
      <c r="AJ74" s="34">
        <f>IF(SUM($I74:AI74)&lt;1,IF($C74&lt;=AJ$4,1/$E$41,0),0)</f>
        <v>0</v>
      </c>
      <c r="AK74" s="34">
        <f>IF(SUM($I74:AJ74)&lt;1,IF($C74&lt;=AK$4,1/$E$41,0),0)</f>
        <v>0</v>
      </c>
      <c r="AL74" s="34">
        <f>IF(SUM($I74:AK74)&lt;1,IF($C74&lt;=AL$4,1/$E$41,0),0)</f>
        <v>0</v>
      </c>
      <c r="AM74" s="34">
        <f>IF(SUM($I74:AL74)&lt;1,IF($C74&lt;=AM$4,1/$E$41,0),0)</f>
        <v>0.25</v>
      </c>
      <c r="AN74" s="34">
        <f>IF(SUM($I74:AM74)&lt;1,IF($C74&lt;=AN$4,1/$E$41,0),0)</f>
        <v>0.25</v>
      </c>
      <c r="AO74" s="34">
        <f>IF(SUM($I74:AN74)&lt;1,IF($C74&lt;=AO$4,1/$E$41,0),0)</f>
        <v>0.25</v>
      </c>
      <c r="AP74" s="34">
        <f>IF(SUM($I74:AO74)&lt;1,IF($C74&lt;=AP$4,1/$E$41,0),0)</f>
        <v>0.25</v>
      </c>
      <c r="AQ74" s="34">
        <f>IF(SUM($I74:AP74)&lt;1,IF($C74&lt;=AQ$4,1/$E$41,0),0)</f>
        <v>0</v>
      </c>
      <c r="AR74" s="34">
        <f>IF(SUM($I74:AQ74)&lt;1,IF($C74&lt;=AR$4,1/$E$41,0),0)</f>
        <v>0</v>
      </c>
      <c r="AS74" s="34">
        <f>IF(SUM($I74:AR74)&lt;1,IF($C74&lt;=AS$4,1/$E$41,0),0)</f>
        <v>0</v>
      </c>
      <c r="AT74" s="34">
        <f>IF(SUM($I74:AS74)&lt;1,IF($C74&lt;=AT$4,1/$E$41,0),0)</f>
        <v>0</v>
      </c>
      <c r="AU74" s="34">
        <f>IF(SUM($I74:AT74)&lt;1,IF($C74&lt;=AU$4,1/$E$41,0),0)</f>
        <v>0</v>
      </c>
      <c r="AV74" s="34">
        <f>IF(SUM($I74:AU74)&lt;1,IF($C74&lt;=AV$4,1/$E$41,0),0)</f>
        <v>0</v>
      </c>
      <c r="AW74" s="34">
        <f>IF(SUM($I74:AV74)&lt;1,IF($C74&lt;=AW$4,1/$E$41,0),0)</f>
        <v>0</v>
      </c>
      <c r="AX74" s="34">
        <f>IF(SUM($I74:AW74)&lt;1,IF($C74&lt;=AX$4,1/$E$41,0),0)</f>
        <v>0</v>
      </c>
      <c r="AY74" s="34">
        <f>IF(SUM($I74:AX74)&lt;1,IF($C74&lt;=AY$4,1/$E$41,0),0)</f>
        <v>0</v>
      </c>
      <c r="AZ74" s="34">
        <f>IF(SUM($I74:AY74)&lt;1,IF($C74&lt;=AZ$4,1/$E$41,0),0)</f>
        <v>0</v>
      </c>
      <c r="BA74" s="34">
        <f>IF(SUM($I74:AZ74)&lt;1,IF($C74&lt;=BA$4,1/$E$41,0),0)</f>
        <v>0</v>
      </c>
      <c r="BB74" s="34">
        <f>IF(SUM($I74:BA74)&lt;1,IF($C74&lt;=BB$4,1/$E$41,0),0)</f>
        <v>0</v>
      </c>
      <c r="BC74" s="34">
        <f>IF(SUM($I74:BB74)&lt;1,IF($C74&lt;=BC$4,1/$E$41,0),0)</f>
        <v>0</v>
      </c>
      <c r="BD74" s="34">
        <f>IF(SUM($I74:BC74)&lt;1,IF($C74&lt;=BD$4,1/$E$41,0),0)</f>
        <v>0</v>
      </c>
      <c r="BE74" s="34">
        <f>IF(SUM($I74:BD74)&lt;1,IF($C74&lt;=BE$4,1/$E$41,0),0)</f>
        <v>0</v>
      </c>
      <c r="BF74" s="34">
        <f>IF(SUM($I74:BE74)&lt;1,IF($C74&lt;=BF$4,1/$E$41,0),0)</f>
        <v>0</v>
      </c>
      <c r="BG74" s="34">
        <f>IF(SUM($I74:BF74)&lt;1,IF($C74&lt;=BG$4,1/$E$41,0),0)</f>
        <v>0</v>
      </c>
      <c r="BH74" s="34">
        <f>IF(SUM($I74:BG74)&lt;1,IF($C74&lt;=BH$4,1/$E$41,0),0)</f>
        <v>0</v>
      </c>
      <c r="BI74" s="34">
        <f>IF(SUM($I74:BH74)&lt;1,IF($C74&lt;=BI$4,1/$E$41,0),0)</f>
        <v>0</v>
      </c>
      <c r="BJ74" s="34">
        <f>IF(SUM($I74:BI74)&lt;1,IF($C74&lt;=BJ$4,1/$E$41,0),0)</f>
        <v>0</v>
      </c>
      <c r="BK74" s="34">
        <f>IF(SUM($I74:BJ74)&lt;1,IF($C74&lt;=BK$4,1/$E$41,0),0)</f>
        <v>0</v>
      </c>
      <c r="BL74" s="34">
        <f>IF(SUM($I74:BK74)&lt;1,IF($C74&lt;=BL$4,1/$E$41,0),0)</f>
        <v>0</v>
      </c>
      <c r="BM74" s="34">
        <f>IF(SUM($I74:BL74)&lt;1,IF($C74&lt;=BM$4,1/$E$41,0),0)</f>
        <v>0</v>
      </c>
      <c r="BN74" s="34">
        <f>IF(SUM($I74:BM74)&lt;1,IF($C74&lt;=BN$4,1/$E$41,0),0)</f>
        <v>0</v>
      </c>
      <c r="BO74" s="34">
        <f>IF(SUM($I74:BN74)&lt;1,IF($C74&lt;=BO$4,1/$E$41,0),0)</f>
        <v>0</v>
      </c>
      <c r="BP74" s="34">
        <f>IF(SUM($I74:BO74)&lt;1,IF($C74&lt;=BP$4,1/$E$41,0),0)</f>
        <v>0</v>
      </c>
      <c r="BQ74" s="34">
        <f>IF(SUM($I74:BP74)&lt;1,IF($C74&lt;=BQ$4,1/$E$41,0),0)</f>
        <v>0</v>
      </c>
      <c r="BR74" s="34">
        <f>IF(SUM($I74:BQ74)&lt;1,IF($C74&lt;=BR$4,1/$E$41,0),0)</f>
        <v>0</v>
      </c>
      <c r="BS74" s="34">
        <f>IF(SUM($I74:BR74)&lt;1,IF($C74&lt;=BS$4,1/$E$41,0),0)</f>
        <v>0</v>
      </c>
      <c r="BT74" s="34">
        <f>IF(SUM($I74:BS74)&lt;1,IF($C74&lt;=BT$4,1/$E$41,0),0)</f>
        <v>0</v>
      </c>
      <c r="BU74" s="34">
        <f>IF(SUM($I74:BT74)&lt;1,IF($C74&lt;=BU$4,1/$E$41,0),0)</f>
        <v>0</v>
      </c>
      <c r="BV74" s="34">
        <f>IF(SUM($I74:BU74)&lt;1,IF($C74&lt;=BV$4,1/$E$41,0),0)</f>
        <v>0</v>
      </c>
      <c r="BW74" s="34">
        <f>IF(SUM($I74:BV74)&lt;1,IF($C74&lt;=BW$4,1/$E$41,0),0)</f>
        <v>0</v>
      </c>
      <c r="BX74" s="34">
        <f>IF(SUM($I74:BW74)&lt;1,IF($C74&lt;=BX$4,1/$E$41,0),0)</f>
        <v>0</v>
      </c>
      <c r="BY74" s="34">
        <f>IF(SUM($I74:BX74)&lt;1,IF($C74&lt;=BY$4,1/$E$41,0),0)</f>
        <v>0</v>
      </c>
      <c r="BZ74" s="34">
        <f>IF(SUM($I74:BY74)&lt;1,IF($C74&lt;=BZ$4,1/$E$41,0),0)</f>
        <v>0</v>
      </c>
      <c r="CA74" s="34">
        <f>IF(SUM($I74:BZ74)&lt;1,IF($C74&lt;=CA$4,1/$E$41,0),0)</f>
        <v>0</v>
      </c>
      <c r="CB74" s="34">
        <f>IF(SUM($I74:CA74)&lt;1,IF($C74&lt;=CB$4,1/$E$41,0),0)</f>
        <v>0</v>
      </c>
      <c r="CC74" s="34">
        <f>IF(SUM($I74:CB74)&lt;1,IF($C74&lt;=CC$4,1/$E$41,0),0)</f>
        <v>0</v>
      </c>
      <c r="CD74" s="34">
        <f>IF(SUM($I74:CC74)&lt;1,IF($C74&lt;=CD$4,1/$E$41,0),0)</f>
        <v>0</v>
      </c>
      <c r="CE74" s="34">
        <f>IF(SUM($I74:CD74)&lt;1,IF($C74&lt;=CE$4,1/$E$41,0),0)</f>
        <v>0</v>
      </c>
      <c r="CF74" s="34">
        <f>IF(SUM($I74:CE74)&lt;1,IF($C74&lt;=CF$4,1/$E$41,0),0)</f>
        <v>0</v>
      </c>
      <c r="CG74" s="34">
        <f>IF(SUM($I74:CF74)&lt;1,IF($C74&lt;=CG$4,1/$E$41,0),0)</f>
        <v>0</v>
      </c>
      <c r="CH74" s="34">
        <f>IF(SUM($I74:CG74)&lt;1,IF($C74&lt;=CH$4,1/$E$41,0),0)</f>
        <v>0</v>
      </c>
      <c r="CI74" s="34">
        <f>IF(SUM($I74:CH74)&lt;1,IF($C74&lt;=CI$4,1/$E$41,0),0)</f>
        <v>0</v>
      </c>
      <c r="CJ74" s="34">
        <f>IF(SUM($I74:CI74)&lt;1,IF($C74&lt;=CJ$4,1/$E$41,0),0)</f>
        <v>0</v>
      </c>
      <c r="CK74" s="34">
        <f>IF(SUM($I74:CJ74)&lt;1,IF($C74&lt;=CK$4,1/$E$41,0),0)</f>
        <v>0</v>
      </c>
      <c r="CL74" s="34">
        <f>IF(SUM($I74:CK74)&lt;1,IF($C74&lt;=CL$4,1/$E$41,0),0)</f>
        <v>0</v>
      </c>
      <c r="CM74" s="34">
        <f>IF(SUM($I74:CL74)&lt;1,IF($C74&lt;=CM$4,1/$E$41,0),0)</f>
        <v>0</v>
      </c>
      <c r="CN74" s="34">
        <f>IF(SUM($I74:CM74)&lt;1,IF($C74&lt;=CN$4,1/$E$41,0),0)</f>
        <v>0</v>
      </c>
      <c r="CO74" s="34">
        <f>IF(SUM($I74:CN74)&lt;1,IF($C74&lt;=CO$4,1/$E$41,0),0)</f>
        <v>0</v>
      </c>
      <c r="CP74" s="34">
        <f>IF(SUM($I74:CO74)&lt;1,IF($C74&lt;=CP$4,1/$E$41,0),0)</f>
        <v>0</v>
      </c>
      <c r="CQ74" s="34">
        <f>IF(SUM($I74:CP74)&lt;1,IF($C74&lt;=CQ$4,1/$E$41,0),0)</f>
        <v>0</v>
      </c>
      <c r="CR74" s="34">
        <f>IF(SUM($I74:CQ74)&lt;1,IF($C74&lt;=CR$4,1/$E$41,0),0)</f>
        <v>0</v>
      </c>
      <c r="CS74" s="34">
        <f>IF(SUM($I74:CR74)&lt;1,IF($C74&lt;=CS$4,1/$E$41,0),0)</f>
        <v>0</v>
      </c>
      <c r="CT74" s="34">
        <f>IF(SUM($I74:CS74)&lt;1,IF($C74&lt;=CT$4,1/$E$41,0),0)</f>
        <v>0</v>
      </c>
      <c r="CU74" s="34">
        <f>IF(SUM($I74:CT74)&lt;1,IF($C74&lt;=CU$4,1/$E$41,0),0)</f>
        <v>0</v>
      </c>
      <c r="CV74" s="34">
        <f>IF(SUM($I74:CU74)&lt;1,IF($C74&lt;=CV$4,1/$E$41,0),0)</f>
        <v>0</v>
      </c>
      <c r="CW74" s="34">
        <f>IF(SUM($I74:CV74)&lt;1,IF($C74&lt;=CW$4,1/$E$41,0),0)</f>
        <v>0</v>
      </c>
      <c r="CX74" s="34">
        <f>IF(SUM($I74:CW74)&lt;1,IF($C74&lt;=CX$4,1/$E$41,0),0)</f>
        <v>0</v>
      </c>
      <c r="CY74" s="34">
        <f>IF(SUM($I74:CX74)&lt;1,IF($C74&lt;=CY$4,1/$E$41,0),0)</f>
        <v>0</v>
      </c>
      <c r="CZ74" s="34">
        <f>IF(SUM($I74:CY74)&lt;1,IF($C74&lt;=CZ$4,1/$E$41,0),0)</f>
        <v>0</v>
      </c>
      <c r="DA74" s="34">
        <f>IF(SUM($I74:CZ74)&lt;1,IF($C74&lt;=DA$4,1/$E$41,0),0)</f>
        <v>0</v>
      </c>
      <c r="DB74" s="34">
        <f>IF(SUM($I74:DA74)&lt;1,IF($C74&lt;=DB$4,1/$E$41,0),0)</f>
        <v>0</v>
      </c>
      <c r="DC74" s="34">
        <f>IF(SUM($I74:DB74)&lt;1,IF($C74&lt;=DC$4,1/$E$41,0),0)</f>
        <v>0</v>
      </c>
      <c r="DD74" s="34">
        <f>IF(SUM($I74:DC74)&lt;1,IF($C74&lt;=DD$4,1/$E$41,0),0)</f>
        <v>0</v>
      </c>
      <c r="DE74" s="34">
        <f>IF(SUM($I74:DD74)&lt;1,IF($C74&lt;=DE$4,1/$E$41,0),0)</f>
        <v>0</v>
      </c>
      <c r="DF74" s="34">
        <f>IF(SUM($I74:DE74)&lt;1,IF($C74&lt;=DF$4,1/$E$41,0),0)</f>
        <v>0</v>
      </c>
      <c r="DG74" s="34">
        <f>IF(SUM($I74:DF74)&lt;1,IF($C74&lt;=DG$4,1/$E$41,0),0)</f>
        <v>0</v>
      </c>
      <c r="DH74" s="34">
        <f>IF(SUM($I74:DG74)&lt;1,IF($C74&lt;=DH$4,1/$E$41,0),0)</f>
        <v>0</v>
      </c>
      <c r="DI74" s="34">
        <f>IF(SUM($I74:DH74)&lt;1,IF($C74&lt;=DI$4,1/$E$41,0),0)</f>
        <v>0</v>
      </c>
      <c r="DJ74" s="34">
        <f>IF(SUM($I74:DI74)&lt;1,IF($C74&lt;=DJ$4,1/$E$41,0),0)</f>
        <v>0</v>
      </c>
      <c r="DK74" s="34">
        <f>IF(SUM($I74:DJ74)&lt;1,IF($C74&lt;=DK$4,1/$E$41,0),0)</f>
        <v>0</v>
      </c>
      <c r="DL74" s="34">
        <f>IF(SUM($I74:DK74)&lt;1,IF($C74&lt;=DL$4,1/$E$41,0),0)</f>
        <v>0</v>
      </c>
      <c r="DM74" s="34">
        <f>IF(SUM($I74:DL74)&lt;1,IF($C74&lt;=DM$4,1/$E$41,0),0)</f>
        <v>0</v>
      </c>
    </row>
    <row r="75" spans="3:117" outlineLevel="1" x14ac:dyDescent="0.15">
      <c r="C75" s="50">
        <f t="shared" si="48"/>
        <v>31</v>
      </c>
      <c r="D75" s="5" t="s">
        <v>18</v>
      </c>
      <c r="E75" s="19">
        <f t="shared" si="47"/>
        <v>0</v>
      </c>
      <c r="I75" s="9"/>
      <c r="J75" s="34">
        <f>IF(SUM($I75:I75)&lt;1,IF($C75&lt;=J$4,1/$E$41,0),0)</f>
        <v>0</v>
      </c>
      <c r="K75" s="34">
        <f>IF(SUM($I75:J75)&lt;1,IF($C75&lt;=K$4,1/$E$41,0),0)</f>
        <v>0</v>
      </c>
      <c r="L75" s="34">
        <f>IF(SUM($I75:K75)&lt;1,IF($C75&lt;=L$4,1/$E$41,0),0)</f>
        <v>0</v>
      </c>
      <c r="M75" s="34">
        <f>IF(SUM($I75:L75)&lt;1,IF($C75&lt;=M$4,1/$E$41,0),0)</f>
        <v>0</v>
      </c>
      <c r="N75" s="34">
        <f>IF(SUM($I75:M75)&lt;1,IF($C75&lt;=N$4,1/$E$41,0),0)</f>
        <v>0</v>
      </c>
      <c r="O75" s="34">
        <f>IF(SUM($I75:N75)&lt;1,IF($C75&lt;=O$4,1/$E$41,0),0)</f>
        <v>0</v>
      </c>
      <c r="P75" s="34">
        <f>IF(SUM($I75:O75)&lt;1,IF($C75&lt;=P$4,1/$E$41,0),0)</f>
        <v>0</v>
      </c>
      <c r="Q75" s="34">
        <f>IF(SUM($I75:P75)&lt;1,IF($C75&lt;=Q$4,1/$E$41,0),0)</f>
        <v>0</v>
      </c>
      <c r="R75" s="34">
        <f>IF(SUM($I75:Q75)&lt;1,IF($C75&lt;=R$4,1/$E$41,0),0)</f>
        <v>0</v>
      </c>
      <c r="S75" s="34">
        <f>IF(SUM($I75:R75)&lt;1,IF($C75&lt;=S$4,1/$E$41,0),0)</f>
        <v>0</v>
      </c>
      <c r="T75" s="34">
        <f>IF(SUM($I75:S75)&lt;1,IF($C75&lt;=T$4,1/$E$41,0),0)</f>
        <v>0</v>
      </c>
      <c r="U75" s="34">
        <f>IF(SUM($I75:T75)&lt;1,IF($C75&lt;=U$4,1/$E$41,0),0)</f>
        <v>0</v>
      </c>
      <c r="V75" s="34">
        <f>IF(SUM($I75:U75)&lt;1,IF($C75&lt;=V$4,1/$E$41,0),0)</f>
        <v>0</v>
      </c>
      <c r="W75" s="34">
        <f>IF(SUM($I75:V75)&lt;1,IF($C75&lt;=W$4,1/$E$41,0),0)</f>
        <v>0</v>
      </c>
      <c r="X75" s="34">
        <f>IF(SUM($I75:W75)&lt;1,IF($C75&lt;=X$4,1/$E$41,0),0)</f>
        <v>0</v>
      </c>
      <c r="Y75" s="34">
        <f>IF(SUM($I75:X75)&lt;1,IF($C75&lt;=Y$4,1/$E$41,0),0)</f>
        <v>0</v>
      </c>
      <c r="Z75" s="34">
        <f>IF(SUM($I75:Y75)&lt;1,IF($C75&lt;=Z$4,1/$E$41,0),0)</f>
        <v>0</v>
      </c>
      <c r="AA75" s="34">
        <f>IF(SUM($I75:Z75)&lt;1,IF($C75&lt;=AA$4,1/$E$41,0),0)</f>
        <v>0</v>
      </c>
      <c r="AB75" s="34">
        <f>IF(SUM($I75:AA75)&lt;1,IF($C75&lt;=AB$4,1/$E$41,0),0)</f>
        <v>0</v>
      </c>
      <c r="AC75" s="34">
        <f>IF(SUM($I75:AB75)&lt;1,IF($C75&lt;=AC$4,1/$E$41,0),0)</f>
        <v>0</v>
      </c>
      <c r="AD75" s="34">
        <f>IF(SUM($I75:AC75)&lt;1,IF($C75&lt;=AD$4,1/$E$41,0),0)</f>
        <v>0</v>
      </c>
      <c r="AE75" s="34">
        <f>IF(SUM($I75:AD75)&lt;1,IF($C75&lt;=AE$4,1/$E$41,0),0)</f>
        <v>0</v>
      </c>
      <c r="AF75" s="34">
        <f>IF(SUM($I75:AE75)&lt;1,IF($C75&lt;=AF$4,1/$E$41,0),0)</f>
        <v>0</v>
      </c>
      <c r="AG75" s="34">
        <f>IF(SUM($I75:AF75)&lt;1,IF($C75&lt;=AG$4,1/$E$41,0),0)</f>
        <v>0</v>
      </c>
      <c r="AH75" s="34">
        <f>IF(SUM($I75:AG75)&lt;1,IF($C75&lt;=AH$4,1/$E$41,0),0)</f>
        <v>0</v>
      </c>
      <c r="AI75" s="34">
        <f>IF(SUM($I75:AH75)&lt;1,IF($C75&lt;=AI$4,1/$E$41,0),0)</f>
        <v>0</v>
      </c>
      <c r="AJ75" s="34">
        <f>IF(SUM($I75:AI75)&lt;1,IF($C75&lt;=AJ$4,1/$E$41,0),0)</f>
        <v>0</v>
      </c>
      <c r="AK75" s="34">
        <f>IF(SUM($I75:AJ75)&lt;1,IF($C75&lt;=AK$4,1/$E$41,0),0)</f>
        <v>0</v>
      </c>
      <c r="AL75" s="34">
        <f>IF(SUM($I75:AK75)&lt;1,IF($C75&lt;=AL$4,1/$E$41,0),0)</f>
        <v>0</v>
      </c>
      <c r="AM75" s="34">
        <f>IF(SUM($I75:AL75)&lt;1,IF($C75&lt;=AM$4,1/$E$41,0),0)</f>
        <v>0</v>
      </c>
      <c r="AN75" s="34">
        <f>IF(SUM($I75:AM75)&lt;1,IF($C75&lt;=AN$4,1/$E$41,0),0)</f>
        <v>0.25</v>
      </c>
      <c r="AO75" s="34">
        <f>IF(SUM($I75:AN75)&lt;1,IF($C75&lt;=AO$4,1/$E$41,0),0)</f>
        <v>0.25</v>
      </c>
      <c r="AP75" s="34">
        <f>IF(SUM($I75:AO75)&lt;1,IF($C75&lt;=AP$4,1/$E$41,0),0)</f>
        <v>0.25</v>
      </c>
      <c r="AQ75" s="34">
        <f>IF(SUM($I75:AP75)&lt;1,IF($C75&lt;=AQ$4,1/$E$41,0),0)</f>
        <v>0.25</v>
      </c>
      <c r="AR75" s="34">
        <f>IF(SUM($I75:AQ75)&lt;1,IF($C75&lt;=AR$4,1/$E$41,0),0)</f>
        <v>0</v>
      </c>
      <c r="AS75" s="34">
        <f>IF(SUM($I75:AR75)&lt;1,IF($C75&lt;=AS$4,1/$E$41,0),0)</f>
        <v>0</v>
      </c>
      <c r="AT75" s="34">
        <f>IF(SUM($I75:AS75)&lt;1,IF($C75&lt;=AT$4,1/$E$41,0),0)</f>
        <v>0</v>
      </c>
      <c r="AU75" s="34">
        <f>IF(SUM($I75:AT75)&lt;1,IF($C75&lt;=AU$4,1/$E$41,0),0)</f>
        <v>0</v>
      </c>
      <c r="AV75" s="34">
        <f>IF(SUM($I75:AU75)&lt;1,IF($C75&lt;=AV$4,1/$E$41,0),0)</f>
        <v>0</v>
      </c>
      <c r="AW75" s="34">
        <f>IF(SUM($I75:AV75)&lt;1,IF($C75&lt;=AW$4,1/$E$41,0),0)</f>
        <v>0</v>
      </c>
      <c r="AX75" s="34">
        <f>IF(SUM($I75:AW75)&lt;1,IF($C75&lt;=AX$4,1/$E$41,0),0)</f>
        <v>0</v>
      </c>
      <c r="AY75" s="34">
        <f>IF(SUM($I75:AX75)&lt;1,IF($C75&lt;=AY$4,1/$E$41,0),0)</f>
        <v>0</v>
      </c>
      <c r="AZ75" s="34">
        <f>IF(SUM($I75:AY75)&lt;1,IF($C75&lt;=AZ$4,1/$E$41,0),0)</f>
        <v>0</v>
      </c>
      <c r="BA75" s="34">
        <f>IF(SUM($I75:AZ75)&lt;1,IF($C75&lt;=BA$4,1/$E$41,0),0)</f>
        <v>0</v>
      </c>
      <c r="BB75" s="34">
        <f>IF(SUM($I75:BA75)&lt;1,IF($C75&lt;=BB$4,1/$E$41,0),0)</f>
        <v>0</v>
      </c>
      <c r="BC75" s="34">
        <f>IF(SUM($I75:BB75)&lt;1,IF($C75&lt;=BC$4,1/$E$41,0),0)</f>
        <v>0</v>
      </c>
      <c r="BD75" s="34">
        <f>IF(SUM($I75:BC75)&lt;1,IF($C75&lt;=BD$4,1/$E$41,0),0)</f>
        <v>0</v>
      </c>
      <c r="BE75" s="34">
        <f>IF(SUM($I75:BD75)&lt;1,IF($C75&lt;=BE$4,1/$E$41,0),0)</f>
        <v>0</v>
      </c>
      <c r="BF75" s="34">
        <f>IF(SUM($I75:BE75)&lt;1,IF($C75&lt;=BF$4,1/$E$41,0),0)</f>
        <v>0</v>
      </c>
      <c r="BG75" s="34">
        <f>IF(SUM($I75:BF75)&lt;1,IF($C75&lt;=BG$4,1/$E$41,0),0)</f>
        <v>0</v>
      </c>
      <c r="BH75" s="34">
        <f>IF(SUM($I75:BG75)&lt;1,IF($C75&lt;=BH$4,1/$E$41,0),0)</f>
        <v>0</v>
      </c>
      <c r="BI75" s="34">
        <f>IF(SUM($I75:BH75)&lt;1,IF($C75&lt;=BI$4,1/$E$41,0),0)</f>
        <v>0</v>
      </c>
      <c r="BJ75" s="34">
        <f>IF(SUM($I75:BI75)&lt;1,IF($C75&lt;=BJ$4,1/$E$41,0),0)</f>
        <v>0</v>
      </c>
      <c r="BK75" s="34">
        <f>IF(SUM($I75:BJ75)&lt;1,IF($C75&lt;=BK$4,1/$E$41,0),0)</f>
        <v>0</v>
      </c>
      <c r="BL75" s="34">
        <f>IF(SUM($I75:BK75)&lt;1,IF($C75&lt;=BL$4,1/$E$41,0),0)</f>
        <v>0</v>
      </c>
      <c r="BM75" s="34">
        <f>IF(SUM($I75:BL75)&lt;1,IF($C75&lt;=BM$4,1/$E$41,0),0)</f>
        <v>0</v>
      </c>
      <c r="BN75" s="34">
        <f>IF(SUM($I75:BM75)&lt;1,IF($C75&lt;=BN$4,1/$E$41,0),0)</f>
        <v>0</v>
      </c>
      <c r="BO75" s="34">
        <f>IF(SUM($I75:BN75)&lt;1,IF($C75&lt;=BO$4,1/$E$41,0),0)</f>
        <v>0</v>
      </c>
      <c r="BP75" s="34">
        <f>IF(SUM($I75:BO75)&lt;1,IF($C75&lt;=BP$4,1/$E$41,0),0)</f>
        <v>0</v>
      </c>
      <c r="BQ75" s="34">
        <f>IF(SUM($I75:BP75)&lt;1,IF($C75&lt;=BQ$4,1/$E$41,0),0)</f>
        <v>0</v>
      </c>
      <c r="BR75" s="34">
        <f>IF(SUM($I75:BQ75)&lt;1,IF($C75&lt;=BR$4,1/$E$41,0),0)</f>
        <v>0</v>
      </c>
      <c r="BS75" s="34">
        <f>IF(SUM($I75:BR75)&lt;1,IF($C75&lt;=BS$4,1/$E$41,0),0)</f>
        <v>0</v>
      </c>
      <c r="BT75" s="34">
        <f>IF(SUM($I75:BS75)&lt;1,IF($C75&lt;=BT$4,1/$E$41,0),0)</f>
        <v>0</v>
      </c>
      <c r="BU75" s="34">
        <f>IF(SUM($I75:BT75)&lt;1,IF($C75&lt;=BU$4,1/$E$41,0),0)</f>
        <v>0</v>
      </c>
      <c r="BV75" s="34">
        <f>IF(SUM($I75:BU75)&lt;1,IF($C75&lt;=BV$4,1/$E$41,0),0)</f>
        <v>0</v>
      </c>
      <c r="BW75" s="34">
        <f>IF(SUM($I75:BV75)&lt;1,IF($C75&lt;=BW$4,1/$E$41,0),0)</f>
        <v>0</v>
      </c>
      <c r="BX75" s="34">
        <f>IF(SUM($I75:BW75)&lt;1,IF($C75&lt;=BX$4,1/$E$41,0),0)</f>
        <v>0</v>
      </c>
      <c r="BY75" s="34">
        <f>IF(SUM($I75:BX75)&lt;1,IF($C75&lt;=BY$4,1/$E$41,0),0)</f>
        <v>0</v>
      </c>
      <c r="BZ75" s="34">
        <f>IF(SUM($I75:BY75)&lt;1,IF($C75&lt;=BZ$4,1/$E$41,0),0)</f>
        <v>0</v>
      </c>
      <c r="CA75" s="34">
        <f>IF(SUM($I75:BZ75)&lt;1,IF($C75&lt;=CA$4,1/$E$41,0),0)</f>
        <v>0</v>
      </c>
      <c r="CB75" s="34">
        <f>IF(SUM($I75:CA75)&lt;1,IF($C75&lt;=CB$4,1/$E$41,0),0)</f>
        <v>0</v>
      </c>
      <c r="CC75" s="34">
        <f>IF(SUM($I75:CB75)&lt;1,IF($C75&lt;=CC$4,1/$E$41,0),0)</f>
        <v>0</v>
      </c>
      <c r="CD75" s="34">
        <f>IF(SUM($I75:CC75)&lt;1,IF($C75&lt;=CD$4,1/$E$41,0),0)</f>
        <v>0</v>
      </c>
      <c r="CE75" s="34">
        <f>IF(SUM($I75:CD75)&lt;1,IF($C75&lt;=CE$4,1/$E$41,0),0)</f>
        <v>0</v>
      </c>
      <c r="CF75" s="34">
        <f>IF(SUM($I75:CE75)&lt;1,IF($C75&lt;=CF$4,1/$E$41,0),0)</f>
        <v>0</v>
      </c>
      <c r="CG75" s="34">
        <f>IF(SUM($I75:CF75)&lt;1,IF($C75&lt;=CG$4,1/$E$41,0),0)</f>
        <v>0</v>
      </c>
      <c r="CH75" s="34">
        <f>IF(SUM($I75:CG75)&lt;1,IF($C75&lt;=CH$4,1/$E$41,0),0)</f>
        <v>0</v>
      </c>
      <c r="CI75" s="34">
        <f>IF(SUM($I75:CH75)&lt;1,IF($C75&lt;=CI$4,1/$E$41,0),0)</f>
        <v>0</v>
      </c>
      <c r="CJ75" s="34">
        <f>IF(SUM($I75:CI75)&lt;1,IF($C75&lt;=CJ$4,1/$E$41,0),0)</f>
        <v>0</v>
      </c>
      <c r="CK75" s="34">
        <f>IF(SUM($I75:CJ75)&lt;1,IF($C75&lt;=CK$4,1/$E$41,0),0)</f>
        <v>0</v>
      </c>
      <c r="CL75" s="34">
        <f>IF(SUM($I75:CK75)&lt;1,IF($C75&lt;=CL$4,1/$E$41,0),0)</f>
        <v>0</v>
      </c>
      <c r="CM75" s="34">
        <f>IF(SUM($I75:CL75)&lt;1,IF($C75&lt;=CM$4,1/$E$41,0),0)</f>
        <v>0</v>
      </c>
      <c r="CN75" s="34">
        <f>IF(SUM($I75:CM75)&lt;1,IF($C75&lt;=CN$4,1/$E$41,0),0)</f>
        <v>0</v>
      </c>
      <c r="CO75" s="34">
        <f>IF(SUM($I75:CN75)&lt;1,IF($C75&lt;=CO$4,1/$E$41,0),0)</f>
        <v>0</v>
      </c>
      <c r="CP75" s="34">
        <f>IF(SUM($I75:CO75)&lt;1,IF($C75&lt;=CP$4,1/$E$41,0),0)</f>
        <v>0</v>
      </c>
      <c r="CQ75" s="34">
        <f>IF(SUM($I75:CP75)&lt;1,IF($C75&lt;=CQ$4,1/$E$41,0),0)</f>
        <v>0</v>
      </c>
      <c r="CR75" s="34">
        <f>IF(SUM($I75:CQ75)&lt;1,IF($C75&lt;=CR$4,1/$E$41,0),0)</f>
        <v>0</v>
      </c>
      <c r="CS75" s="34">
        <f>IF(SUM($I75:CR75)&lt;1,IF($C75&lt;=CS$4,1/$E$41,0),0)</f>
        <v>0</v>
      </c>
      <c r="CT75" s="34">
        <f>IF(SUM($I75:CS75)&lt;1,IF($C75&lt;=CT$4,1/$E$41,0),0)</f>
        <v>0</v>
      </c>
      <c r="CU75" s="34">
        <f>IF(SUM($I75:CT75)&lt;1,IF($C75&lt;=CU$4,1/$E$41,0),0)</f>
        <v>0</v>
      </c>
      <c r="CV75" s="34">
        <f>IF(SUM($I75:CU75)&lt;1,IF($C75&lt;=CV$4,1/$E$41,0),0)</f>
        <v>0</v>
      </c>
      <c r="CW75" s="34">
        <f>IF(SUM($I75:CV75)&lt;1,IF($C75&lt;=CW$4,1/$E$41,0),0)</f>
        <v>0</v>
      </c>
      <c r="CX75" s="34">
        <f>IF(SUM($I75:CW75)&lt;1,IF($C75&lt;=CX$4,1/$E$41,0),0)</f>
        <v>0</v>
      </c>
      <c r="CY75" s="34">
        <f>IF(SUM($I75:CX75)&lt;1,IF($C75&lt;=CY$4,1/$E$41,0),0)</f>
        <v>0</v>
      </c>
      <c r="CZ75" s="34">
        <f>IF(SUM($I75:CY75)&lt;1,IF($C75&lt;=CZ$4,1/$E$41,0),0)</f>
        <v>0</v>
      </c>
      <c r="DA75" s="34">
        <f>IF(SUM($I75:CZ75)&lt;1,IF($C75&lt;=DA$4,1/$E$41,0),0)</f>
        <v>0</v>
      </c>
      <c r="DB75" s="34">
        <f>IF(SUM($I75:DA75)&lt;1,IF($C75&lt;=DB$4,1/$E$41,0),0)</f>
        <v>0</v>
      </c>
      <c r="DC75" s="34">
        <f>IF(SUM($I75:DB75)&lt;1,IF($C75&lt;=DC$4,1/$E$41,0),0)</f>
        <v>0</v>
      </c>
      <c r="DD75" s="34">
        <f>IF(SUM($I75:DC75)&lt;1,IF($C75&lt;=DD$4,1/$E$41,0),0)</f>
        <v>0</v>
      </c>
      <c r="DE75" s="34">
        <f>IF(SUM($I75:DD75)&lt;1,IF($C75&lt;=DE$4,1/$E$41,0),0)</f>
        <v>0</v>
      </c>
      <c r="DF75" s="34">
        <f>IF(SUM($I75:DE75)&lt;1,IF($C75&lt;=DF$4,1/$E$41,0),0)</f>
        <v>0</v>
      </c>
      <c r="DG75" s="34">
        <f>IF(SUM($I75:DF75)&lt;1,IF($C75&lt;=DG$4,1/$E$41,0),0)</f>
        <v>0</v>
      </c>
      <c r="DH75" s="34">
        <f>IF(SUM($I75:DG75)&lt;1,IF($C75&lt;=DH$4,1/$E$41,0),0)</f>
        <v>0</v>
      </c>
      <c r="DI75" s="34">
        <f>IF(SUM($I75:DH75)&lt;1,IF($C75&lt;=DI$4,1/$E$41,0),0)</f>
        <v>0</v>
      </c>
      <c r="DJ75" s="34">
        <f>IF(SUM($I75:DI75)&lt;1,IF($C75&lt;=DJ$4,1/$E$41,0),0)</f>
        <v>0</v>
      </c>
      <c r="DK75" s="34">
        <f>IF(SUM($I75:DJ75)&lt;1,IF($C75&lt;=DK$4,1/$E$41,0),0)</f>
        <v>0</v>
      </c>
      <c r="DL75" s="34">
        <f>IF(SUM($I75:DK75)&lt;1,IF($C75&lt;=DL$4,1/$E$41,0),0)</f>
        <v>0</v>
      </c>
      <c r="DM75" s="34">
        <f>IF(SUM($I75:DL75)&lt;1,IF($C75&lt;=DM$4,1/$E$41,0),0)</f>
        <v>0</v>
      </c>
    </row>
    <row r="76" spans="3:117" outlineLevel="1" x14ac:dyDescent="0.15">
      <c r="C76" s="50">
        <f t="shared" si="48"/>
        <v>32</v>
      </c>
      <c r="D76" s="5" t="s">
        <v>18</v>
      </c>
      <c r="E76" s="19">
        <f t="shared" si="47"/>
        <v>0</v>
      </c>
      <c r="I76" s="9"/>
      <c r="J76" s="34">
        <f>IF(SUM($I76:I76)&lt;1,IF($C76&lt;=J$4,1/$E$41,0),0)</f>
        <v>0</v>
      </c>
      <c r="K76" s="34">
        <f>IF(SUM($I76:J76)&lt;1,IF($C76&lt;=K$4,1/$E$41,0),0)</f>
        <v>0</v>
      </c>
      <c r="L76" s="34">
        <f>IF(SUM($I76:K76)&lt;1,IF($C76&lt;=L$4,1/$E$41,0),0)</f>
        <v>0</v>
      </c>
      <c r="M76" s="34">
        <f>IF(SUM($I76:L76)&lt;1,IF($C76&lt;=M$4,1/$E$41,0),0)</f>
        <v>0</v>
      </c>
      <c r="N76" s="34">
        <f>IF(SUM($I76:M76)&lt;1,IF($C76&lt;=N$4,1/$E$41,0),0)</f>
        <v>0</v>
      </c>
      <c r="O76" s="34">
        <f>IF(SUM($I76:N76)&lt;1,IF($C76&lt;=O$4,1/$E$41,0),0)</f>
        <v>0</v>
      </c>
      <c r="P76" s="34">
        <f>IF(SUM($I76:O76)&lt;1,IF($C76&lt;=P$4,1/$E$41,0),0)</f>
        <v>0</v>
      </c>
      <c r="Q76" s="34">
        <f>IF(SUM($I76:P76)&lt;1,IF($C76&lt;=Q$4,1/$E$41,0),0)</f>
        <v>0</v>
      </c>
      <c r="R76" s="34">
        <f>IF(SUM($I76:Q76)&lt;1,IF($C76&lt;=R$4,1/$E$41,0),0)</f>
        <v>0</v>
      </c>
      <c r="S76" s="34">
        <f>IF(SUM($I76:R76)&lt;1,IF($C76&lt;=S$4,1/$E$41,0),0)</f>
        <v>0</v>
      </c>
      <c r="T76" s="34">
        <f>IF(SUM($I76:S76)&lt;1,IF($C76&lt;=T$4,1/$E$41,0),0)</f>
        <v>0</v>
      </c>
      <c r="U76" s="34">
        <f>IF(SUM($I76:T76)&lt;1,IF($C76&lt;=U$4,1/$E$41,0),0)</f>
        <v>0</v>
      </c>
      <c r="V76" s="34">
        <f>IF(SUM($I76:U76)&lt;1,IF($C76&lt;=V$4,1/$E$41,0),0)</f>
        <v>0</v>
      </c>
      <c r="W76" s="34">
        <f>IF(SUM($I76:V76)&lt;1,IF($C76&lt;=W$4,1/$E$41,0),0)</f>
        <v>0</v>
      </c>
      <c r="X76" s="34">
        <f>IF(SUM($I76:W76)&lt;1,IF($C76&lt;=X$4,1/$E$41,0),0)</f>
        <v>0</v>
      </c>
      <c r="Y76" s="34">
        <f>IF(SUM($I76:X76)&lt;1,IF($C76&lt;=Y$4,1/$E$41,0),0)</f>
        <v>0</v>
      </c>
      <c r="Z76" s="34">
        <f>IF(SUM($I76:Y76)&lt;1,IF($C76&lt;=Z$4,1/$E$41,0),0)</f>
        <v>0</v>
      </c>
      <c r="AA76" s="34">
        <f>IF(SUM($I76:Z76)&lt;1,IF($C76&lt;=AA$4,1/$E$41,0),0)</f>
        <v>0</v>
      </c>
      <c r="AB76" s="34">
        <f>IF(SUM($I76:AA76)&lt;1,IF($C76&lt;=AB$4,1/$E$41,0),0)</f>
        <v>0</v>
      </c>
      <c r="AC76" s="34">
        <f>IF(SUM($I76:AB76)&lt;1,IF($C76&lt;=AC$4,1/$E$41,0),0)</f>
        <v>0</v>
      </c>
      <c r="AD76" s="34">
        <f>IF(SUM($I76:AC76)&lt;1,IF($C76&lt;=AD$4,1/$E$41,0),0)</f>
        <v>0</v>
      </c>
      <c r="AE76" s="34">
        <f>IF(SUM($I76:AD76)&lt;1,IF($C76&lt;=AE$4,1/$E$41,0),0)</f>
        <v>0</v>
      </c>
      <c r="AF76" s="34">
        <f>IF(SUM($I76:AE76)&lt;1,IF($C76&lt;=AF$4,1/$E$41,0),0)</f>
        <v>0</v>
      </c>
      <c r="AG76" s="34">
        <f>IF(SUM($I76:AF76)&lt;1,IF($C76&lt;=AG$4,1/$E$41,0),0)</f>
        <v>0</v>
      </c>
      <c r="AH76" s="34">
        <f>IF(SUM($I76:AG76)&lt;1,IF($C76&lt;=AH$4,1/$E$41,0),0)</f>
        <v>0</v>
      </c>
      <c r="AI76" s="34">
        <f>IF(SUM($I76:AH76)&lt;1,IF($C76&lt;=AI$4,1/$E$41,0),0)</f>
        <v>0</v>
      </c>
      <c r="AJ76" s="34">
        <f>IF(SUM($I76:AI76)&lt;1,IF($C76&lt;=AJ$4,1/$E$41,0),0)</f>
        <v>0</v>
      </c>
      <c r="AK76" s="34">
        <f>IF(SUM($I76:AJ76)&lt;1,IF($C76&lt;=AK$4,1/$E$41,0),0)</f>
        <v>0</v>
      </c>
      <c r="AL76" s="34">
        <f>IF(SUM($I76:AK76)&lt;1,IF($C76&lt;=AL$4,1/$E$41,0),0)</f>
        <v>0</v>
      </c>
      <c r="AM76" s="34">
        <f>IF(SUM($I76:AL76)&lt;1,IF($C76&lt;=AM$4,1/$E$41,0),0)</f>
        <v>0</v>
      </c>
      <c r="AN76" s="34">
        <f>IF(SUM($I76:AM76)&lt;1,IF($C76&lt;=AN$4,1/$E$41,0),0)</f>
        <v>0</v>
      </c>
      <c r="AO76" s="34">
        <f>IF(SUM($I76:AN76)&lt;1,IF($C76&lt;=AO$4,1/$E$41,0),0)</f>
        <v>0.25</v>
      </c>
      <c r="AP76" s="34">
        <f>IF(SUM($I76:AO76)&lt;1,IF($C76&lt;=AP$4,1/$E$41,0),0)</f>
        <v>0.25</v>
      </c>
      <c r="AQ76" s="34">
        <f>IF(SUM($I76:AP76)&lt;1,IF($C76&lt;=AQ$4,1/$E$41,0),0)</f>
        <v>0.25</v>
      </c>
      <c r="AR76" s="34">
        <f>IF(SUM($I76:AQ76)&lt;1,IF($C76&lt;=AR$4,1/$E$41,0),0)</f>
        <v>0.25</v>
      </c>
      <c r="AS76" s="34">
        <f>IF(SUM($I76:AR76)&lt;1,IF($C76&lt;=AS$4,1/$E$41,0),0)</f>
        <v>0</v>
      </c>
      <c r="AT76" s="34">
        <f>IF(SUM($I76:AS76)&lt;1,IF($C76&lt;=AT$4,1/$E$41,0),0)</f>
        <v>0</v>
      </c>
      <c r="AU76" s="34">
        <f>IF(SUM($I76:AT76)&lt;1,IF($C76&lt;=AU$4,1/$E$41,0),0)</f>
        <v>0</v>
      </c>
      <c r="AV76" s="34">
        <f>IF(SUM($I76:AU76)&lt;1,IF($C76&lt;=AV$4,1/$E$41,0),0)</f>
        <v>0</v>
      </c>
      <c r="AW76" s="34">
        <f>IF(SUM($I76:AV76)&lt;1,IF($C76&lt;=AW$4,1/$E$41,0),0)</f>
        <v>0</v>
      </c>
      <c r="AX76" s="34">
        <f>IF(SUM($I76:AW76)&lt;1,IF($C76&lt;=AX$4,1/$E$41,0),0)</f>
        <v>0</v>
      </c>
      <c r="AY76" s="34">
        <f>IF(SUM($I76:AX76)&lt;1,IF($C76&lt;=AY$4,1/$E$41,0),0)</f>
        <v>0</v>
      </c>
      <c r="AZ76" s="34">
        <f>IF(SUM($I76:AY76)&lt;1,IF($C76&lt;=AZ$4,1/$E$41,0),0)</f>
        <v>0</v>
      </c>
      <c r="BA76" s="34">
        <f>IF(SUM($I76:AZ76)&lt;1,IF($C76&lt;=BA$4,1/$E$41,0),0)</f>
        <v>0</v>
      </c>
      <c r="BB76" s="34">
        <f>IF(SUM($I76:BA76)&lt;1,IF($C76&lt;=BB$4,1/$E$41,0),0)</f>
        <v>0</v>
      </c>
      <c r="BC76" s="34">
        <f>IF(SUM($I76:BB76)&lt;1,IF($C76&lt;=BC$4,1/$E$41,0),0)</f>
        <v>0</v>
      </c>
      <c r="BD76" s="34">
        <f>IF(SUM($I76:BC76)&lt;1,IF($C76&lt;=BD$4,1/$E$41,0),0)</f>
        <v>0</v>
      </c>
      <c r="BE76" s="34">
        <f>IF(SUM($I76:BD76)&lt;1,IF($C76&lt;=BE$4,1/$E$41,0),0)</f>
        <v>0</v>
      </c>
      <c r="BF76" s="34">
        <f>IF(SUM($I76:BE76)&lt;1,IF($C76&lt;=BF$4,1/$E$41,0),0)</f>
        <v>0</v>
      </c>
      <c r="BG76" s="34">
        <f>IF(SUM($I76:BF76)&lt;1,IF($C76&lt;=BG$4,1/$E$41,0),0)</f>
        <v>0</v>
      </c>
      <c r="BH76" s="34">
        <f>IF(SUM($I76:BG76)&lt;1,IF($C76&lt;=BH$4,1/$E$41,0),0)</f>
        <v>0</v>
      </c>
      <c r="BI76" s="34">
        <f>IF(SUM($I76:BH76)&lt;1,IF($C76&lt;=BI$4,1/$E$41,0),0)</f>
        <v>0</v>
      </c>
      <c r="BJ76" s="34">
        <f>IF(SUM($I76:BI76)&lt;1,IF($C76&lt;=BJ$4,1/$E$41,0),0)</f>
        <v>0</v>
      </c>
      <c r="BK76" s="34">
        <f>IF(SUM($I76:BJ76)&lt;1,IF($C76&lt;=BK$4,1/$E$41,0),0)</f>
        <v>0</v>
      </c>
      <c r="BL76" s="34">
        <f>IF(SUM($I76:BK76)&lt;1,IF($C76&lt;=BL$4,1/$E$41,0),0)</f>
        <v>0</v>
      </c>
      <c r="BM76" s="34">
        <f>IF(SUM($I76:BL76)&lt;1,IF($C76&lt;=BM$4,1/$E$41,0),0)</f>
        <v>0</v>
      </c>
      <c r="BN76" s="34">
        <f>IF(SUM($I76:BM76)&lt;1,IF($C76&lt;=BN$4,1/$E$41,0),0)</f>
        <v>0</v>
      </c>
      <c r="BO76" s="34">
        <f>IF(SUM($I76:BN76)&lt;1,IF($C76&lt;=BO$4,1/$E$41,0),0)</f>
        <v>0</v>
      </c>
      <c r="BP76" s="34">
        <f>IF(SUM($I76:BO76)&lt;1,IF($C76&lt;=BP$4,1/$E$41,0),0)</f>
        <v>0</v>
      </c>
      <c r="BQ76" s="34">
        <f>IF(SUM($I76:BP76)&lt;1,IF($C76&lt;=BQ$4,1/$E$41,0),0)</f>
        <v>0</v>
      </c>
      <c r="BR76" s="34">
        <f>IF(SUM($I76:BQ76)&lt;1,IF($C76&lt;=BR$4,1/$E$41,0),0)</f>
        <v>0</v>
      </c>
      <c r="BS76" s="34">
        <f>IF(SUM($I76:BR76)&lt;1,IF($C76&lt;=BS$4,1/$E$41,0),0)</f>
        <v>0</v>
      </c>
      <c r="BT76" s="34">
        <f>IF(SUM($I76:BS76)&lt;1,IF($C76&lt;=BT$4,1/$E$41,0),0)</f>
        <v>0</v>
      </c>
      <c r="BU76" s="34">
        <f>IF(SUM($I76:BT76)&lt;1,IF($C76&lt;=BU$4,1/$E$41,0),0)</f>
        <v>0</v>
      </c>
      <c r="BV76" s="34">
        <f>IF(SUM($I76:BU76)&lt;1,IF($C76&lt;=BV$4,1/$E$41,0),0)</f>
        <v>0</v>
      </c>
      <c r="BW76" s="34">
        <f>IF(SUM($I76:BV76)&lt;1,IF($C76&lt;=BW$4,1/$E$41,0),0)</f>
        <v>0</v>
      </c>
      <c r="BX76" s="34">
        <f>IF(SUM($I76:BW76)&lt;1,IF($C76&lt;=BX$4,1/$E$41,0),0)</f>
        <v>0</v>
      </c>
      <c r="BY76" s="34">
        <f>IF(SUM($I76:BX76)&lt;1,IF($C76&lt;=BY$4,1/$E$41,0),0)</f>
        <v>0</v>
      </c>
      <c r="BZ76" s="34">
        <f>IF(SUM($I76:BY76)&lt;1,IF($C76&lt;=BZ$4,1/$E$41,0),0)</f>
        <v>0</v>
      </c>
      <c r="CA76" s="34">
        <f>IF(SUM($I76:BZ76)&lt;1,IF($C76&lt;=CA$4,1/$E$41,0),0)</f>
        <v>0</v>
      </c>
      <c r="CB76" s="34">
        <f>IF(SUM($I76:CA76)&lt;1,IF($C76&lt;=CB$4,1/$E$41,0),0)</f>
        <v>0</v>
      </c>
      <c r="CC76" s="34">
        <f>IF(SUM($I76:CB76)&lt;1,IF($C76&lt;=CC$4,1/$E$41,0),0)</f>
        <v>0</v>
      </c>
      <c r="CD76" s="34">
        <f>IF(SUM($I76:CC76)&lt;1,IF($C76&lt;=CD$4,1/$E$41,0),0)</f>
        <v>0</v>
      </c>
      <c r="CE76" s="34">
        <f>IF(SUM($I76:CD76)&lt;1,IF($C76&lt;=CE$4,1/$E$41,0),0)</f>
        <v>0</v>
      </c>
      <c r="CF76" s="34">
        <f>IF(SUM($I76:CE76)&lt;1,IF($C76&lt;=CF$4,1/$E$41,0),0)</f>
        <v>0</v>
      </c>
      <c r="CG76" s="34">
        <f>IF(SUM($I76:CF76)&lt;1,IF($C76&lt;=CG$4,1/$E$41,0),0)</f>
        <v>0</v>
      </c>
      <c r="CH76" s="34">
        <f>IF(SUM($I76:CG76)&lt;1,IF($C76&lt;=CH$4,1/$E$41,0),0)</f>
        <v>0</v>
      </c>
      <c r="CI76" s="34">
        <f>IF(SUM($I76:CH76)&lt;1,IF($C76&lt;=CI$4,1/$E$41,0),0)</f>
        <v>0</v>
      </c>
      <c r="CJ76" s="34">
        <f>IF(SUM($I76:CI76)&lt;1,IF($C76&lt;=CJ$4,1/$E$41,0),0)</f>
        <v>0</v>
      </c>
      <c r="CK76" s="34">
        <f>IF(SUM($I76:CJ76)&lt;1,IF($C76&lt;=CK$4,1/$E$41,0),0)</f>
        <v>0</v>
      </c>
      <c r="CL76" s="34">
        <f>IF(SUM($I76:CK76)&lt;1,IF($C76&lt;=CL$4,1/$E$41,0),0)</f>
        <v>0</v>
      </c>
      <c r="CM76" s="34">
        <f>IF(SUM($I76:CL76)&lt;1,IF($C76&lt;=CM$4,1/$E$41,0),0)</f>
        <v>0</v>
      </c>
      <c r="CN76" s="34">
        <f>IF(SUM($I76:CM76)&lt;1,IF($C76&lt;=CN$4,1/$E$41,0),0)</f>
        <v>0</v>
      </c>
      <c r="CO76" s="34">
        <f>IF(SUM($I76:CN76)&lt;1,IF($C76&lt;=CO$4,1/$E$41,0),0)</f>
        <v>0</v>
      </c>
      <c r="CP76" s="34">
        <f>IF(SUM($I76:CO76)&lt;1,IF($C76&lt;=CP$4,1/$E$41,0),0)</f>
        <v>0</v>
      </c>
      <c r="CQ76" s="34">
        <f>IF(SUM($I76:CP76)&lt;1,IF($C76&lt;=CQ$4,1/$E$41,0),0)</f>
        <v>0</v>
      </c>
      <c r="CR76" s="34">
        <f>IF(SUM($I76:CQ76)&lt;1,IF($C76&lt;=CR$4,1/$E$41,0),0)</f>
        <v>0</v>
      </c>
      <c r="CS76" s="34">
        <f>IF(SUM($I76:CR76)&lt;1,IF($C76&lt;=CS$4,1/$E$41,0),0)</f>
        <v>0</v>
      </c>
      <c r="CT76" s="34">
        <f>IF(SUM($I76:CS76)&lt;1,IF($C76&lt;=CT$4,1/$E$41,0),0)</f>
        <v>0</v>
      </c>
      <c r="CU76" s="34">
        <f>IF(SUM($I76:CT76)&lt;1,IF($C76&lt;=CU$4,1/$E$41,0),0)</f>
        <v>0</v>
      </c>
      <c r="CV76" s="34">
        <f>IF(SUM($I76:CU76)&lt;1,IF($C76&lt;=CV$4,1/$E$41,0),0)</f>
        <v>0</v>
      </c>
      <c r="CW76" s="34">
        <f>IF(SUM($I76:CV76)&lt;1,IF($C76&lt;=CW$4,1/$E$41,0),0)</f>
        <v>0</v>
      </c>
      <c r="CX76" s="34">
        <f>IF(SUM($I76:CW76)&lt;1,IF($C76&lt;=CX$4,1/$E$41,0),0)</f>
        <v>0</v>
      </c>
      <c r="CY76" s="34">
        <f>IF(SUM($I76:CX76)&lt;1,IF($C76&lt;=CY$4,1/$E$41,0),0)</f>
        <v>0</v>
      </c>
      <c r="CZ76" s="34">
        <f>IF(SUM($I76:CY76)&lt;1,IF($C76&lt;=CZ$4,1/$E$41,0),0)</f>
        <v>0</v>
      </c>
      <c r="DA76" s="34">
        <f>IF(SUM($I76:CZ76)&lt;1,IF($C76&lt;=DA$4,1/$E$41,0),0)</f>
        <v>0</v>
      </c>
      <c r="DB76" s="34">
        <f>IF(SUM($I76:DA76)&lt;1,IF($C76&lt;=DB$4,1/$E$41,0),0)</f>
        <v>0</v>
      </c>
      <c r="DC76" s="34">
        <f>IF(SUM($I76:DB76)&lt;1,IF($C76&lt;=DC$4,1/$E$41,0),0)</f>
        <v>0</v>
      </c>
      <c r="DD76" s="34">
        <f>IF(SUM($I76:DC76)&lt;1,IF($C76&lt;=DD$4,1/$E$41,0),0)</f>
        <v>0</v>
      </c>
      <c r="DE76" s="34">
        <f>IF(SUM($I76:DD76)&lt;1,IF($C76&lt;=DE$4,1/$E$41,0),0)</f>
        <v>0</v>
      </c>
      <c r="DF76" s="34">
        <f>IF(SUM($I76:DE76)&lt;1,IF($C76&lt;=DF$4,1/$E$41,0),0)</f>
        <v>0</v>
      </c>
      <c r="DG76" s="34">
        <f>IF(SUM($I76:DF76)&lt;1,IF($C76&lt;=DG$4,1/$E$41,0),0)</f>
        <v>0</v>
      </c>
      <c r="DH76" s="34">
        <f>IF(SUM($I76:DG76)&lt;1,IF($C76&lt;=DH$4,1/$E$41,0),0)</f>
        <v>0</v>
      </c>
      <c r="DI76" s="34">
        <f>IF(SUM($I76:DH76)&lt;1,IF($C76&lt;=DI$4,1/$E$41,0),0)</f>
        <v>0</v>
      </c>
      <c r="DJ76" s="34">
        <f>IF(SUM($I76:DI76)&lt;1,IF($C76&lt;=DJ$4,1/$E$41,0),0)</f>
        <v>0</v>
      </c>
      <c r="DK76" s="34">
        <f>IF(SUM($I76:DJ76)&lt;1,IF($C76&lt;=DK$4,1/$E$41,0),0)</f>
        <v>0</v>
      </c>
      <c r="DL76" s="34">
        <f>IF(SUM($I76:DK76)&lt;1,IF($C76&lt;=DL$4,1/$E$41,0),0)</f>
        <v>0</v>
      </c>
      <c r="DM76" s="34">
        <f>IF(SUM($I76:DL76)&lt;1,IF($C76&lt;=DM$4,1/$E$41,0),0)</f>
        <v>0</v>
      </c>
    </row>
    <row r="77" spans="3:117" outlineLevel="1" x14ac:dyDescent="0.15">
      <c r="C77" s="50">
        <f t="shared" si="48"/>
        <v>33</v>
      </c>
      <c r="D77" s="5" t="s">
        <v>18</v>
      </c>
      <c r="E77" s="19">
        <f t="shared" ref="E77:E108" si="49">LOOKUP(C77+($E$5-1),$J$4:$DM$4,$J$33:$DM$33)</f>
        <v>0</v>
      </c>
      <c r="I77" s="9"/>
      <c r="J77" s="34">
        <f>IF(SUM($I77:I77)&lt;1,IF($C77&lt;=J$4,1/$E$41,0),0)</f>
        <v>0</v>
      </c>
      <c r="K77" s="34">
        <f>IF(SUM($I77:J77)&lt;1,IF($C77&lt;=K$4,1/$E$41,0),0)</f>
        <v>0</v>
      </c>
      <c r="L77" s="34">
        <f>IF(SUM($I77:K77)&lt;1,IF($C77&lt;=L$4,1/$E$41,0),0)</f>
        <v>0</v>
      </c>
      <c r="M77" s="34">
        <f>IF(SUM($I77:L77)&lt;1,IF($C77&lt;=M$4,1/$E$41,0),0)</f>
        <v>0</v>
      </c>
      <c r="N77" s="34">
        <f>IF(SUM($I77:M77)&lt;1,IF($C77&lt;=N$4,1/$E$41,0),0)</f>
        <v>0</v>
      </c>
      <c r="O77" s="34">
        <f>IF(SUM($I77:N77)&lt;1,IF($C77&lt;=O$4,1/$E$41,0),0)</f>
        <v>0</v>
      </c>
      <c r="P77" s="34">
        <f>IF(SUM($I77:O77)&lt;1,IF($C77&lt;=P$4,1/$E$41,0),0)</f>
        <v>0</v>
      </c>
      <c r="Q77" s="34">
        <f>IF(SUM($I77:P77)&lt;1,IF($C77&lt;=Q$4,1/$E$41,0),0)</f>
        <v>0</v>
      </c>
      <c r="R77" s="34">
        <f>IF(SUM($I77:Q77)&lt;1,IF($C77&lt;=R$4,1/$E$41,0),0)</f>
        <v>0</v>
      </c>
      <c r="S77" s="34">
        <f>IF(SUM($I77:R77)&lt;1,IF($C77&lt;=S$4,1/$E$41,0),0)</f>
        <v>0</v>
      </c>
      <c r="T77" s="34">
        <f>IF(SUM($I77:S77)&lt;1,IF($C77&lt;=T$4,1/$E$41,0),0)</f>
        <v>0</v>
      </c>
      <c r="U77" s="34">
        <f>IF(SUM($I77:T77)&lt;1,IF($C77&lt;=U$4,1/$E$41,0),0)</f>
        <v>0</v>
      </c>
      <c r="V77" s="34">
        <f>IF(SUM($I77:U77)&lt;1,IF($C77&lt;=V$4,1/$E$41,0),0)</f>
        <v>0</v>
      </c>
      <c r="W77" s="34">
        <f>IF(SUM($I77:V77)&lt;1,IF($C77&lt;=W$4,1/$E$41,0),0)</f>
        <v>0</v>
      </c>
      <c r="X77" s="34">
        <f>IF(SUM($I77:W77)&lt;1,IF($C77&lt;=X$4,1/$E$41,0),0)</f>
        <v>0</v>
      </c>
      <c r="Y77" s="34">
        <f>IF(SUM($I77:X77)&lt;1,IF($C77&lt;=Y$4,1/$E$41,0),0)</f>
        <v>0</v>
      </c>
      <c r="Z77" s="34">
        <f>IF(SUM($I77:Y77)&lt;1,IF($C77&lt;=Z$4,1/$E$41,0),0)</f>
        <v>0</v>
      </c>
      <c r="AA77" s="34">
        <f>IF(SUM($I77:Z77)&lt;1,IF($C77&lt;=AA$4,1/$E$41,0),0)</f>
        <v>0</v>
      </c>
      <c r="AB77" s="34">
        <f>IF(SUM($I77:AA77)&lt;1,IF($C77&lt;=AB$4,1/$E$41,0),0)</f>
        <v>0</v>
      </c>
      <c r="AC77" s="34">
        <f>IF(SUM($I77:AB77)&lt;1,IF($C77&lt;=AC$4,1/$E$41,0),0)</f>
        <v>0</v>
      </c>
      <c r="AD77" s="34">
        <f>IF(SUM($I77:AC77)&lt;1,IF($C77&lt;=AD$4,1/$E$41,0),0)</f>
        <v>0</v>
      </c>
      <c r="AE77" s="34">
        <f>IF(SUM($I77:AD77)&lt;1,IF($C77&lt;=AE$4,1/$E$41,0),0)</f>
        <v>0</v>
      </c>
      <c r="AF77" s="34">
        <f>IF(SUM($I77:AE77)&lt;1,IF($C77&lt;=AF$4,1/$E$41,0),0)</f>
        <v>0</v>
      </c>
      <c r="AG77" s="34">
        <f>IF(SUM($I77:AF77)&lt;1,IF($C77&lt;=AG$4,1/$E$41,0),0)</f>
        <v>0</v>
      </c>
      <c r="AH77" s="34">
        <f>IF(SUM($I77:AG77)&lt;1,IF($C77&lt;=AH$4,1/$E$41,0),0)</f>
        <v>0</v>
      </c>
      <c r="AI77" s="34">
        <f>IF(SUM($I77:AH77)&lt;1,IF($C77&lt;=AI$4,1/$E$41,0),0)</f>
        <v>0</v>
      </c>
      <c r="AJ77" s="34">
        <f>IF(SUM($I77:AI77)&lt;1,IF($C77&lt;=AJ$4,1/$E$41,0),0)</f>
        <v>0</v>
      </c>
      <c r="AK77" s="34">
        <f>IF(SUM($I77:AJ77)&lt;1,IF($C77&lt;=AK$4,1/$E$41,0),0)</f>
        <v>0</v>
      </c>
      <c r="AL77" s="34">
        <f>IF(SUM($I77:AK77)&lt;1,IF($C77&lt;=AL$4,1/$E$41,0),0)</f>
        <v>0</v>
      </c>
      <c r="AM77" s="34">
        <f>IF(SUM($I77:AL77)&lt;1,IF($C77&lt;=AM$4,1/$E$41,0),0)</f>
        <v>0</v>
      </c>
      <c r="AN77" s="34">
        <f>IF(SUM($I77:AM77)&lt;1,IF($C77&lt;=AN$4,1/$E$41,0),0)</f>
        <v>0</v>
      </c>
      <c r="AO77" s="34">
        <f>IF(SUM($I77:AN77)&lt;1,IF($C77&lt;=AO$4,1/$E$41,0),0)</f>
        <v>0</v>
      </c>
      <c r="AP77" s="34">
        <f>IF(SUM($I77:AO77)&lt;1,IF($C77&lt;=AP$4,1/$E$41,0),0)</f>
        <v>0.25</v>
      </c>
      <c r="AQ77" s="34">
        <f>IF(SUM($I77:AP77)&lt;1,IF($C77&lt;=AQ$4,1/$E$41,0),0)</f>
        <v>0.25</v>
      </c>
      <c r="AR77" s="34">
        <f>IF(SUM($I77:AQ77)&lt;1,IF($C77&lt;=AR$4,1/$E$41,0),0)</f>
        <v>0.25</v>
      </c>
      <c r="AS77" s="34">
        <f>IF(SUM($I77:AR77)&lt;1,IF($C77&lt;=AS$4,1/$E$41,0),0)</f>
        <v>0.25</v>
      </c>
      <c r="AT77" s="34">
        <f>IF(SUM($I77:AS77)&lt;1,IF($C77&lt;=AT$4,1/$E$41,0),0)</f>
        <v>0</v>
      </c>
      <c r="AU77" s="34">
        <f>IF(SUM($I77:AT77)&lt;1,IF($C77&lt;=AU$4,1/$E$41,0),0)</f>
        <v>0</v>
      </c>
      <c r="AV77" s="34">
        <f>IF(SUM($I77:AU77)&lt;1,IF($C77&lt;=AV$4,1/$E$41,0),0)</f>
        <v>0</v>
      </c>
      <c r="AW77" s="34">
        <f>IF(SUM($I77:AV77)&lt;1,IF($C77&lt;=AW$4,1/$E$41,0),0)</f>
        <v>0</v>
      </c>
      <c r="AX77" s="34">
        <f>IF(SUM($I77:AW77)&lt;1,IF($C77&lt;=AX$4,1/$E$41,0),0)</f>
        <v>0</v>
      </c>
      <c r="AY77" s="34">
        <f>IF(SUM($I77:AX77)&lt;1,IF($C77&lt;=AY$4,1/$E$41,0),0)</f>
        <v>0</v>
      </c>
      <c r="AZ77" s="34">
        <f>IF(SUM($I77:AY77)&lt;1,IF($C77&lt;=AZ$4,1/$E$41,0),0)</f>
        <v>0</v>
      </c>
      <c r="BA77" s="34">
        <f>IF(SUM($I77:AZ77)&lt;1,IF($C77&lt;=BA$4,1/$E$41,0),0)</f>
        <v>0</v>
      </c>
      <c r="BB77" s="34">
        <f>IF(SUM($I77:BA77)&lt;1,IF($C77&lt;=BB$4,1/$E$41,0),0)</f>
        <v>0</v>
      </c>
      <c r="BC77" s="34">
        <f>IF(SUM($I77:BB77)&lt;1,IF($C77&lt;=BC$4,1/$E$41,0),0)</f>
        <v>0</v>
      </c>
      <c r="BD77" s="34">
        <f>IF(SUM($I77:BC77)&lt;1,IF($C77&lt;=BD$4,1/$E$41,0),0)</f>
        <v>0</v>
      </c>
      <c r="BE77" s="34">
        <f>IF(SUM($I77:BD77)&lt;1,IF($C77&lt;=BE$4,1/$E$41,0),0)</f>
        <v>0</v>
      </c>
      <c r="BF77" s="34">
        <f>IF(SUM($I77:BE77)&lt;1,IF($C77&lt;=BF$4,1/$E$41,0),0)</f>
        <v>0</v>
      </c>
      <c r="BG77" s="34">
        <f>IF(SUM($I77:BF77)&lt;1,IF($C77&lt;=BG$4,1/$E$41,0),0)</f>
        <v>0</v>
      </c>
      <c r="BH77" s="34">
        <f>IF(SUM($I77:BG77)&lt;1,IF($C77&lt;=BH$4,1/$E$41,0),0)</f>
        <v>0</v>
      </c>
      <c r="BI77" s="34">
        <f>IF(SUM($I77:BH77)&lt;1,IF($C77&lt;=BI$4,1/$E$41,0),0)</f>
        <v>0</v>
      </c>
      <c r="BJ77" s="34">
        <f>IF(SUM($I77:BI77)&lt;1,IF($C77&lt;=BJ$4,1/$E$41,0),0)</f>
        <v>0</v>
      </c>
      <c r="BK77" s="34">
        <f>IF(SUM($I77:BJ77)&lt;1,IF($C77&lt;=BK$4,1/$E$41,0),0)</f>
        <v>0</v>
      </c>
      <c r="BL77" s="34">
        <f>IF(SUM($I77:BK77)&lt;1,IF($C77&lt;=BL$4,1/$E$41,0),0)</f>
        <v>0</v>
      </c>
      <c r="BM77" s="34">
        <f>IF(SUM($I77:BL77)&lt;1,IF($C77&lt;=BM$4,1/$E$41,0),0)</f>
        <v>0</v>
      </c>
      <c r="BN77" s="34">
        <f>IF(SUM($I77:BM77)&lt;1,IF($C77&lt;=BN$4,1/$E$41,0),0)</f>
        <v>0</v>
      </c>
      <c r="BO77" s="34">
        <f>IF(SUM($I77:BN77)&lt;1,IF($C77&lt;=BO$4,1/$E$41,0),0)</f>
        <v>0</v>
      </c>
      <c r="BP77" s="34">
        <f>IF(SUM($I77:BO77)&lt;1,IF($C77&lt;=BP$4,1/$E$41,0),0)</f>
        <v>0</v>
      </c>
      <c r="BQ77" s="34">
        <f>IF(SUM($I77:BP77)&lt;1,IF($C77&lt;=BQ$4,1/$E$41,0),0)</f>
        <v>0</v>
      </c>
      <c r="BR77" s="34">
        <f>IF(SUM($I77:BQ77)&lt;1,IF($C77&lt;=BR$4,1/$E$41,0),0)</f>
        <v>0</v>
      </c>
      <c r="BS77" s="34">
        <f>IF(SUM($I77:BR77)&lt;1,IF($C77&lt;=BS$4,1/$E$41,0),0)</f>
        <v>0</v>
      </c>
      <c r="BT77" s="34">
        <f>IF(SUM($I77:BS77)&lt;1,IF($C77&lt;=BT$4,1/$E$41,0),0)</f>
        <v>0</v>
      </c>
      <c r="BU77" s="34">
        <f>IF(SUM($I77:BT77)&lt;1,IF($C77&lt;=BU$4,1/$E$41,0),0)</f>
        <v>0</v>
      </c>
      <c r="BV77" s="34">
        <f>IF(SUM($I77:BU77)&lt;1,IF($C77&lt;=BV$4,1/$E$41,0),0)</f>
        <v>0</v>
      </c>
      <c r="BW77" s="34">
        <f>IF(SUM($I77:BV77)&lt;1,IF($C77&lt;=BW$4,1/$E$41,0),0)</f>
        <v>0</v>
      </c>
      <c r="BX77" s="34">
        <f>IF(SUM($I77:BW77)&lt;1,IF($C77&lt;=BX$4,1/$E$41,0),0)</f>
        <v>0</v>
      </c>
      <c r="BY77" s="34">
        <f>IF(SUM($I77:BX77)&lt;1,IF($C77&lt;=BY$4,1/$E$41,0),0)</f>
        <v>0</v>
      </c>
      <c r="BZ77" s="34">
        <f>IF(SUM($I77:BY77)&lt;1,IF($C77&lt;=BZ$4,1/$E$41,0),0)</f>
        <v>0</v>
      </c>
      <c r="CA77" s="34">
        <f>IF(SUM($I77:BZ77)&lt;1,IF($C77&lt;=CA$4,1/$E$41,0),0)</f>
        <v>0</v>
      </c>
      <c r="CB77" s="34">
        <f>IF(SUM($I77:CA77)&lt;1,IF($C77&lt;=CB$4,1/$E$41,0),0)</f>
        <v>0</v>
      </c>
      <c r="CC77" s="34">
        <f>IF(SUM($I77:CB77)&lt;1,IF($C77&lt;=CC$4,1/$E$41,0),0)</f>
        <v>0</v>
      </c>
      <c r="CD77" s="34">
        <f>IF(SUM($I77:CC77)&lt;1,IF($C77&lt;=CD$4,1/$E$41,0),0)</f>
        <v>0</v>
      </c>
      <c r="CE77" s="34">
        <f>IF(SUM($I77:CD77)&lt;1,IF($C77&lt;=CE$4,1/$E$41,0),0)</f>
        <v>0</v>
      </c>
      <c r="CF77" s="34">
        <f>IF(SUM($I77:CE77)&lt;1,IF($C77&lt;=CF$4,1/$E$41,0),0)</f>
        <v>0</v>
      </c>
      <c r="CG77" s="34">
        <f>IF(SUM($I77:CF77)&lt;1,IF($C77&lt;=CG$4,1/$E$41,0),0)</f>
        <v>0</v>
      </c>
      <c r="CH77" s="34">
        <f>IF(SUM($I77:CG77)&lt;1,IF($C77&lt;=CH$4,1/$E$41,0),0)</f>
        <v>0</v>
      </c>
      <c r="CI77" s="34">
        <f>IF(SUM($I77:CH77)&lt;1,IF($C77&lt;=CI$4,1/$E$41,0),0)</f>
        <v>0</v>
      </c>
      <c r="CJ77" s="34">
        <f>IF(SUM($I77:CI77)&lt;1,IF($C77&lt;=CJ$4,1/$E$41,0),0)</f>
        <v>0</v>
      </c>
      <c r="CK77" s="34">
        <f>IF(SUM($I77:CJ77)&lt;1,IF($C77&lt;=CK$4,1/$E$41,0),0)</f>
        <v>0</v>
      </c>
      <c r="CL77" s="34">
        <f>IF(SUM($I77:CK77)&lt;1,IF($C77&lt;=CL$4,1/$E$41,0),0)</f>
        <v>0</v>
      </c>
      <c r="CM77" s="34">
        <f>IF(SUM($I77:CL77)&lt;1,IF($C77&lt;=CM$4,1/$E$41,0),0)</f>
        <v>0</v>
      </c>
      <c r="CN77" s="34">
        <f>IF(SUM($I77:CM77)&lt;1,IF($C77&lt;=CN$4,1/$E$41,0),0)</f>
        <v>0</v>
      </c>
      <c r="CO77" s="34">
        <f>IF(SUM($I77:CN77)&lt;1,IF($C77&lt;=CO$4,1/$E$41,0),0)</f>
        <v>0</v>
      </c>
      <c r="CP77" s="34">
        <f>IF(SUM($I77:CO77)&lt;1,IF($C77&lt;=CP$4,1/$E$41,0),0)</f>
        <v>0</v>
      </c>
      <c r="CQ77" s="34">
        <f>IF(SUM($I77:CP77)&lt;1,IF($C77&lt;=CQ$4,1/$E$41,0),0)</f>
        <v>0</v>
      </c>
      <c r="CR77" s="34">
        <f>IF(SUM($I77:CQ77)&lt;1,IF($C77&lt;=CR$4,1/$E$41,0),0)</f>
        <v>0</v>
      </c>
      <c r="CS77" s="34">
        <f>IF(SUM($I77:CR77)&lt;1,IF($C77&lt;=CS$4,1/$E$41,0),0)</f>
        <v>0</v>
      </c>
      <c r="CT77" s="34">
        <f>IF(SUM($I77:CS77)&lt;1,IF($C77&lt;=CT$4,1/$E$41,0),0)</f>
        <v>0</v>
      </c>
      <c r="CU77" s="34">
        <f>IF(SUM($I77:CT77)&lt;1,IF($C77&lt;=CU$4,1/$E$41,0),0)</f>
        <v>0</v>
      </c>
      <c r="CV77" s="34">
        <f>IF(SUM($I77:CU77)&lt;1,IF($C77&lt;=CV$4,1/$E$41,0),0)</f>
        <v>0</v>
      </c>
      <c r="CW77" s="34">
        <f>IF(SUM($I77:CV77)&lt;1,IF($C77&lt;=CW$4,1/$E$41,0),0)</f>
        <v>0</v>
      </c>
      <c r="CX77" s="34">
        <f>IF(SUM($I77:CW77)&lt;1,IF($C77&lt;=CX$4,1/$E$41,0),0)</f>
        <v>0</v>
      </c>
      <c r="CY77" s="34">
        <f>IF(SUM($I77:CX77)&lt;1,IF($C77&lt;=CY$4,1/$E$41,0),0)</f>
        <v>0</v>
      </c>
      <c r="CZ77" s="34">
        <f>IF(SUM($I77:CY77)&lt;1,IF($C77&lt;=CZ$4,1/$E$41,0),0)</f>
        <v>0</v>
      </c>
      <c r="DA77" s="34">
        <f>IF(SUM($I77:CZ77)&lt;1,IF($C77&lt;=DA$4,1/$E$41,0),0)</f>
        <v>0</v>
      </c>
      <c r="DB77" s="34">
        <f>IF(SUM($I77:DA77)&lt;1,IF($C77&lt;=DB$4,1/$E$41,0),0)</f>
        <v>0</v>
      </c>
      <c r="DC77" s="34">
        <f>IF(SUM($I77:DB77)&lt;1,IF($C77&lt;=DC$4,1/$E$41,0),0)</f>
        <v>0</v>
      </c>
      <c r="DD77" s="34">
        <f>IF(SUM($I77:DC77)&lt;1,IF($C77&lt;=DD$4,1/$E$41,0),0)</f>
        <v>0</v>
      </c>
      <c r="DE77" s="34">
        <f>IF(SUM($I77:DD77)&lt;1,IF($C77&lt;=DE$4,1/$E$41,0),0)</f>
        <v>0</v>
      </c>
      <c r="DF77" s="34">
        <f>IF(SUM($I77:DE77)&lt;1,IF($C77&lt;=DF$4,1/$E$41,0),0)</f>
        <v>0</v>
      </c>
      <c r="DG77" s="34">
        <f>IF(SUM($I77:DF77)&lt;1,IF($C77&lt;=DG$4,1/$E$41,0),0)</f>
        <v>0</v>
      </c>
      <c r="DH77" s="34">
        <f>IF(SUM($I77:DG77)&lt;1,IF($C77&lt;=DH$4,1/$E$41,0),0)</f>
        <v>0</v>
      </c>
      <c r="DI77" s="34">
        <f>IF(SUM($I77:DH77)&lt;1,IF($C77&lt;=DI$4,1/$E$41,0),0)</f>
        <v>0</v>
      </c>
      <c r="DJ77" s="34">
        <f>IF(SUM($I77:DI77)&lt;1,IF($C77&lt;=DJ$4,1/$E$41,0),0)</f>
        <v>0</v>
      </c>
      <c r="DK77" s="34">
        <f>IF(SUM($I77:DJ77)&lt;1,IF($C77&lt;=DK$4,1/$E$41,0),0)</f>
        <v>0</v>
      </c>
      <c r="DL77" s="34">
        <f>IF(SUM($I77:DK77)&lt;1,IF($C77&lt;=DL$4,1/$E$41,0),0)</f>
        <v>0</v>
      </c>
      <c r="DM77" s="34">
        <f>IF(SUM($I77:DL77)&lt;1,IF($C77&lt;=DM$4,1/$E$41,0),0)</f>
        <v>0</v>
      </c>
    </row>
    <row r="78" spans="3:117" outlineLevel="1" x14ac:dyDescent="0.15">
      <c r="C78" s="50">
        <f t="shared" si="48"/>
        <v>34</v>
      </c>
      <c r="D78" s="5" t="s">
        <v>18</v>
      </c>
      <c r="E78" s="19">
        <f t="shared" si="49"/>
        <v>0</v>
      </c>
      <c r="I78" s="9"/>
      <c r="J78" s="34">
        <f>IF(SUM($I78:I78)&lt;1,IF($C78&lt;=J$4,1/$E$41,0),0)</f>
        <v>0</v>
      </c>
      <c r="K78" s="34">
        <f>IF(SUM($I78:J78)&lt;1,IF($C78&lt;=K$4,1/$E$41,0),0)</f>
        <v>0</v>
      </c>
      <c r="L78" s="34">
        <f>IF(SUM($I78:K78)&lt;1,IF($C78&lt;=L$4,1/$E$41,0),0)</f>
        <v>0</v>
      </c>
      <c r="M78" s="34">
        <f>IF(SUM($I78:L78)&lt;1,IF($C78&lt;=M$4,1/$E$41,0),0)</f>
        <v>0</v>
      </c>
      <c r="N78" s="34">
        <f>IF(SUM($I78:M78)&lt;1,IF($C78&lt;=N$4,1/$E$41,0),0)</f>
        <v>0</v>
      </c>
      <c r="O78" s="34">
        <f>IF(SUM($I78:N78)&lt;1,IF($C78&lt;=O$4,1/$E$41,0),0)</f>
        <v>0</v>
      </c>
      <c r="P78" s="34">
        <f>IF(SUM($I78:O78)&lt;1,IF($C78&lt;=P$4,1/$E$41,0),0)</f>
        <v>0</v>
      </c>
      <c r="Q78" s="34">
        <f>IF(SUM($I78:P78)&lt;1,IF($C78&lt;=Q$4,1/$E$41,0),0)</f>
        <v>0</v>
      </c>
      <c r="R78" s="34">
        <f>IF(SUM($I78:Q78)&lt;1,IF($C78&lt;=R$4,1/$E$41,0),0)</f>
        <v>0</v>
      </c>
      <c r="S78" s="34">
        <f>IF(SUM($I78:R78)&lt;1,IF($C78&lt;=S$4,1/$E$41,0),0)</f>
        <v>0</v>
      </c>
      <c r="T78" s="34">
        <f>IF(SUM($I78:S78)&lt;1,IF($C78&lt;=T$4,1/$E$41,0),0)</f>
        <v>0</v>
      </c>
      <c r="U78" s="34">
        <f>IF(SUM($I78:T78)&lt;1,IF($C78&lt;=U$4,1/$E$41,0),0)</f>
        <v>0</v>
      </c>
      <c r="V78" s="34">
        <f>IF(SUM($I78:U78)&lt;1,IF($C78&lt;=V$4,1/$E$41,0),0)</f>
        <v>0</v>
      </c>
      <c r="W78" s="34">
        <f>IF(SUM($I78:V78)&lt;1,IF($C78&lt;=W$4,1/$E$41,0),0)</f>
        <v>0</v>
      </c>
      <c r="X78" s="34">
        <f>IF(SUM($I78:W78)&lt;1,IF($C78&lt;=X$4,1/$E$41,0),0)</f>
        <v>0</v>
      </c>
      <c r="Y78" s="34">
        <f>IF(SUM($I78:X78)&lt;1,IF($C78&lt;=Y$4,1/$E$41,0),0)</f>
        <v>0</v>
      </c>
      <c r="Z78" s="34">
        <f>IF(SUM($I78:Y78)&lt;1,IF($C78&lt;=Z$4,1/$E$41,0),0)</f>
        <v>0</v>
      </c>
      <c r="AA78" s="34">
        <f>IF(SUM($I78:Z78)&lt;1,IF($C78&lt;=AA$4,1/$E$41,0),0)</f>
        <v>0</v>
      </c>
      <c r="AB78" s="34">
        <f>IF(SUM($I78:AA78)&lt;1,IF($C78&lt;=AB$4,1/$E$41,0),0)</f>
        <v>0</v>
      </c>
      <c r="AC78" s="34">
        <f>IF(SUM($I78:AB78)&lt;1,IF($C78&lt;=AC$4,1/$E$41,0),0)</f>
        <v>0</v>
      </c>
      <c r="AD78" s="34">
        <f>IF(SUM($I78:AC78)&lt;1,IF($C78&lt;=AD$4,1/$E$41,0),0)</f>
        <v>0</v>
      </c>
      <c r="AE78" s="34">
        <f>IF(SUM($I78:AD78)&lt;1,IF($C78&lt;=AE$4,1/$E$41,0),0)</f>
        <v>0</v>
      </c>
      <c r="AF78" s="34">
        <f>IF(SUM($I78:AE78)&lt;1,IF($C78&lt;=AF$4,1/$E$41,0),0)</f>
        <v>0</v>
      </c>
      <c r="AG78" s="34">
        <f>IF(SUM($I78:AF78)&lt;1,IF($C78&lt;=AG$4,1/$E$41,0),0)</f>
        <v>0</v>
      </c>
      <c r="AH78" s="34">
        <f>IF(SUM($I78:AG78)&lt;1,IF($C78&lt;=AH$4,1/$E$41,0),0)</f>
        <v>0</v>
      </c>
      <c r="AI78" s="34">
        <f>IF(SUM($I78:AH78)&lt;1,IF($C78&lt;=AI$4,1/$E$41,0),0)</f>
        <v>0</v>
      </c>
      <c r="AJ78" s="34">
        <f>IF(SUM($I78:AI78)&lt;1,IF($C78&lt;=AJ$4,1/$E$41,0),0)</f>
        <v>0</v>
      </c>
      <c r="AK78" s="34">
        <f>IF(SUM($I78:AJ78)&lt;1,IF($C78&lt;=AK$4,1/$E$41,0),0)</f>
        <v>0</v>
      </c>
      <c r="AL78" s="34">
        <f>IF(SUM($I78:AK78)&lt;1,IF($C78&lt;=AL$4,1/$E$41,0),0)</f>
        <v>0</v>
      </c>
      <c r="AM78" s="34">
        <f>IF(SUM($I78:AL78)&lt;1,IF($C78&lt;=AM$4,1/$E$41,0),0)</f>
        <v>0</v>
      </c>
      <c r="AN78" s="34">
        <f>IF(SUM($I78:AM78)&lt;1,IF($C78&lt;=AN$4,1/$E$41,0),0)</f>
        <v>0</v>
      </c>
      <c r="AO78" s="34">
        <f>IF(SUM($I78:AN78)&lt;1,IF($C78&lt;=AO$4,1/$E$41,0),0)</f>
        <v>0</v>
      </c>
      <c r="AP78" s="34">
        <f>IF(SUM($I78:AO78)&lt;1,IF($C78&lt;=AP$4,1/$E$41,0),0)</f>
        <v>0</v>
      </c>
      <c r="AQ78" s="34">
        <f>IF(SUM($I78:AP78)&lt;1,IF($C78&lt;=AQ$4,1/$E$41,0),0)</f>
        <v>0.25</v>
      </c>
      <c r="AR78" s="34">
        <f>IF(SUM($I78:AQ78)&lt;1,IF($C78&lt;=AR$4,1/$E$41,0),0)</f>
        <v>0.25</v>
      </c>
      <c r="AS78" s="34">
        <f>IF(SUM($I78:AR78)&lt;1,IF($C78&lt;=AS$4,1/$E$41,0),0)</f>
        <v>0.25</v>
      </c>
      <c r="AT78" s="34">
        <f>IF(SUM($I78:AS78)&lt;1,IF($C78&lt;=AT$4,1/$E$41,0),0)</f>
        <v>0.25</v>
      </c>
      <c r="AU78" s="34">
        <f>IF(SUM($I78:AT78)&lt;1,IF($C78&lt;=AU$4,1/$E$41,0),0)</f>
        <v>0</v>
      </c>
      <c r="AV78" s="34">
        <f>IF(SUM($I78:AU78)&lt;1,IF($C78&lt;=AV$4,1/$E$41,0),0)</f>
        <v>0</v>
      </c>
      <c r="AW78" s="34">
        <f>IF(SUM($I78:AV78)&lt;1,IF($C78&lt;=AW$4,1/$E$41,0),0)</f>
        <v>0</v>
      </c>
      <c r="AX78" s="34">
        <f>IF(SUM($I78:AW78)&lt;1,IF($C78&lt;=AX$4,1/$E$41,0),0)</f>
        <v>0</v>
      </c>
      <c r="AY78" s="34">
        <f>IF(SUM($I78:AX78)&lt;1,IF($C78&lt;=AY$4,1/$E$41,0),0)</f>
        <v>0</v>
      </c>
      <c r="AZ78" s="34">
        <f>IF(SUM($I78:AY78)&lt;1,IF($C78&lt;=AZ$4,1/$E$41,0),0)</f>
        <v>0</v>
      </c>
      <c r="BA78" s="34">
        <f>IF(SUM($I78:AZ78)&lt;1,IF($C78&lt;=BA$4,1/$E$41,0),0)</f>
        <v>0</v>
      </c>
      <c r="BB78" s="34">
        <f>IF(SUM($I78:BA78)&lt;1,IF($C78&lt;=BB$4,1/$E$41,0),0)</f>
        <v>0</v>
      </c>
      <c r="BC78" s="34">
        <f>IF(SUM($I78:BB78)&lt;1,IF($C78&lt;=BC$4,1/$E$41,0),0)</f>
        <v>0</v>
      </c>
      <c r="BD78" s="34">
        <f>IF(SUM($I78:BC78)&lt;1,IF($C78&lt;=BD$4,1/$E$41,0),0)</f>
        <v>0</v>
      </c>
      <c r="BE78" s="34">
        <f>IF(SUM($I78:BD78)&lt;1,IF($C78&lt;=BE$4,1/$E$41,0),0)</f>
        <v>0</v>
      </c>
      <c r="BF78" s="34">
        <f>IF(SUM($I78:BE78)&lt;1,IF($C78&lt;=BF$4,1/$E$41,0),0)</f>
        <v>0</v>
      </c>
      <c r="BG78" s="34">
        <f>IF(SUM($I78:BF78)&lt;1,IF($C78&lt;=BG$4,1/$E$41,0),0)</f>
        <v>0</v>
      </c>
      <c r="BH78" s="34">
        <f>IF(SUM($I78:BG78)&lt;1,IF($C78&lt;=BH$4,1/$E$41,0),0)</f>
        <v>0</v>
      </c>
      <c r="BI78" s="34">
        <f>IF(SUM($I78:BH78)&lt;1,IF($C78&lt;=BI$4,1/$E$41,0),0)</f>
        <v>0</v>
      </c>
      <c r="BJ78" s="34">
        <f>IF(SUM($I78:BI78)&lt;1,IF($C78&lt;=BJ$4,1/$E$41,0),0)</f>
        <v>0</v>
      </c>
      <c r="BK78" s="34">
        <f>IF(SUM($I78:BJ78)&lt;1,IF($C78&lt;=BK$4,1/$E$41,0),0)</f>
        <v>0</v>
      </c>
      <c r="BL78" s="34">
        <f>IF(SUM($I78:BK78)&lt;1,IF($C78&lt;=BL$4,1/$E$41,0),0)</f>
        <v>0</v>
      </c>
      <c r="BM78" s="34">
        <f>IF(SUM($I78:BL78)&lt;1,IF($C78&lt;=BM$4,1/$E$41,0),0)</f>
        <v>0</v>
      </c>
      <c r="BN78" s="34">
        <f>IF(SUM($I78:BM78)&lt;1,IF($C78&lt;=BN$4,1/$E$41,0),0)</f>
        <v>0</v>
      </c>
      <c r="BO78" s="34">
        <f>IF(SUM($I78:BN78)&lt;1,IF($C78&lt;=BO$4,1/$E$41,0),0)</f>
        <v>0</v>
      </c>
      <c r="BP78" s="34">
        <f>IF(SUM($I78:BO78)&lt;1,IF($C78&lt;=BP$4,1/$E$41,0),0)</f>
        <v>0</v>
      </c>
      <c r="BQ78" s="34">
        <f>IF(SUM($I78:BP78)&lt;1,IF($C78&lt;=BQ$4,1/$E$41,0),0)</f>
        <v>0</v>
      </c>
      <c r="BR78" s="34">
        <f>IF(SUM($I78:BQ78)&lt;1,IF($C78&lt;=BR$4,1/$E$41,0),0)</f>
        <v>0</v>
      </c>
      <c r="BS78" s="34">
        <f>IF(SUM($I78:BR78)&lt;1,IF($C78&lt;=BS$4,1/$E$41,0),0)</f>
        <v>0</v>
      </c>
      <c r="BT78" s="34">
        <f>IF(SUM($I78:BS78)&lt;1,IF($C78&lt;=BT$4,1/$E$41,0),0)</f>
        <v>0</v>
      </c>
      <c r="BU78" s="34">
        <f>IF(SUM($I78:BT78)&lt;1,IF($C78&lt;=BU$4,1/$E$41,0),0)</f>
        <v>0</v>
      </c>
      <c r="BV78" s="34">
        <f>IF(SUM($I78:BU78)&lt;1,IF($C78&lt;=BV$4,1/$E$41,0),0)</f>
        <v>0</v>
      </c>
      <c r="BW78" s="34">
        <f>IF(SUM($I78:BV78)&lt;1,IF($C78&lt;=BW$4,1/$E$41,0),0)</f>
        <v>0</v>
      </c>
      <c r="BX78" s="34">
        <f>IF(SUM($I78:BW78)&lt;1,IF($C78&lt;=BX$4,1/$E$41,0),0)</f>
        <v>0</v>
      </c>
      <c r="BY78" s="34">
        <f>IF(SUM($I78:BX78)&lt;1,IF($C78&lt;=BY$4,1/$E$41,0),0)</f>
        <v>0</v>
      </c>
      <c r="BZ78" s="34">
        <f>IF(SUM($I78:BY78)&lt;1,IF($C78&lt;=BZ$4,1/$E$41,0),0)</f>
        <v>0</v>
      </c>
      <c r="CA78" s="34">
        <f>IF(SUM($I78:BZ78)&lt;1,IF($C78&lt;=CA$4,1/$E$41,0),0)</f>
        <v>0</v>
      </c>
      <c r="CB78" s="34">
        <f>IF(SUM($I78:CA78)&lt;1,IF($C78&lt;=CB$4,1/$E$41,0),0)</f>
        <v>0</v>
      </c>
      <c r="CC78" s="34">
        <f>IF(SUM($I78:CB78)&lt;1,IF($C78&lt;=CC$4,1/$E$41,0),0)</f>
        <v>0</v>
      </c>
      <c r="CD78" s="34">
        <f>IF(SUM($I78:CC78)&lt;1,IF($C78&lt;=CD$4,1/$E$41,0),0)</f>
        <v>0</v>
      </c>
      <c r="CE78" s="34">
        <f>IF(SUM($I78:CD78)&lt;1,IF($C78&lt;=CE$4,1/$E$41,0),0)</f>
        <v>0</v>
      </c>
      <c r="CF78" s="34">
        <f>IF(SUM($I78:CE78)&lt;1,IF($C78&lt;=CF$4,1/$E$41,0),0)</f>
        <v>0</v>
      </c>
      <c r="CG78" s="34">
        <f>IF(SUM($I78:CF78)&lt;1,IF($C78&lt;=CG$4,1/$E$41,0),0)</f>
        <v>0</v>
      </c>
      <c r="CH78" s="34">
        <f>IF(SUM($I78:CG78)&lt;1,IF($C78&lt;=CH$4,1/$E$41,0),0)</f>
        <v>0</v>
      </c>
      <c r="CI78" s="34">
        <f>IF(SUM($I78:CH78)&lt;1,IF($C78&lt;=CI$4,1/$E$41,0),0)</f>
        <v>0</v>
      </c>
      <c r="CJ78" s="34">
        <f>IF(SUM($I78:CI78)&lt;1,IF($C78&lt;=CJ$4,1/$E$41,0),0)</f>
        <v>0</v>
      </c>
      <c r="CK78" s="34">
        <f>IF(SUM($I78:CJ78)&lt;1,IF($C78&lt;=CK$4,1/$E$41,0),0)</f>
        <v>0</v>
      </c>
      <c r="CL78" s="34">
        <f>IF(SUM($I78:CK78)&lt;1,IF($C78&lt;=CL$4,1/$E$41,0),0)</f>
        <v>0</v>
      </c>
      <c r="CM78" s="34">
        <f>IF(SUM($I78:CL78)&lt;1,IF($C78&lt;=CM$4,1/$E$41,0),0)</f>
        <v>0</v>
      </c>
      <c r="CN78" s="34">
        <f>IF(SUM($I78:CM78)&lt;1,IF($C78&lt;=CN$4,1/$E$41,0),0)</f>
        <v>0</v>
      </c>
      <c r="CO78" s="34">
        <f>IF(SUM($I78:CN78)&lt;1,IF($C78&lt;=CO$4,1/$E$41,0),0)</f>
        <v>0</v>
      </c>
      <c r="CP78" s="34">
        <f>IF(SUM($I78:CO78)&lt;1,IF($C78&lt;=CP$4,1/$E$41,0),0)</f>
        <v>0</v>
      </c>
      <c r="CQ78" s="34">
        <f>IF(SUM($I78:CP78)&lt;1,IF($C78&lt;=CQ$4,1/$E$41,0),0)</f>
        <v>0</v>
      </c>
      <c r="CR78" s="34">
        <f>IF(SUM($I78:CQ78)&lt;1,IF($C78&lt;=CR$4,1/$E$41,0),0)</f>
        <v>0</v>
      </c>
      <c r="CS78" s="34">
        <f>IF(SUM($I78:CR78)&lt;1,IF($C78&lt;=CS$4,1/$E$41,0),0)</f>
        <v>0</v>
      </c>
      <c r="CT78" s="34">
        <f>IF(SUM($I78:CS78)&lt;1,IF($C78&lt;=CT$4,1/$E$41,0),0)</f>
        <v>0</v>
      </c>
      <c r="CU78" s="34">
        <f>IF(SUM($I78:CT78)&lt;1,IF($C78&lt;=CU$4,1/$E$41,0),0)</f>
        <v>0</v>
      </c>
      <c r="CV78" s="34">
        <f>IF(SUM($I78:CU78)&lt;1,IF($C78&lt;=CV$4,1/$E$41,0),0)</f>
        <v>0</v>
      </c>
      <c r="CW78" s="34">
        <f>IF(SUM($I78:CV78)&lt;1,IF($C78&lt;=CW$4,1/$E$41,0),0)</f>
        <v>0</v>
      </c>
      <c r="CX78" s="34">
        <f>IF(SUM($I78:CW78)&lt;1,IF($C78&lt;=CX$4,1/$E$41,0),0)</f>
        <v>0</v>
      </c>
      <c r="CY78" s="34">
        <f>IF(SUM($I78:CX78)&lt;1,IF($C78&lt;=CY$4,1/$E$41,0),0)</f>
        <v>0</v>
      </c>
      <c r="CZ78" s="34">
        <f>IF(SUM($I78:CY78)&lt;1,IF($C78&lt;=CZ$4,1/$E$41,0),0)</f>
        <v>0</v>
      </c>
      <c r="DA78" s="34">
        <f>IF(SUM($I78:CZ78)&lt;1,IF($C78&lt;=DA$4,1/$E$41,0),0)</f>
        <v>0</v>
      </c>
      <c r="DB78" s="34">
        <f>IF(SUM($I78:DA78)&lt;1,IF($C78&lt;=DB$4,1/$E$41,0),0)</f>
        <v>0</v>
      </c>
      <c r="DC78" s="34">
        <f>IF(SUM($I78:DB78)&lt;1,IF($C78&lt;=DC$4,1/$E$41,0),0)</f>
        <v>0</v>
      </c>
      <c r="DD78" s="34">
        <f>IF(SUM($I78:DC78)&lt;1,IF($C78&lt;=DD$4,1/$E$41,0),0)</f>
        <v>0</v>
      </c>
      <c r="DE78" s="34">
        <f>IF(SUM($I78:DD78)&lt;1,IF($C78&lt;=DE$4,1/$E$41,0),0)</f>
        <v>0</v>
      </c>
      <c r="DF78" s="34">
        <f>IF(SUM($I78:DE78)&lt;1,IF($C78&lt;=DF$4,1/$E$41,0),0)</f>
        <v>0</v>
      </c>
      <c r="DG78" s="34">
        <f>IF(SUM($I78:DF78)&lt;1,IF($C78&lt;=DG$4,1/$E$41,0),0)</f>
        <v>0</v>
      </c>
      <c r="DH78" s="34">
        <f>IF(SUM($I78:DG78)&lt;1,IF($C78&lt;=DH$4,1/$E$41,0),0)</f>
        <v>0</v>
      </c>
      <c r="DI78" s="34">
        <f>IF(SUM($I78:DH78)&lt;1,IF($C78&lt;=DI$4,1/$E$41,0),0)</f>
        <v>0</v>
      </c>
      <c r="DJ78" s="34">
        <f>IF(SUM($I78:DI78)&lt;1,IF($C78&lt;=DJ$4,1/$E$41,0),0)</f>
        <v>0</v>
      </c>
      <c r="DK78" s="34">
        <f>IF(SUM($I78:DJ78)&lt;1,IF($C78&lt;=DK$4,1/$E$41,0),0)</f>
        <v>0</v>
      </c>
      <c r="DL78" s="34">
        <f>IF(SUM($I78:DK78)&lt;1,IF($C78&lt;=DL$4,1/$E$41,0),0)</f>
        <v>0</v>
      </c>
      <c r="DM78" s="34">
        <f>IF(SUM($I78:DL78)&lt;1,IF($C78&lt;=DM$4,1/$E$41,0),0)</f>
        <v>0</v>
      </c>
    </row>
    <row r="79" spans="3:117" outlineLevel="1" x14ac:dyDescent="0.15">
      <c r="C79" s="50">
        <f t="shared" si="48"/>
        <v>35</v>
      </c>
      <c r="D79" s="5" t="s">
        <v>18</v>
      </c>
      <c r="E79" s="19">
        <f t="shared" si="49"/>
        <v>0</v>
      </c>
      <c r="I79" s="9"/>
      <c r="J79" s="34">
        <f>IF(SUM($I79:I79)&lt;1,IF($C79&lt;=J$4,1/$E$41,0),0)</f>
        <v>0</v>
      </c>
      <c r="K79" s="34">
        <f>IF(SUM($I79:J79)&lt;1,IF($C79&lt;=K$4,1/$E$41,0),0)</f>
        <v>0</v>
      </c>
      <c r="L79" s="34">
        <f>IF(SUM($I79:K79)&lt;1,IF($C79&lt;=L$4,1/$E$41,0),0)</f>
        <v>0</v>
      </c>
      <c r="M79" s="34">
        <f>IF(SUM($I79:L79)&lt;1,IF($C79&lt;=M$4,1/$E$41,0),0)</f>
        <v>0</v>
      </c>
      <c r="N79" s="34">
        <f>IF(SUM($I79:M79)&lt;1,IF($C79&lt;=N$4,1/$E$41,0),0)</f>
        <v>0</v>
      </c>
      <c r="O79" s="34">
        <f>IF(SUM($I79:N79)&lt;1,IF($C79&lt;=O$4,1/$E$41,0),0)</f>
        <v>0</v>
      </c>
      <c r="P79" s="34">
        <f>IF(SUM($I79:O79)&lt;1,IF($C79&lt;=P$4,1/$E$41,0),0)</f>
        <v>0</v>
      </c>
      <c r="Q79" s="34">
        <f>IF(SUM($I79:P79)&lt;1,IF($C79&lt;=Q$4,1/$E$41,0),0)</f>
        <v>0</v>
      </c>
      <c r="R79" s="34">
        <f>IF(SUM($I79:Q79)&lt;1,IF($C79&lt;=R$4,1/$E$41,0),0)</f>
        <v>0</v>
      </c>
      <c r="S79" s="34">
        <f>IF(SUM($I79:R79)&lt;1,IF($C79&lt;=S$4,1/$E$41,0),0)</f>
        <v>0</v>
      </c>
      <c r="T79" s="34">
        <f>IF(SUM($I79:S79)&lt;1,IF($C79&lt;=T$4,1/$E$41,0),0)</f>
        <v>0</v>
      </c>
      <c r="U79" s="34">
        <f>IF(SUM($I79:T79)&lt;1,IF($C79&lt;=U$4,1/$E$41,0),0)</f>
        <v>0</v>
      </c>
      <c r="V79" s="34">
        <f>IF(SUM($I79:U79)&lt;1,IF($C79&lt;=V$4,1/$E$41,0),0)</f>
        <v>0</v>
      </c>
      <c r="W79" s="34">
        <f>IF(SUM($I79:V79)&lt;1,IF($C79&lt;=W$4,1/$E$41,0),0)</f>
        <v>0</v>
      </c>
      <c r="X79" s="34">
        <f>IF(SUM($I79:W79)&lt;1,IF($C79&lt;=X$4,1/$E$41,0),0)</f>
        <v>0</v>
      </c>
      <c r="Y79" s="34">
        <f>IF(SUM($I79:X79)&lt;1,IF($C79&lt;=Y$4,1/$E$41,0),0)</f>
        <v>0</v>
      </c>
      <c r="Z79" s="34">
        <f>IF(SUM($I79:Y79)&lt;1,IF($C79&lt;=Z$4,1/$E$41,0),0)</f>
        <v>0</v>
      </c>
      <c r="AA79" s="34">
        <f>IF(SUM($I79:Z79)&lt;1,IF($C79&lt;=AA$4,1/$E$41,0),0)</f>
        <v>0</v>
      </c>
      <c r="AB79" s="34">
        <f>IF(SUM($I79:AA79)&lt;1,IF($C79&lt;=AB$4,1/$E$41,0),0)</f>
        <v>0</v>
      </c>
      <c r="AC79" s="34">
        <f>IF(SUM($I79:AB79)&lt;1,IF($C79&lt;=AC$4,1/$E$41,0),0)</f>
        <v>0</v>
      </c>
      <c r="AD79" s="34">
        <f>IF(SUM($I79:AC79)&lt;1,IF($C79&lt;=AD$4,1/$E$41,0),0)</f>
        <v>0</v>
      </c>
      <c r="AE79" s="34">
        <f>IF(SUM($I79:AD79)&lt;1,IF($C79&lt;=AE$4,1/$E$41,0),0)</f>
        <v>0</v>
      </c>
      <c r="AF79" s="34">
        <f>IF(SUM($I79:AE79)&lt;1,IF($C79&lt;=AF$4,1/$E$41,0),0)</f>
        <v>0</v>
      </c>
      <c r="AG79" s="34">
        <f>IF(SUM($I79:AF79)&lt;1,IF($C79&lt;=AG$4,1/$E$41,0),0)</f>
        <v>0</v>
      </c>
      <c r="AH79" s="34">
        <f>IF(SUM($I79:AG79)&lt;1,IF($C79&lt;=AH$4,1/$E$41,0),0)</f>
        <v>0</v>
      </c>
      <c r="AI79" s="34">
        <f>IF(SUM($I79:AH79)&lt;1,IF($C79&lt;=AI$4,1/$E$41,0),0)</f>
        <v>0</v>
      </c>
      <c r="AJ79" s="34">
        <f>IF(SUM($I79:AI79)&lt;1,IF($C79&lt;=AJ$4,1/$E$41,0),0)</f>
        <v>0</v>
      </c>
      <c r="AK79" s="34">
        <f>IF(SUM($I79:AJ79)&lt;1,IF($C79&lt;=AK$4,1/$E$41,0),0)</f>
        <v>0</v>
      </c>
      <c r="AL79" s="34">
        <f>IF(SUM($I79:AK79)&lt;1,IF($C79&lt;=AL$4,1/$E$41,0),0)</f>
        <v>0</v>
      </c>
      <c r="AM79" s="34">
        <f>IF(SUM($I79:AL79)&lt;1,IF($C79&lt;=AM$4,1/$E$41,0),0)</f>
        <v>0</v>
      </c>
      <c r="AN79" s="34">
        <f>IF(SUM($I79:AM79)&lt;1,IF($C79&lt;=AN$4,1/$E$41,0),0)</f>
        <v>0</v>
      </c>
      <c r="AO79" s="34">
        <f>IF(SUM($I79:AN79)&lt;1,IF($C79&lt;=AO$4,1/$E$41,0),0)</f>
        <v>0</v>
      </c>
      <c r="AP79" s="34">
        <f>IF(SUM($I79:AO79)&lt;1,IF($C79&lt;=AP$4,1/$E$41,0),0)</f>
        <v>0</v>
      </c>
      <c r="AQ79" s="34">
        <f>IF(SUM($I79:AP79)&lt;1,IF($C79&lt;=AQ$4,1/$E$41,0),0)</f>
        <v>0</v>
      </c>
      <c r="AR79" s="34">
        <f>IF(SUM($I79:AQ79)&lt;1,IF($C79&lt;=AR$4,1/$E$41,0),0)</f>
        <v>0.25</v>
      </c>
      <c r="AS79" s="34">
        <f>IF(SUM($I79:AR79)&lt;1,IF($C79&lt;=AS$4,1/$E$41,0),0)</f>
        <v>0.25</v>
      </c>
      <c r="AT79" s="34">
        <f>IF(SUM($I79:AS79)&lt;1,IF($C79&lt;=AT$4,1/$E$41,0),0)</f>
        <v>0.25</v>
      </c>
      <c r="AU79" s="34">
        <f>IF(SUM($I79:AT79)&lt;1,IF($C79&lt;=AU$4,1/$E$41,0),0)</f>
        <v>0.25</v>
      </c>
      <c r="AV79" s="34">
        <f>IF(SUM($I79:AU79)&lt;1,IF($C79&lt;=AV$4,1/$E$41,0),0)</f>
        <v>0</v>
      </c>
      <c r="AW79" s="34">
        <f>IF(SUM($I79:AV79)&lt;1,IF($C79&lt;=AW$4,1/$E$41,0),0)</f>
        <v>0</v>
      </c>
      <c r="AX79" s="34">
        <f>IF(SUM($I79:AW79)&lt;1,IF($C79&lt;=AX$4,1/$E$41,0),0)</f>
        <v>0</v>
      </c>
      <c r="AY79" s="34">
        <f>IF(SUM($I79:AX79)&lt;1,IF($C79&lt;=AY$4,1/$E$41,0),0)</f>
        <v>0</v>
      </c>
      <c r="AZ79" s="34">
        <f>IF(SUM($I79:AY79)&lt;1,IF($C79&lt;=AZ$4,1/$E$41,0),0)</f>
        <v>0</v>
      </c>
      <c r="BA79" s="34">
        <f>IF(SUM($I79:AZ79)&lt;1,IF($C79&lt;=BA$4,1/$E$41,0),0)</f>
        <v>0</v>
      </c>
      <c r="BB79" s="34">
        <f>IF(SUM($I79:BA79)&lt;1,IF($C79&lt;=BB$4,1/$E$41,0),0)</f>
        <v>0</v>
      </c>
      <c r="BC79" s="34">
        <f>IF(SUM($I79:BB79)&lt;1,IF($C79&lt;=BC$4,1/$E$41,0),0)</f>
        <v>0</v>
      </c>
      <c r="BD79" s="34">
        <f>IF(SUM($I79:BC79)&lt;1,IF($C79&lt;=BD$4,1/$E$41,0),0)</f>
        <v>0</v>
      </c>
      <c r="BE79" s="34">
        <f>IF(SUM($I79:BD79)&lt;1,IF($C79&lt;=BE$4,1/$E$41,0),0)</f>
        <v>0</v>
      </c>
      <c r="BF79" s="34">
        <f>IF(SUM($I79:BE79)&lt;1,IF($C79&lt;=BF$4,1/$E$41,0),0)</f>
        <v>0</v>
      </c>
      <c r="BG79" s="34">
        <f>IF(SUM($I79:BF79)&lt;1,IF($C79&lt;=BG$4,1/$E$41,0),0)</f>
        <v>0</v>
      </c>
      <c r="BH79" s="34">
        <f>IF(SUM($I79:BG79)&lt;1,IF($C79&lt;=BH$4,1/$E$41,0),0)</f>
        <v>0</v>
      </c>
      <c r="BI79" s="34">
        <f>IF(SUM($I79:BH79)&lt;1,IF($C79&lt;=BI$4,1/$E$41,0),0)</f>
        <v>0</v>
      </c>
      <c r="BJ79" s="34">
        <f>IF(SUM($I79:BI79)&lt;1,IF($C79&lt;=BJ$4,1/$E$41,0),0)</f>
        <v>0</v>
      </c>
      <c r="BK79" s="34">
        <f>IF(SUM($I79:BJ79)&lt;1,IF($C79&lt;=BK$4,1/$E$41,0),0)</f>
        <v>0</v>
      </c>
      <c r="BL79" s="34">
        <f>IF(SUM($I79:BK79)&lt;1,IF($C79&lt;=BL$4,1/$E$41,0),0)</f>
        <v>0</v>
      </c>
      <c r="BM79" s="34">
        <f>IF(SUM($I79:BL79)&lt;1,IF($C79&lt;=BM$4,1/$E$41,0),0)</f>
        <v>0</v>
      </c>
      <c r="BN79" s="34">
        <f>IF(SUM($I79:BM79)&lt;1,IF($C79&lt;=BN$4,1/$E$41,0),0)</f>
        <v>0</v>
      </c>
      <c r="BO79" s="34">
        <f>IF(SUM($I79:BN79)&lt;1,IF($C79&lt;=BO$4,1/$E$41,0),0)</f>
        <v>0</v>
      </c>
      <c r="BP79" s="34">
        <f>IF(SUM($I79:BO79)&lt;1,IF($C79&lt;=BP$4,1/$E$41,0),0)</f>
        <v>0</v>
      </c>
      <c r="BQ79" s="34">
        <f>IF(SUM($I79:BP79)&lt;1,IF($C79&lt;=BQ$4,1/$E$41,0),0)</f>
        <v>0</v>
      </c>
      <c r="BR79" s="34">
        <f>IF(SUM($I79:BQ79)&lt;1,IF($C79&lt;=BR$4,1/$E$41,0),0)</f>
        <v>0</v>
      </c>
      <c r="BS79" s="34">
        <f>IF(SUM($I79:BR79)&lt;1,IF($C79&lt;=BS$4,1/$E$41,0),0)</f>
        <v>0</v>
      </c>
      <c r="BT79" s="34">
        <f>IF(SUM($I79:BS79)&lt;1,IF($C79&lt;=BT$4,1/$E$41,0),0)</f>
        <v>0</v>
      </c>
      <c r="BU79" s="34">
        <f>IF(SUM($I79:BT79)&lt;1,IF($C79&lt;=BU$4,1/$E$41,0),0)</f>
        <v>0</v>
      </c>
      <c r="BV79" s="34">
        <f>IF(SUM($I79:BU79)&lt;1,IF($C79&lt;=BV$4,1/$E$41,0),0)</f>
        <v>0</v>
      </c>
      <c r="BW79" s="34">
        <f>IF(SUM($I79:BV79)&lt;1,IF($C79&lt;=BW$4,1/$E$41,0),0)</f>
        <v>0</v>
      </c>
      <c r="BX79" s="34">
        <f>IF(SUM($I79:BW79)&lt;1,IF($C79&lt;=BX$4,1/$E$41,0),0)</f>
        <v>0</v>
      </c>
      <c r="BY79" s="34">
        <f>IF(SUM($I79:BX79)&lt;1,IF($C79&lt;=BY$4,1/$E$41,0),0)</f>
        <v>0</v>
      </c>
      <c r="BZ79" s="34">
        <f>IF(SUM($I79:BY79)&lt;1,IF($C79&lt;=BZ$4,1/$E$41,0),0)</f>
        <v>0</v>
      </c>
      <c r="CA79" s="34">
        <f>IF(SUM($I79:BZ79)&lt;1,IF($C79&lt;=CA$4,1/$E$41,0),0)</f>
        <v>0</v>
      </c>
      <c r="CB79" s="34">
        <f>IF(SUM($I79:CA79)&lt;1,IF($C79&lt;=CB$4,1/$E$41,0),0)</f>
        <v>0</v>
      </c>
      <c r="CC79" s="34">
        <f>IF(SUM($I79:CB79)&lt;1,IF($C79&lt;=CC$4,1/$E$41,0),0)</f>
        <v>0</v>
      </c>
      <c r="CD79" s="34">
        <f>IF(SUM($I79:CC79)&lt;1,IF($C79&lt;=CD$4,1/$E$41,0),0)</f>
        <v>0</v>
      </c>
      <c r="CE79" s="34">
        <f>IF(SUM($I79:CD79)&lt;1,IF($C79&lt;=CE$4,1/$E$41,0),0)</f>
        <v>0</v>
      </c>
      <c r="CF79" s="34">
        <f>IF(SUM($I79:CE79)&lt;1,IF($C79&lt;=CF$4,1/$E$41,0),0)</f>
        <v>0</v>
      </c>
      <c r="CG79" s="34">
        <f>IF(SUM($I79:CF79)&lt;1,IF($C79&lt;=CG$4,1/$E$41,0),0)</f>
        <v>0</v>
      </c>
      <c r="CH79" s="34">
        <f>IF(SUM($I79:CG79)&lt;1,IF($C79&lt;=CH$4,1/$E$41,0),0)</f>
        <v>0</v>
      </c>
      <c r="CI79" s="34">
        <f>IF(SUM($I79:CH79)&lt;1,IF($C79&lt;=CI$4,1/$E$41,0),0)</f>
        <v>0</v>
      </c>
      <c r="CJ79" s="34">
        <f>IF(SUM($I79:CI79)&lt;1,IF($C79&lt;=CJ$4,1/$E$41,0),0)</f>
        <v>0</v>
      </c>
      <c r="CK79" s="34">
        <f>IF(SUM($I79:CJ79)&lt;1,IF($C79&lt;=CK$4,1/$E$41,0),0)</f>
        <v>0</v>
      </c>
      <c r="CL79" s="34">
        <f>IF(SUM($I79:CK79)&lt;1,IF($C79&lt;=CL$4,1/$E$41,0),0)</f>
        <v>0</v>
      </c>
      <c r="CM79" s="34">
        <f>IF(SUM($I79:CL79)&lt;1,IF($C79&lt;=CM$4,1/$E$41,0),0)</f>
        <v>0</v>
      </c>
      <c r="CN79" s="34">
        <f>IF(SUM($I79:CM79)&lt;1,IF($C79&lt;=CN$4,1/$E$41,0),0)</f>
        <v>0</v>
      </c>
      <c r="CO79" s="34">
        <f>IF(SUM($I79:CN79)&lt;1,IF($C79&lt;=CO$4,1/$E$41,0),0)</f>
        <v>0</v>
      </c>
      <c r="CP79" s="34">
        <f>IF(SUM($I79:CO79)&lt;1,IF($C79&lt;=CP$4,1/$E$41,0),0)</f>
        <v>0</v>
      </c>
      <c r="CQ79" s="34">
        <f>IF(SUM($I79:CP79)&lt;1,IF($C79&lt;=CQ$4,1/$E$41,0),0)</f>
        <v>0</v>
      </c>
      <c r="CR79" s="34">
        <f>IF(SUM($I79:CQ79)&lt;1,IF($C79&lt;=CR$4,1/$E$41,0),0)</f>
        <v>0</v>
      </c>
      <c r="CS79" s="34">
        <f>IF(SUM($I79:CR79)&lt;1,IF($C79&lt;=CS$4,1/$E$41,0),0)</f>
        <v>0</v>
      </c>
      <c r="CT79" s="34">
        <f>IF(SUM($I79:CS79)&lt;1,IF($C79&lt;=CT$4,1/$E$41,0),0)</f>
        <v>0</v>
      </c>
      <c r="CU79" s="34">
        <f>IF(SUM($I79:CT79)&lt;1,IF($C79&lt;=CU$4,1/$E$41,0),0)</f>
        <v>0</v>
      </c>
      <c r="CV79" s="34">
        <f>IF(SUM($I79:CU79)&lt;1,IF($C79&lt;=CV$4,1/$E$41,0),0)</f>
        <v>0</v>
      </c>
      <c r="CW79" s="34">
        <f>IF(SUM($I79:CV79)&lt;1,IF($C79&lt;=CW$4,1/$E$41,0),0)</f>
        <v>0</v>
      </c>
      <c r="CX79" s="34">
        <f>IF(SUM($I79:CW79)&lt;1,IF($C79&lt;=CX$4,1/$E$41,0),0)</f>
        <v>0</v>
      </c>
      <c r="CY79" s="34">
        <f>IF(SUM($I79:CX79)&lt;1,IF($C79&lt;=CY$4,1/$E$41,0),0)</f>
        <v>0</v>
      </c>
      <c r="CZ79" s="34">
        <f>IF(SUM($I79:CY79)&lt;1,IF($C79&lt;=CZ$4,1/$E$41,0),0)</f>
        <v>0</v>
      </c>
      <c r="DA79" s="34">
        <f>IF(SUM($I79:CZ79)&lt;1,IF($C79&lt;=DA$4,1/$E$41,0),0)</f>
        <v>0</v>
      </c>
      <c r="DB79" s="34">
        <f>IF(SUM($I79:DA79)&lt;1,IF($C79&lt;=DB$4,1/$E$41,0),0)</f>
        <v>0</v>
      </c>
      <c r="DC79" s="34">
        <f>IF(SUM($I79:DB79)&lt;1,IF($C79&lt;=DC$4,1/$E$41,0),0)</f>
        <v>0</v>
      </c>
      <c r="DD79" s="34">
        <f>IF(SUM($I79:DC79)&lt;1,IF($C79&lt;=DD$4,1/$E$41,0),0)</f>
        <v>0</v>
      </c>
      <c r="DE79" s="34">
        <f>IF(SUM($I79:DD79)&lt;1,IF($C79&lt;=DE$4,1/$E$41,0),0)</f>
        <v>0</v>
      </c>
      <c r="DF79" s="34">
        <f>IF(SUM($I79:DE79)&lt;1,IF($C79&lt;=DF$4,1/$E$41,0),0)</f>
        <v>0</v>
      </c>
      <c r="DG79" s="34">
        <f>IF(SUM($I79:DF79)&lt;1,IF($C79&lt;=DG$4,1/$E$41,0),0)</f>
        <v>0</v>
      </c>
      <c r="DH79" s="34">
        <f>IF(SUM($I79:DG79)&lt;1,IF($C79&lt;=DH$4,1/$E$41,0),0)</f>
        <v>0</v>
      </c>
      <c r="DI79" s="34">
        <f>IF(SUM($I79:DH79)&lt;1,IF($C79&lt;=DI$4,1/$E$41,0),0)</f>
        <v>0</v>
      </c>
      <c r="DJ79" s="34">
        <f>IF(SUM($I79:DI79)&lt;1,IF($C79&lt;=DJ$4,1/$E$41,0),0)</f>
        <v>0</v>
      </c>
      <c r="DK79" s="34">
        <f>IF(SUM($I79:DJ79)&lt;1,IF($C79&lt;=DK$4,1/$E$41,0),0)</f>
        <v>0</v>
      </c>
      <c r="DL79" s="34">
        <f>IF(SUM($I79:DK79)&lt;1,IF($C79&lt;=DL$4,1/$E$41,0),0)</f>
        <v>0</v>
      </c>
      <c r="DM79" s="34">
        <f>IF(SUM($I79:DL79)&lt;1,IF($C79&lt;=DM$4,1/$E$41,0),0)</f>
        <v>0</v>
      </c>
    </row>
    <row r="80" spans="3:117" outlineLevel="1" x14ac:dyDescent="0.15">
      <c r="C80" s="50">
        <f t="shared" si="48"/>
        <v>36</v>
      </c>
      <c r="D80" s="5" t="s">
        <v>18</v>
      </c>
      <c r="E80" s="19">
        <f t="shared" si="49"/>
        <v>0</v>
      </c>
      <c r="I80" s="9"/>
      <c r="J80" s="34">
        <f>IF(SUM($I80:I80)&lt;1,IF($C80&lt;=J$4,1/$E$41,0),0)</f>
        <v>0</v>
      </c>
      <c r="K80" s="34">
        <f>IF(SUM($I80:J80)&lt;1,IF($C80&lt;=K$4,1/$E$41,0),0)</f>
        <v>0</v>
      </c>
      <c r="L80" s="34">
        <f>IF(SUM($I80:K80)&lt;1,IF($C80&lt;=L$4,1/$E$41,0),0)</f>
        <v>0</v>
      </c>
      <c r="M80" s="34">
        <f>IF(SUM($I80:L80)&lt;1,IF($C80&lt;=M$4,1/$E$41,0),0)</f>
        <v>0</v>
      </c>
      <c r="N80" s="34">
        <f>IF(SUM($I80:M80)&lt;1,IF($C80&lt;=N$4,1/$E$41,0),0)</f>
        <v>0</v>
      </c>
      <c r="O80" s="34">
        <f>IF(SUM($I80:N80)&lt;1,IF($C80&lt;=O$4,1/$E$41,0),0)</f>
        <v>0</v>
      </c>
      <c r="P80" s="34">
        <f>IF(SUM($I80:O80)&lt;1,IF($C80&lt;=P$4,1/$E$41,0),0)</f>
        <v>0</v>
      </c>
      <c r="Q80" s="34">
        <f>IF(SUM($I80:P80)&lt;1,IF($C80&lt;=Q$4,1/$E$41,0),0)</f>
        <v>0</v>
      </c>
      <c r="R80" s="34">
        <f>IF(SUM($I80:Q80)&lt;1,IF($C80&lt;=R$4,1/$E$41,0),0)</f>
        <v>0</v>
      </c>
      <c r="S80" s="34">
        <f>IF(SUM($I80:R80)&lt;1,IF($C80&lt;=S$4,1/$E$41,0),0)</f>
        <v>0</v>
      </c>
      <c r="T80" s="34">
        <f>IF(SUM($I80:S80)&lt;1,IF($C80&lt;=T$4,1/$E$41,0),0)</f>
        <v>0</v>
      </c>
      <c r="U80" s="34">
        <f>IF(SUM($I80:T80)&lt;1,IF($C80&lt;=U$4,1/$E$41,0),0)</f>
        <v>0</v>
      </c>
      <c r="V80" s="34">
        <f>IF(SUM($I80:U80)&lt;1,IF($C80&lt;=V$4,1/$E$41,0),0)</f>
        <v>0</v>
      </c>
      <c r="W80" s="34">
        <f>IF(SUM($I80:V80)&lt;1,IF($C80&lt;=W$4,1/$E$41,0),0)</f>
        <v>0</v>
      </c>
      <c r="X80" s="34">
        <f>IF(SUM($I80:W80)&lt;1,IF($C80&lt;=X$4,1/$E$41,0),0)</f>
        <v>0</v>
      </c>
      <c r="Y80" s="34">
        <f>IF(SUM($I80:X80)&lt;1,IF($C80&lt;=Y$4,1/$E$41,0),0)</f>
        <v>0</v>
      </c>
      <c r="Z80" s="34">
        <f>IF(SUM($I80:Y80)&lt;1,IF($C80&lt;=Z$4,1/$E$41,0),0)</f>
        <v>0</v>
      </c>
      <c r="AA80" s="34">
        <f>IF(SUM($I80:Z80)&lt;1,IF($C80&lt;=AA$4,1/$E$41,0),0)</f>
        <v>0</v>
      </c>
      <c r="AB80" s="34">
        <f>IF(SUM($I80:AA80)&lt;1,IF($C80&lt;=AB$4,1/$E$41,0),0)</f>
        <v>0</v>
      </c>
      <c r="AC80" s="34">
        <f>IF(SUM($I80:AB80)&lt;1,IF($C80&lt;=AC$4,1/$E$41,0),0)</f>
        <v>0</v>
      </c>
      <c r="AD80" s="34">
        <f>IF(SUM($I80:AC80)&lt;1,IF($C80&lt;=AD$4,1/$E$41,0),0)</f>
        <v>0</v>
      </c>
      <c r="AE80" s="34">
        <f>IF(SUM($I80:AD80)&lt;1,IF($C80&lt;=AE$4,1/$E$41,0),0)</f>
        <v>0</v>
      </c>
      <c r="AF80" s="34">
        <f>IF(SUM($I80:AE80)&lt;1,IF($C80&lt;=AF$4,1/$E$41,0),0)</f>
        <v>0</v>
      </c>
      <c r="AG80" s="34">
        <f>IF(SUM($I80:AF80)&lt;1,IF($C80&lt;=AG$4,1/$E$41,0),0)</f>
        <v>0</v>
      </c>
      <c r="AH80" s="34">
        <f>IF(SUM($I80:AG80)&lt;1,IF($C80&lt;=AH$4,1/$E$41,0),0)</f>
        <v>0</v>
      </c>
      <c r="AI80" s="34">
        <f>IF(SUM($I80:AH80)&lt;1,IF($C80&lt;=AI$4,1/$E$41,0),0)</f>
        <v>0</v>
      </c>
      <c r="AJ80" s="34">
        <f>IF(SUM($I80:AI80)&lt;1,IF($C80&lt;=AJ$4,1/$E$41,0),0)</f>
        <v>0</v>
      </c>
      <c r="AK80" s="34">
        <f>IF(SUM($I80:AJ80)&lt;1,IF($C80&lt;=AK$4,1/$E$41,0),0)</f>
        <v>0</v>
      </c>
      <c r="AL80" s="34">
        <f>IF(SUM($I80:AK80)&lt;1,IF($C80&lt;=AL$4,1/$E$41,0),0)</f>
        <v>0</v>
      </c>
      <c r="AM80" s="34">
        <f>IF(SUM($I80:AL80)&lt;1,IF($C80&lt;=AM$4,1/$E$41,0),0)</f>
        <v>0</v>
      </c>
      <c r="AN80" s="34">
        <f>IF(SUM($I80:AM80)&lt;1,IF($C80&lt;=AN$4,1/$E$41,0),0)</f>
        <v>0</v>
      </c>
      <c r="AO80" s="34">
        <f>IF(SUM($I80:AN80)&lt;1,IF($C80&lt;=AO$4,1/$E$41,0),0)</f>
        <v>0</v>
      </c>
      <c r="AP80" s="34">
        <f>IF(SUM($I80:AO80)&lt;1,IF($C80&lt;=AP$4,1/$E$41,0),0)</f>
        <v>0</v>
      </c>
      <c r="AQ80" s="34">
        <f>IF(SUM($I80:AP80)&lt;1,IF($C80&lt;=AQ$4,1/$E$41,0),0)</f>
        <v>0</v>
      </c>
      <c r="AR80" s="34">
        <f>IF(SUM($I80:AQ80)&lt;1,IF($C80&lt;=AR$4,1/$E$41,0),0)</f>
        <v>0</v>
      </c>
      <c r="AS80" s="34">
        <f>IF(SUM($I80:AR80)&lt;1,IF($C80&lt;=AS$4,1/$E$41,0),0)</f>
        <v>0.25</v>
      </c>
      <c r="AT80" s="34">
        <f>IF(SUM($I80:AS80)&lt;1,IF($C80&lt;=AT$4,1/$E$41,0),0)</f>
        <v>0.25</v>
      </c>
      <c r="AU80" s="34">
        <f>IF(SUM($I80:AT80)&lt;1,IF($C80&lt;=AU$4,1/$E$41,0),0)</f>
        <v>0.25</v>
      </c>
      <c r="AV80" s="34">
        <f>IF(SUM($I80:AU80)&lt;1,IF($C80&lt;=AV$4,1/$E$41,0),0)</f>
        <v>0.25</v>
      </c>
      <c r="AW80" s="34">
        <f>IF(SUM($I80:AV80)&lt;1,IF($C80&lt;=AW$4,1/$E$41,0),0)</f>
        <v>0</v>
      </c>
      <c r="AX80" s="34">
        <f>IF(SUM($I80:AW80)&lt;1,IF($C80&lt;=AX$4,1/$E$41,0),0)</f>
        <v>0</v>
      </c>
      <c r="AY80" s="34">
        <f>IF(SUM($I80:AX80)&lt;1,IF($C80&lt;=AY$4,1/$E$41,0),0)</f>
        <v>0</v>
      </c>
      <c r="AZ80" s="34">
        <f>IF(SUM($I80:AY80)&lt;1,IF($C80&lt;=AZ$4,1/$E$41,0),0)</f>
        <v>0</v>
      </c>
      <c r="BA80" s="34">
        <f>IF(SUM($I80:AZ80)&lt;1,IF($C80&lt;=BA$4,1/$E$41,0),0)</f>
        <v>0</v>
      </c>
      <c r="BB80" s="34">
        <f>IF(SUM($I80:BA80)&lt;1,IF($C80&lt;=BB$4,1/$E$41,0),0)</f>
        <v>0</v>
      </c>
      <c r="BC80" s="34">
        <f>IF(SUM($I80:BB80)&lt;1,IF($C80&lt;=BC$4,1/$E$41,0),0)</f>
        <v>0</v>
      </c>
      <c r="BD80" s="34">
        <f>IF(SUM($I80:BC80)&lt;1,IF($C80&lt;=BD$4,1/$E$41,0),0)</f>
        <v>0</v>
      </c>
      <c r="BE80" s="34">
        <f>IF(SUM($I80:BD80)&lt;1,IF($C80&lt;=BE$4,1/$E$41,0),0)</f>
        <v>0</v>
      </c>
      <c r="BF80" s="34">
        <f>IF(SUM($I80:BE80)&lt;1,IF($C80&lt;=BF$4,1/$E$41,0),0)</f>
        <v>0</v>
      </c>
      <c r="BG80" s="34">
        <f>IF(SUM($I80:BF80)&lt;1,IF($C80&lt;=BG$4,1/$E$41,0),0)</f>
        <v>0</v>
      </c>
      <c r="BH80" s="34">
        <f>IF(SUM($I80:BG80)&lt;1,IF($C80&lt;=BH$4,1/$E$41,0),0)</f>
        <v>0</v>
      </c>
      <c r="BI80" s="34">
        <f>IF(SUM($I80:BH80)&lt;1,IF($C80&lt;=BI$4,1/$E$41,0),0)</f>
        <v>0</v>
      </c>
      <c r="BJ80" s="34">
        <f>IF(SUM($I80:BI80)&lt;1,IF($C80&lt;=BJ$4,1/$E$41,0),0)</f>
        <v>0</v>
      </c>
      <c r="BK80" s="34">
        <f>IF(SUM($I80:BJ80)&lt;1,IF($C80&lt;=BK$4,1/$E$41,0),0)</f>
        <v>0</v>
      </c>
      <c r="BL80" s="34">
        <f>IF(SUM($I80:BK80)&lt;1,IF($C80&lt;=BL$4,1/$E$41,0),0)</f>
        <v>0</v>
      </c>
      <c r="BM80" s="34">
        <f>IF(SUM($I80:BL80)&lt;1,IF($C80&lt;=BM$4,1/$E$41,0),0)</f>
        <v>0</v>
      </c>
      <c r="BN80" s="34">
        <f>IF(SUM($I80:BM80)&lt;1,IF($C80&lt;=BN$4,1/$E$41,0),0)</f>
        <v>0</v>
      </c>
      <c r="BO80" s="34">
        <f>IF(SUM($I80:BN80)&lt;1,IF($C80&lt;=BO$4,1/$E$41,0),0)</f>
        <v>0</v>
      </c>
      <c r="BP80" s="34">
        <f>IF(SUM($I80:BO80)&lt;1,IF($C80&lt;=BP$4,1/$E$41,0),0)</f>
        <v>0</v>
      </c>
      <c r="BQ80" s="34">
        <f>IF(SUM($I80:BP80)&lt;1,IF($C80&lt;=BQ$4,1/$E$41,0),0)</f>
        <v>0</v>
      </c>
      <c r="BR80" s="34">
        <f>IF(SUM($I80:BQ80)&lt;1,IF($C80&lt;=BR$4,1/$E$41,0),0)</f>
        <v>0</v>
      </c>
      <c r="BS80" s="34">
        <f>IF(SUM($I80:BR80)&lt;1,IF($C80&lt;=BS$4,1/$E$41,0),0)</f>
        <v>0</v>
      </c>
      <c r="BT80" s="34">
        <f>IF(SUM($I80:BS80)&lt;1,IF($C80&lt;=BT$4,1/$E$41,0),0)</f>
        <v>0</v>
      </c>
      <c r="BU80" s="34">
        <f>IF(SUM($I80:BT80)&lt;1,IF($C80&lt;=BU$4,1/$E$41,0),0)</f>
        <v>0</v>
      </c>
      <c r="BV80" s="34">
        <f>IF(SUM($I80:BU80)&lt;1,IF($C80&lt;=BV$4,1/$E$41,0),0)</f>
        <v>0</v>
      </c>
      <c r="BW80" s="34">
        <f>IF(SUM($I80:BV80)&lt;1,IF($C80&lt;=BW$4,1/$E$41,0),0)</f>
        <v>0</v>
      </c>
      <c r="BX80" s="34">
        <f>IF(SUM($I80:BW80)&lt;1,IF($C80&lt;=BX$4,1/$E$41,0),0)</f>
        <v>0</v>
      </c>
      <c r="BY80" s="34">
        <f>IF(SUM($I80:BX80)&lt;1,IF($C80&lt;=BY$4,1/$E$41,0),0)</f>
        <v>0</v>
      </c>
      <c r="BZ80" s="34">
        <f>IF(SUM($I80:BY80)&lt;1,IF($C80&lt;=BZ$4,1/$E$41,0),0)</f>
        <v>0</v>
      </c>
      <c r="CA80" s="34">
        <f>IF(SUM($I80:BZ80)&lt;1,IF($C80&lt;=CA$4,1/$E$41,0),0)</f>
        <v>0</v>
      </c>
      <c r="CB80" s="34">
        <f>IF(SUM($I80:CA80)&lt;1,IF($C80&lt;=CB$4,1/$E$41,0),0)</f>
        <v>0</v>
      </c>
      <c r="CC80" s="34">
        <f>IF(SUM($I80:CB80)&lt;1,IF($C80&lt;=CC$4,1/$E$41,0),0)</f>
        <v>0</v>
      </c>
      <c r="CD80" s="34">
        <f>IF(SUM($I80:CC80)&lt;1,IF($C80&lt;=CD$4,1/$E$41,0),0)</f>
        <v>0</v>
      </c>
      <c r="CE80" s="34">
        <f>IF(SUM($I80:CD80)&lt;1,IF($C80&lt;=CE$4,1/$E$41,0),0)</f>
        <v>0</v>
      </c>
      <c r="CF80" s="34">
        <f>IF(SUM($I80:CE80)&lt;1,IF($C80&lt;=CF$4,1/$E$41,0),0)</f>
        <v>0</v>
      </c>
      <c r="CG80" s="34">
        <f>IF(SUM($I80:CF80)&lt;1,IF($C80&lt;=CG$4,1/$E$41,0),0)</f>
        <v>0</v>
      </c>
      <c r="CH80" s="34">
        <f>IF(SUM($I80:CG80)&lt;1,IF($C80&lt;=CH$4,1/$E$41,0),0)</f>
        <v>0</v>
      </c>
      <c r="CI80" s="34">
        <f>IF(SUM($I80:CH80)&lt;1,IF($C80&lt;=CI$4,1/$E$41,0),0)</f>
        <v>0</v>
      </c>
      <c r="CJ80" s="34">
        <f>IF(SUM($I80:CI80)&lt;1,IF($C80&lt;=CJ$4,1/$E$41,0),0)</f>
        <v>0</v>
      </c>
      <c r="CK80" s="34">
        <f>IF(SUM($I80:CJ80)&lt;1,IF($C80&lt;=CK$4,1/$E$41,0),0)</f>
        <v>0</v>
      </c>
      <c r="CL80" s="34">
        <f>IF(SUM($I80:CK80)&lt;1,IF($C80&lt;=CL$4,1/$E$41,0),0)</f>
        <v>0</v>
      </c>
      <c r="CM80" s="34">
        <f>IF(SUM($I80:CL80)&lt;1,IF($C80&lt;=CM$4,1/$E$41,0),0)</f>
        <v>0</v>
      </c>
      <c r="CN80" s="34">
        <f>IF(SUM($I80:CM80)&lt;1,IF($C80&lt;=CN$4,1/$E$41,0),0)</f>
        <v>0</v>
      </c>
      <c r="CO80" s="34">
        <f>IF(SUM($I80:CN80)&lt;1,IF($C80&lt;=CO$4,1/$E$41,0),0)</f>
        <v>0</v>
      </c>
      <c r="CP80" s="34">
        <f>IF(SUM($I80:CO80)&lt;1,IF($C80&lt;=CP$4,1/$E$41,0),0)</f>
        <v>0</v>
      </c>
      <c r="CQ80" s="34">
        <f>IF(SUM($I80:CP80)&lt;1,IF($C80&lt;=CQ$4,1/$E$41,0),0)</f>
        <v>0</v>
      </c>
      <c r="CR80" s="34">
        <f>IF(SUM($I80:CQ80)&lt;1,IF($C80&lt;=CR$4,1/$E$41,0),0)</f>
        <v>0</v>
      </c>
      <c r="CS80" s="34">
        <f>IF(SUM($I80:CR80)&lt;1,IF($C80&lt;=CS$4,1/$E$41,0),0)</f>
        <v>0</v>
      </c>
      <c r="CT80" s="34">
        <f>IF(SUM($I80:CS80)&lt;1,IF($C80&lt;=CT$4,1/$E$41,0),0)</f>
        <v>0</v>
      </c>
      <c r="CU80" s="34">
        <f>IF(SUM($I80:CT80)&lt;1,IF($C80&lt;=CU$4,1/$E$41,0),0)</f>
        <v>0</v>
      </c>
      <c r="CV80" s="34">
        <f>IF(SUM($I80:CU80)&lt;1,IF($C80&lt;=CV$4,1/$E$41,0),0)</f>
        <v>0</v>
      </c>
      <c r="CW80" s="34">
        <f>IF(SUM($I80:CV80)&lt;1,IF($C80&lt;=CW$4,1/$E$41,0),0)</f>
        <v>0</v>
      </c>
      <c r="CX80" s="34">
        <f>IF(SUM($I80:CW80)&lt;1,IF($C80&lt;=CX$4,1/$E$41,0),0)</f>
        <v>0</v>
      </c>
      <c r="CY80" s="34">
        <f>IF(SUM($I80:CX80)&lt;1,IF($C80&lt;=CY$4,1/$E$41,0),0)</f>
        <v>0</v>
      </c>
      <c r="CZ80" s="34">
        <f>IF(SUM($I80:CY80)&lt;1,IF($C80&lt;=CZ$4,1/$E$41,0),0)</f>
        <v>0</v>
      </c>
      <c r="DA80" s="34">
        <f>IF(SUM($I80:CZ80)&lt;1,IF($C80&lt;=DA$4,1/$E$41,0),0)</f>
        <v>0</v>
      </c>
      <c r="DB80" s="34">
        <f>IF(SUM($I80:DA80)&lt;1,IF($C80&lt;=DB$4,1/$E$41,0),0)</f>
        <v>0</v>
      </c>
      <c r="DC80" s="34">
        <f>IF(SUM($I80:DB80)&lt;1,IF($C80&lt;=DC$4,1/$E$41,0),0)</f>
        <v>0</v>
      </c>
      <c r="DD80" s="34">
        <f>IF(SUM($I80:DC80)&lt;1,IF($C80&lt;=DD$4,1/$E$41,0),0)</f>
        <v>0</v>
      </c>
      <c r="DE80" s="34">
        <f>IF(SUM($I80:DD80)&lt;1,IF($C80&lt;=DE$4,1/$E$41,0),0)</f>
        <v>0</v>
      </c>
      <c r="DF80" s="34">
        <f>IF(SUM($I80:DE80)&lt;1,IF($C80&lt;=DF$4,1/$E$41,0),0)</f>
        <v>0</v>
      </c>
      <c r="DG80" s="34">
        <f>IF(SUM($I80:DF80)&lt;1,IF($C80&lt;=DG$4,1/$E$41,0),0)</f>
        <v>0</v>
      </c>
      <c r="DH80" s="34">
        <f>IF(SUM($I80:DG80)&lt;1,IF($C80&lt;=DH$4,1/$E$41,0),0)</f>
        <v>0</v>
      </c>
      <c r="DI80" s="34">
        <f>IF(SUM($I80:DH80)&lt;1,IF($C80&lt;=DI$4,1/$E$41,0),0)</f>
        <v>0</v>
      </c>
      <c r="DJ80" s="34">
        <f>IF(SUM($I80:DI80)&lt;1,IF($C80&lt;=DJ$4,1/$E$41,0),0)</f>
        <v>0</v>
      </c>
      <c r="DK80" s="34">
        <f>IF(SUM($I80:DJ80)&lt;1,IF($C80&lt;=DK$4,1/$E$41,0),0)</f>
        <v>0</v>
      </c>
      <c r="DL80" s="34">
        <f>IF(SUM($I80:DK80)&lt;1,IF($C80&lt;=DL$4,1/$E$41,0),0)</f>
        <v>0</v>
      </c>
      <c r="DM80" s="34">
        <f>IF(SUM($I80:DL80)&lt;1,IF($C80&lt;=DM$4,1/$E$41,0),0)</f>
        <v>0</v>
      </c>
    </row>
    <row r="81" spans="3:117" outlineLevel="1" x14ac:dyDescent="0.15">
      <c r="C81" s="50">
        <f t="shared" si="48"/>
        <v>37</v>
      </c>
      <c r="D81" s="5" t="s">
        <v>18</v>
      </c>
      <c r="E81" s="19">
        <f t="shared" si="49"/>
        <v>0</v>
      </c>
      <c r="I81" s="9"/>
      <c r="J81" s="34">
        <f>IF(SUM($I81:I81)&lt;1,IF($C81&lt;=J$4,1/$E$41,0),0)</f>
        <v>0</v>
      </c>
      <c r="K81" s="34">
        <f>IF(SUM($I81:J81)&lt;1,IF($C81&lt;=K$4,1/$E$41,0),0)</f>
        <v>0</v>
      </c>
      <c r="L81" s="34">
        <f>IF(SUM($I81:K81)&lt;1,IF($C81&lt;=L$4,1/$E$41,0),0)</f>
        <v>0</v>
      </c>
      <c r="M81" s="34">
        <f>IF(SUM($I81:L81)&lt;1,IF($C81&lt;=M$4,1/$E$41,0),0)</f>
        <v>0</v>
      </c>
      <c r="N81" s="34">
        <f>IF(SUM($I81:M81)&lt;1,IF($C81&lt;=N$4,1/$E$41,0),0)</f>
        <v>0</v>
      </c>
      <c r="O81" s="34">
        <f>IF(SUM($I81:N81)&lt;1,IF($C81&lt;=O$4,1/$E$41,0),0)</f>
        <v>0</v>
      </c>
      <c r="P81" s="34">
        <f>IF(SUM($I81:O81)&lt;1,IF($C81&lt;=P$4,1/$E$41,0),0)</f>
        <v>0</v>
      </c>
      <c r="Q81" s="34">
        <f>IF(SUM($I81:P81)&lt;1,IF($C81&lt;=Q$4,1/$E$41,0),0)</f>
        <v>0</v>
      </c>
      <c r="R81" s="34">
        <f>IF(SUM($I81:Q81)&lt;1,IF($C81&lt;=R$4,1/$E$41,0),0)</f>
        <v>0</v>
      </c>
      <c r="S81" s="34">
        <f>IF(SUM($I81:R81)&lt;1,IF($C81&lt;=S$4,1/$E$41,0),0)</f>
        <v>0</v>
      </c>
      <c r="T81" s="34">
        <f>IF(SUM($I81:S81)&lt;1,IF($C81&lt;=T$4,1/$E$41,0),0)</f>
        <v>0</v>
      </c>
      <c r="U81" s="34">
        <f>IF(SUM($I81:T81)&lt;1,IF($C81&lt;=U$4,1/$E$41,0),0)</f>
        <v>0</v>
      </c>
      <c r="V81" s="34">
        <f>IF(SUM($I81:U81)&lt;1,IF($C81&lt;=V$4,1/$E$41,0),0)</f>
        <v>0</v>
      </c>
      <c r="W81" s="34">
        <f>IF(SUM($I81:V81)&lt;1,IF($C81&lt;=W$4,1/$E$41,0),0)</f>
        <v>0</v>
      </c>
      <c r="X81" s="34">
        <f>IF(SUM($I81:W81)&lt;1,IF($C81&lt;=X$4,1/$E$41,0),0)</f>
        <v>0</v>
      </c>
      <c r="Y81" s="34">
        <f>IF(SUM($I81:X81)&lt;1,IF($C81&lt;=Y$4,1/$E$41,0),0)</f>
        <v>0</v>
      </c>
      <c r="Z81" s="34">
        <f>IF(SUM($I81:Y81)&lt;1,IF($C81&lt;=Z$4,1/$E$41,0),0)</f>
        <v>0</v>
      </c>
      <c r="AA81" s="34">
        <f>IF(SUM($I81:Z81)&lt;1,IF($C81&lt;=AA$4,1/$E$41,0),0)</f>
        <v>0</v>
      </c>
      <c r="AB81" s="34">
        <f>IF(SUM($I81:AA81)&lt;1,IF($C81&lt;=AB$4,1/$E$41,0),0)</f>
        <v>0</v>
      </c>
      <c r="AC81" s="34">
        <f>IF(SUM($I81:AB81)&lt;1,IF($C81&lt;=AC$4,1/$E$41,0),0)</f>
        <v>0</v>
      </c>
      <c r="AD81" s="34">
        <f>IF(SUM($I81:AC81)&lt;1,IF($C81&lt;=AD$4,1/$E$41,0),0)</f>
        <v>0</v>
      </c>
      <c r="AE81" s="34">
        <f>IF(SUM($I81:AD81)&lt;1,IF($C81&lt;=AE$4,1/$E$41,0),0)</f>
        <v>0</v>
      </c>
      <c r="AF81" s="34">
        <f>IF(SUM($I81:AE81)&lt;1,IF($C81&lt;=AF$4,1/$E$41,0),0)</f>
        <v>0</v>
      </c>
      <c r="AG81" s="34">
        <f>IF(SUM($I81:AF81)&lt;1,IF($C81&lt;=AG$4,1/$E$41,0),0)</f>
        <v>0</v>
      </c>
      <c r="AH81" s="34">
        <f>IF(SUM($I81:AG81)&lt;1,IF($C81&lt;=AH$4,1/$E$41,0),0)</f>
        <v>0</v>
      </c>
      <c r="AI81" s="34">
        <f>IF(SUM($I81:AH81)&lt;1,IF($C81&lt;=AI$4,1/$E$41,0),0)</f>
        <v>0</v>
      </c>
      <c r="AJ81" s="34">
        <f>IF(SUM($I81:AI81)&lt;1,IF($C81&lt;=AJ$4,1/$E$41,0),0)</f>
        <v>0</v>
      </c>
      <c r="AK81" s="34">
        <f>IF(SUM($I81:AJ81)&lt;1,IF($C81&lt;=AK$4,1/$E$41,0),0)</f>
        <v>0</v>
      </c>
      <c r="AL81" s="34">
        <f>IF(SUM($I81:AK81)&lt;1,IF($C81&lt;=AL$4,1/$E$41,0),0)</f>
        <v>0</v>
      </c>
      <c r="AM81" s="34">
        <f>IF(SUM($I81:AL81)&lt;1,IF($C81&lt;=AM$4,1/$E$41,0),0)</f>
        <v>0</v>
      </c>
      <c r="AN81" s="34">
        <f>IF(SUM($I81:AM81)&lt;1,IF($C81&lt;=AN$4,1/$E$41,0),0)</f>
        <v>0</v>
      </c>
      <c r="AO81" s="34">
        <f>IF(SUM($I81:AN81)&lt;1,IF($C81&lt;=AO$4,1/$E$41,0),0)</f>
        <v>0</v>
      </c>
      <c r="AP81" s="34">
        <f>IF(SUM($I81:AO81)&lt;1,IF($C81&lt;=AP$4,1/$E$41,0),0)</f>
        <v>0</v>
      </c>
      <c r="AQ81" s="34">
        <f>IF(SUM($I81:AP81)&lt;1,IF($C81&lt;=AQ$4,1/$E$41,0),0)</f>
        <v>0</v>
      </c>
      <c r="AR81" s="34">
        <f>IF(SUM($I81:AQ81)&lt;1,IF($C81&lt;=AR$4,1/$E$41,0),0)</f>
        <v>0</v>
      </c>
      <c r="AS81" s="34">
        <f>IF(SUM($I81:AR81)&lt;1,IF($C81&lt;=AS$4,1/$E$41,0),0)</f>
        <v>0</v>
      </c>
      <c r="AT81" s="34">
        <f>IF(SUM($I81:AS81)&lt;1,IF($C81&lt;=AT$4,1/$E$41,0),0)</f>
        <v>0.25</v>
      </c>
      <c r="AU81" s="34">
        <f>IF(SUM($I81:AT81)&lt;1,IF($C81&lt;=AU$4,1/$E$41,0),0)</f>
        <v>0.25</v>
      </c>
      <c r="AV81" s="34">
        <f>IF(SUM($I81:AU81)&lt;1,IF($C81&lt;=AV$4,1/$E$41,0),0)</f>
        <v>0.25</v>
      </c>
      <c r="AW81" s="34">
        <f>IF(SUM($I81:AV81)&lt;1,IF($C81&lt;=AW$4,1/$E$41,0),0)</f>
        <v>0.25</v>
      </c>
      <c r="AX81" s="34">
        <f>IF(SUM($I81:AW81)&lt;1,IF($C81&lt;=AX$4,1/$E$41,0),0)</f>
        <v>0</v>
      </c>
      <c r="AY81" s="34">
        <f>IF(SUM($I81:AX81)&lt;1,IF($C81&lt;=AY$4,1/$E$41,0),0)</f>
        <v>0</v>
      </c>
      <c r="AZ81" s="34">
        <f>IF(SUM($I81:AY81)&lt;1,IF($C81&lt;=AZ$4,1/$E$41,0),0)</f>
        <v>0</v>
      </c>
      <c r="BA81" s="34">
        <f>IF(SUM($I81:AZ81)&lt;1,IF($C81&lt;=BA$4,1/$E$41,0),0)</f>
        <v>0</v>
      </c>
      <c r="BB81" s="34">
        <f>IF(SUM($I81:BA81)&lt;1,IF($C81&lt;=BB$4,1/$E$41,0),0)</f>
        <v>0</v>
      </c>
      <c r="BC81" s="34">
        <f>IF(SUM($I81:BB81)&lt;1,IF($C81&lt;=BC$4,1/$E$41,0),0)</f>
        <v>0</v>
      </c>
      <c r="BD81" s="34">
        <f>IF(SUM($I81:BC81)&lt;1,IF($C81&lt;=BD$4,1/$E$41,0),0)</f>
        <v>0</v>
      </c>
      <c r="BE81" s="34">
        <f>IF(SUM($I81:BD81)&lt;1,IF($C81&lt;=BE$4,1/$E$41,0),0)</f>
        <v>0</v>
      </c>
      <c r="BF81" s="34">
        <f>IF(SUM($I81:BE81)&lt;1,IF($C81&lt;=BF$4,1/$E$41,0),0)</f>
        <v>0</v>
      </c>
      <c r="BG81" s="34">
        <f>IF(SUM($I81:BF81)&lt;1,IF($C81&lt;=BG$4,1/$E$41,0),0)</f>
        <v>0</v>
      </c>
      <c r="BH81" s="34">
        <f>IF(SUM($I81:BG81)&lt;1,IF($C81&lt;=BH$4,1/$E$41,0),0)</f>
        <v>0</v>
      </c>
      <c r="BI81" s="34">
        <f>IF(SUM($I81:BH81)&lt;1,IF($C81&lt;=BI$4,1/$E$41,0),0)</f>
        <v>0</v>
      </c>
      <c r="BJ81" s="34">
        <f>IF(SUM($I81:BI81)&lt;1,IF($C81&lt;=BJ$4,1/$E$41,0),0)</f>
        <v>0</v>
      </c>
      <c r="BK81" s="34">
        <f>IF(SUM($I81:BJ81)&lt;1,IF($C81&lt;=BK$4,1/$E$41,0),0)</f>
        <v>0</v>
      </c>
      <c r="BL81" s="34">
        <f>IF(SUM($I81:BK81)&lt;1,IF($C81&lt;=BL$4,1/$E$41,0),0)</f>
        <v>0</v>
      </c>
      <c r="BM81" s="34">
        <f>IF(SUM($I81:BL81)&lt;1,IF($C81&lt;=BM$4,1/$E$41,0),0)</f>
        <v>0</v>
      </c>
      <c r="BN81" s="34">
        <f>IF(SUM($I81:BM81)&lt;1,IF($C81&lt;=BN$4,1/$E$41,0),0)</f>
        <v>0</v>
      </c>
      <c r="BO81" s="34">
        <f>IF(SUM($I81:BN81)&lt;1,IF($C81&lt;=BO$4,1/$E$41,0),0)</f>
        <v>0</v>
      </c>
      <c r="BP81" s="34">
        <f>IF(SUM($I81:BO81)&lt;1,IF($C81&lt;=BP$4,1/$E$41,0),0)</f>
        <v>0</v>
      </c>
      <c r="BQ81" s="34">
        <f>IF(SUM($I81:BP81)&lt;1,IF($C81&lt;=BQ$4,1/$E$41,0),0)</f>
        <v>0</v>
      </c>
      <c r="BR81" s="34">
        <f>IF(SUM($I81:BQ81)&lt;1,IF($C81&lt;=BR$4,1/$E$41,0),0)</f>
        <v>0</v>
      </c>
      <c r="BS81" s="34">
        <f>IF(SUM($I81:BR81)&lt;1,IF($C81&lt;=BS$4,1/$E$41,0),0)</f>
        <v>0</v>
      </c>
      <c r="BT81" s="34">
        <f>IF(SUM($I81:BS81)&lt;1,IF($C81&lt;=BT$4,1/$E$41,0),0)</f>
        <v>0</v>
      </c>
      <c r="BU81" s="34">
        <f>IF(SUM($I81:BT81)&lt;1,IF($C81&lt;=BU$4,1/$E$41,0),0)</f>
        <v>0</v>
      </c>
      <c r="BV81" s="34">
        <f>IF(SUM($I81:BU81)&lt;1,IF($C81&lt;=BV$4,1/$E$41,0),0)</f>
        <v>0</v>
      </c>
      <c r="BW81" s="34">
        <f>IF(SUM($I81:BV81)&lt;1,IF($C81&lt;=BW$4,1/$E$41,0),0)</f>
        <v>0</v>
      </c>
      <c r="BX81" s="34">
        <f>IF(SUM($I81:BW81)&lt;1,IF($C81&lt;=BX$4,1/$E$41,0),0)</f>
        <v>0</v>
      </c>
      <c r="BY81" s="34">
        <f>IF(SUM($I81:BX81)&lt;1,IF($C81&lt;=BY$4,1/$E$41,0),0)</f>
        <v>0</v>
      </c>
      <c r="BZ81" s="34">
        <f>IF(SUM($I81:BY81)&lt;1,IF($C81&lt;=BZ$4,1/$E$41,0),0)</f>
        <v>0</v>
      </c>
      <c r="CA81" s="34">
        <f>IF(SUM($I81:BZ81)&lt;1,IF($C81&lt;=CA$4,1/$E$41,0),0)</f>
        <v>0</v>
      </c>
      <c r="CB81" s="34">
        <f>IF(SUM($I81:CA81)&lt;1,IF($C81&lt;=CB$4,1/$E$41,0),0)</f>
        <v>0</v>
      </c>
      <c r="CC81" s="34">
        <f>IF(SUM($I81:CB81)&lt;1,IF($C81&lt;=CC$4,1/$E$41,0),0)</f>
        <v>0</v>
      </c>
      <c r="CD81" s="34">
        <f>IF(SUM($I81:CC81)&lt;1,IF($C81&lt;=CD$4,1/$E$41,0),0)</f>
        <v>0</v>
      </c>
      <c r="CE81" s="34">
        <f>IF(SUM($I81:CD81)&lt;1,IF($C81&lt;=CE$4,1/$E$41,0),0)</f>
        <v>0</v>
      </c>
      <c r="CF81" s="34">
        <f>IF(SUM($I81:CE81)&lt;1,IF($C81&lt;=CF$4,1/$E$41,0),0)</f>
        <v>0</v>
      </c>
      <c r="CG81" s="34">
        <f>IF(SUM($I81:CF81)&lt;1,IF($C81&lt;=CG$4,1/$E$41,0),0)</f>
        <v>0</v>
      </c>
      <c r="CH81" s="34">
        <f>IF(SUM($I81:CG81)&lt;1,IF($C81&lt;=CH$4,1/$E$41,0),0)</f>
        <v>0</v>
      </c>
      <c r="CI81" s="34">
        <f>IF(SUM($I81:CH81)&lt;1,IF($C81&lt;=CI$4,1/$E$41,0),0)</f>
        <v>0</v>
      </c>
      <c r="CJ81" s="34">
        <f>IF(SUM($I81:CI81)&lt;1,IF($C81&lt;=CJ$4,1/$E$41,0),0)</f>
        <v>0</v>
      </c>
      <c r="CK81" s="34">
        <f>IF(SUM($I81:CJ81)&lt;1,IF($C81&lt;=CK$4,1/$E$41,0),0)</f>
        <v>0</v>
      </c>
      <c r="CL81" s="34">
        <f>IF(SUM($I81:CK81)&lt;1,IF($C81&lt;=CL$4,1/$E$41,0),0)</f>
        <v>0</v>
      </c>
      <c r="CM81" s="34">
        <f>IF(SUM($I81:CL81)&lt;1,IF($C81&lt;=CM$4,1/$E$41,0),0)</f>
        <v>0</v>
      </c>
      <c r="CN81" s="34">
        <f>IF(SUM($I81:CM81)&lt;1,IF($C81&lt;=CN$4,1/$E$41,0),0)</f>
        <v>0</v>
      </c>
      <c r="CO81" s="34">
        <f>IF(SUM($I81:CN81)&lt;1,IF($C81&lt;=CO$4,1/$E$41,0),0)</f>
        <v>0</v>
      </c>
      <c r="CP81" s="34">
        <f>IF(SUM($I81:CO81)&lt;1,IF($C81&lt;=CP$4,1/$E$41,0),0)</f>
        <v>0</v>
      </c>
      <c r="CQ81" s="34">
        <f>IF(SUM($I81:CP81)&lt;1,IF($C81&lt;=CQ$4,1/$E$41,0),0)</f>
        <v>0</v>
      </c>
      <c r="CR81" s="34">
        <f>IF(SUM($I81:CQ81)&lt;1,IF($C81&lt;=CR$4,1/$E$41,0),0)</f>
        <v>0</v>
      </c>
      <c r="CS81" s="34">
        <f>IF(SUM($I81:CR81)&lt;1,IF($C81&lt;=CS$4,1/$E$41,0),0)</f>
        <v>0</v>
      </c>
      <c r="CT81" s="34">
        <f>IF(SUM($I81:CS81)&lt;1,IF($C81&lt;=CT$4,1/$E$41,0),0)</f>
        <v>0</v>
      </c>
      <c r="CU81" s="34">
        <f>IF(SUM($I81:CT81)&lt;1,IF($C81&lt;=CU$4,1/$E$41,0),0)</f>
        <v>0</v>
      </c>
      <c r="CV81" s="34">
        <f>IF(SUM($I81:CU81)&lt;1,IF($C81&lt;=CV$4,1/$E$41,0),0)</f>
        <v>0</v>
      </c>
      <c r="CW81" s="34">
        <f>IF(SUM($I81:CV81)&lt;1,IF($C81&lt;=CW$4,1/$E$41,0),0)</f>
        <v>0</v>
      </c>
      <c r="CX81" s="34">
        <f>IF(SUM($I81:CW81)&lt;1,IF($C81&lt;=CX$4,1/$E$41,0),0)</f>
        <v>0</v>
      </c>
      <c r="CY81" s="34">
        <f>IF(SUM($I81:CX81)&lt;1,IF($C81&lt;=CY$4,1/$E$41,0),0)</f>
        <v>0</v>
      </c>
      <c r="CZ81" s="34">
        <f>IF(SUM($I81:CY81)&lt;1,IF($C81&lt;=CZ$4,1/$E$41,0),0)</f>
        <v>0</v>
      </c>
      <c r="DA81" s="34">
        <f>IF(SUM($I81:CZ81)&lt;1,IF($C81&lt;=DA$4,1/$E$41,0),0)</f>
        <v>0</v>
      </c>
      <c r="DB81" s="34">
        <f>IF(SUM($I81:DA81)&lt;1,IF($C81&lt;=DB$4,1/$E$41,0),0)</f>
        <v>0</v>
      </c>
      <c r="DC81" s="34">
        <f>IF(SUM($I81:DB81)&lt;1,IF($C81&lt;=DC$4,1/$E$41,0),0)</f>
        <v>0</v>
      </c>
      <c r="DD81" s="34">
        <f>IF(SUM($I81:DC81)&lt;1,IF($C81&lt;=DD$4,1/$E$41,0),0)</f>
        <v>0</v>
      </c>
      <c r="DE81" s="34">
        <f>IF(SUM($I81:DD81)&lt;1,IF($C81&lt;=DE$4,1/$E$41,0),0)</f>
        <v>0</v>
      </c>
      <c r="DF81" s="34">
        <f>IF(SUM($I81:DE81)&lt;1,IF($C81&lt;=DF$4,1/$E$41,0),0)</f>
        <v>0</v>
      </c>
      <c r="DG81" s="34">
        <f>IF(SUM($I81:DF81)&lt;1,IF($C81&lt;=DG$4,1/$E$41,0),0)</f>
        <v>0</v>
      </c>
      <c r="DH81" s="34">
        <f>IF(SUM($I81:DG81)&lt;1,IF($C81&lt;=DH$4,1/$E$41,0),0)</f>
        <v>0</v>
      </c>
      <c r="DI81" s="34">
        <f>IF(SUM($I81:DH81)&lt;1,IF($C81&lt;=DI$4,1/$E$41,0),0)</f>
        <v>0</v>
      </c>
      <c r="DJ81" s="34">
        <f>IF(SUM($I81:DI81)&lt;1,IF($C81&lt;=DJ$4,1/$E$41,0),0)</f>
        <v>0</v>
      </c>
      <c r="DK81" s="34">
        <f>IF(SUM($I81:DJ81)&lt;1,IF($C81&lt;=DK$4,1/$E$41,0),0)</f>
        <v>0</v>
      </c>
      <c r="DL81" s="34">
        <f>IF(SUM($I81:DK81)&lt;1,IF($C81&lt;=DL$4,1/$E$41,0),0)</f>
        <v>0</v>
      </c>
      <c r="DM81" s="34">
        <f>IF(SUM($I81:DL81)&lt;1,IF($C81&lt;=DM$4,1/$E$41,0),0)</f>
        <v>0</v>
      </c>
    </row>
    <row r="82" spans="3:117" outlineLevel="1" x14ac:dyDescent="0.15">
      <c r="C82" s="50">
        <f t="shared" si="48"/>
        <v>38</v>
      </c>
      <c r="D82" s="5" t="s">
        <v>18</v>
      </c>
      <c r="E82" s="19">
        <f t="shared" si="49"/>
        <v>0</v>
      </c>
      <c r="I82" s="9"/>
      <c r="J82" s="34">
        <f>IF(SUM($I82:I82)&lt;1,IF($C82&lt;=J$4,1/$E$41,0),0)</f>
        <v>0</v>
      </c>
      <c r="K82" s="34">
        <f>IF(SUM($I82:J82)&lt;1,IF($C82&lt;=K$4,1/$E$41,0),0)</f>
        <v>0</v>
      </c>
      <c r="L82" s="34">
        <f>IF(SUM($I82:K82)&lt;1,IF($C82&lt;=L$4,1/$E$41,0),0)</f>
        <v>0</v>
      </c>
      <c r="M82" s="34">
        <f>IF(SUM($I82:L82)&lt;1,IF($C82&lt;=M$4,1/$E$41,0),0)</f>
        <v>0</v>
      </c>
      <c r="N82" s="34">
        <f>IF(SUM($I82:M82)&lt;1,IF($C82&lt;=N$4,1/$E$41,0),0)</f>
        <v>0</v>
      </c>
      <c r="O82" s="34">
        <f>IF(SUM($I82:N82)&lt;1,IF($C82&lt;=O$4,1/$E$41,0),0)</f>
        <v>0</v>
      </c>
      <c r="P82" s="34">
        <f>IF(SUM($I82:O82)&lt;1,IF($C82&lt;=P$4,1/$E$41,0),0)</f>
        <v>0</v>
      </c>
      <c r="Q82" s="34">
        <f>IF(SUM($I82:P82)&lt;1,IF($C82&lt;=Q$4,1/$E$41,0),0)</f>
        <v>0</v>
      </c>
      <c r="R82" s="34">
        <f>IF(SUM($I82:Q82)&lt;1,IF($C82&lt;=R$4,1/$E$41,0),0)</f>
        <v>0</v>
      </c>
      <c r="S82" s="34">
        <f>IF(SUM($I82:R82)&lt;1,IF($C82&lt;=S$4,1/$E$41,0),0)</f>
        <v>0</v>
      </c>
      <c r="T82" s="34">
        <f>IF(SUM($I82:S82)&lt;1,IF($C82&lt;=T$4,1/$E$41,0),0)</f>
        <v>0</v>
      </c>
      <c r="U82" s="34">
        <f>IF(SUM($I82:T82)&lt;1,IF($C82&lt;=U$4,1/$E$41,0),0)</f>
        <v>0</v>
      </c>
      <c r="V82" s="34">
        <f>IF(SUM($I82:U82)&lt;1,IF($C82&lt;=V$4,1/$E$41,0),0)</f>
        <v>0</v>
      </c>
      <c r="W82" s="34">
        <f>IF(SUM($I82:V82)&lt;1,IF($C82&lt;=W$4,1/$E$41,0),0)</f>
        <v>0</v>
      </c>
      <c r="X82" s="34">
        <f>IF(SUM($I82:W82)&lt;1,IF($C82&lt;=X$4,1/$E$41,0),0)</f>
        <v>0</v>
      </c>
      <c r="Y82" s="34">
        <f>IF(SUM($I82:X82)&lt;1,IF($C82&lt;=Y$4,1/$E$41,0),0)</f>
        <v>0</v>
      </c>
      <c r="Z82" s="34">
        <f>IF(SUM($I82:Y82)&lt;1,IF($C82&lt;=Z$4,1/$E$41,0),0)</f>
        <v>0</v>
      </c>
      <c r="AA82" s="34">
        <f>IF(SUM($I82:Z82)&lt;1,IF($C82&lt;=AA$4,1/$E$41,0),0)</f>
        <v>0</v>
      </c>
      <c r="AB82" s="34">
        <f>IF(SUM($I82:AA82)&lt;1,IF($C82&lt;=AB$4,1/$E$41,0),0)</f>
        <v>0</v>
      </c>
      <c r="AC82" s="34">
        <f>IF(SUM($I82:AB82)&lt;1,IF($C82&lt;=AC$4,1/$E$41,0),0)</f>
        <v>0</v>
      </c>
      <c r="AD82" s="34">
        <f>IF(SUM($I82:AC82)&lt;1,IF($C82&lt;=AD$4,1/$E$41,0),0)</f>
        <v>0</v>
      </c>
      <c r="AE82" s="34">
        <f>IF(SUM($I82:AD82)&lt;1,IF($C82&lt;=AE$4,1/$E$41,0),0)</f>
        <v>0</v>
      </c>
      <c r="AF82" s="34">
        <f>IF(SUM($I82:AE82)&lt;1,IF($C82&lt;=AF$4,1/$E$41,0),0)</f>
        <v>0</v>
      </c>
      <c r="AG82" s="34">
        <f>IF(SUM($I82:AF82)&lt;1,IF($C82&lt;=AG$4,1/$E$41,0),0)</f>
        <v>0</v>
      </c>
      <c r="AH82" s="34">
        <f>IF(SUM($I82:AG82)&lt;1,IF($C82&lt;=AH$4,1/$E$41,0),0)</f>
        <v>0</v>
      </c>
      <c r="AI82" s="34">
        <f>IF(SUM($I82:AH82)&lt;1,IF($C82&lt;=AI$4,1/$E$41,0),0)</f>
        <v>0</v>
      </c>
      <c r="AJ82" s="34">
        <f>IF(SUM($I82:AI82)&lt;1,IF($C82&lt;=AJ$4,1/$E$41,0),0)</f>
        <v>0</v>
      </c>
      <c r="AK82" s="34">
        <f>IF(SUM($I82:AJ82)&lt;1,IF($C82&lt;=AK$4,1/$E$41,0),0)</f>
        <v>0</v>
      </c>
      <c r="AL82" s="34">
        <f>IF(SUM($I82:AK82)&lt;1,IF($C82&lt;=AL$4,1/$E$41,0),0)</f>
        <v>0</v>
      </c>
      <c r="AM82" s="34">
        <f>IF(SUM($I82:AL82)&lt;1,IF($C82&lt;=AM$4,1/$E$41,0),0)</f>
        <v>0</v>
      </c>
      <c r="AN82" s="34">
        <f>IF(SUM($I82:AM82)&lt;1,IF($C82&lt;=AN$4,1/$E$41,0),0)</f>
        <v>0</v>
      </c>
      <c r="AO82" s="34">
        <f>IF(SUM($I82:AN82)&lt;1,IF($C82&lt;=AO$4,1/$E$41,0),0)</f>
        <v>0</v>
      </c>
      <c r="AP82" s="34">
        <f>IF(SUM($I82:AO82)&lt;1,IF($C82&lt;=AP$4,1/$E$41,0),0)</f>
        <v>0</v>
      </c>
      <c r="AQ82" s="34">
        <f>IF(SUM($I82:AP82)&lt;1,IF($C82&lt;=AQ$4,1/$E$41,0),0)</f>
        <v>0</v>
      </c>
      <c r="AR82" s="34">
        <f>IF(SUM($I82:AQ82)&lt;1,IF($C82&lt;=AR$4,1/$E$41,0),0)</f>
        <v>0</v>
      </c>
      <c r="AS82" s="34">
        <f>IF(SUM($I82:AR82)&lt;1,IF($C82&lt;=AS$4,1/$E$41,0),0)</f>
        <v>0</v>
      </c>
      <c r="AT82" s="34">
        <f>IF(SUM($I82:AS82)&lt;1,IF($C82&lt;=AT$4,1/$E$41,0),0)</f>
        <v>0</v>
      </c>
      <c r="AU82" s="34">
        <f>IF(SUM($I82:AT82)&lt;1,IF($C82&lt;=AU$4,1/$E$41,0),0)</f>
        <v>0.25</v>
      </c>
      <c r="AV82" s="34">
        <f>IF(SUM($I82:AU82)&lt;1,IF($C82&lt;=AV$4,1/$E$41,0),0)</f>
        <v>0.25</v>
      </c>
      <c r="AW82" s="34">
        <f>IF(SUM($I82:AV82)&lt;1,IF($C82&lt;=AW$4,1/$E$41,0),0)</f>
        <v>0.25</v>
      </c>
      <c r="AX82" s="34">
        <f>IF(SUM($I82:AW82)&lt;1,IF($C82&lt;=AX$4,1/$E$41,0),0)</f>
        <v>0.25</v>
      </c>
      <c r="AY82" s="34">
        <f>IF(SUM($I82:AX82)&lt;1,IF($C82&lt;=AY$4,1/$E$41,0),0)</f>
        <v>0</v>
      </c>
      <c r="AZ82" s="34">
        <f>IF(SUM($I82:AY82)&lt;1,IF($C82&lt;=AZ$4,1/$E$41,0),0)</f>
        <v>0</v>
      </c>
      <c r="BA82" s="34">
        <f>IF(SUM($I82:AZ82)&lt;1,IF($C82&lt;=BA$4,1/$E$41,0),0)</f>
        <v>0</v>
      </c>
      <c r="BB82" s="34">
        <f>IF(SUM($I82:BA82)&lt;1,IF($C82&lt;=BB$4,1/$E$41,0),0)</f>
        <v>0</v>
      </c>
      <c r="BC82" s="34">
        <f>IF(SUM($I82:BB82)&lt;1,IF($C82&lt;=BC$4,1/$E$41,0),0)</f>
        <v>0</v>
      </c>
      <c r="BD82" s="34">
        <f>IF(SUM($I82:BC82)&lt;1,IF($C82&lt;=BD$4,1/$E$41,0),0)</f>
        <v>0</v>
      </c>
      <c r="BE82" s="34">
        <f>IF(SUM($I82:BD82)&lt;1,IF($C82&lt;=BE$4,1/$E$41,0),0)</f>
        <v>0</v>
      </c>
      <c r="BF82" s="34">
        <f>IF(SUM($I82:BE82)&lt;1,IF($C82&lt;=BF$4,1/$E$41,0),0)</f>
        <v>0</v>
      </c>
      <c r="BG82" s="34">
        <f>IF(SUM($I82:BF82)&lt;1,IF($C82&lt;=BG$4,1/$E$41,0),0)</f>
        <v>0</v>
      </c>
      <c r="BH82" s="34">
        <f>IF(SUM($I82:BG82)&lt;1,IF($C82&lt;=BH$4,1/$E$41,0),0)</f>
        <v>0</v>
      </c>
      <c r="BI82" s="34">
        <f>IF(SUM($I82:BH82)&lt;1,IF($C82&lt;=BI$4,1/$E$41,0),0)</f>
        <v>0</v>
      </c>
      <c r="BJ82" s="34">
        <f>IF(SUM($I82:BI82)&lt;1,IF($C82&lt;=BJ$4,1/$E$41,0),0)</f>
        <v>0</v>
      </c>
      <c r="BK82" s="34">
        <f>IF(SUM($I82:BJ82)&lt;1,IF($C82&lt;=BK$4,1/$E$41,0),0)</f>
        <v>0</v>
      </c>
      <c r="BL82" s="34">
        <f>IF(SUM($I82:BK82)&lt;1,IF($C82&lt;=BL$4,1/$E$41,0),0)</f>
        <v>0</v>
      </c>
      <c r="BM82" s="34">
        <f>IF(SUM($I82:BL82)&lt;1,IF($C82&lt;=BM$4,1/$E$41,0),0)</f>
        <v>0</v>
      </c>
      <c r="BN82" s="34">
        <f>IF(SUM($I82:BM82)&lt;1,IF($C82&lt;=BN$4,1/$E$41,0),0)</f>
        <v>0</v>
      </c>
      <c r="BO82" s="34">
        <f>IF(SUM($I82:BN82)&lt;1,IF($C82&lt;=BO$4,1/$E$41,0),0)</f>
        <v>0</v>
      </c>
      <c r="BP82" s="34">
        <f>IF(SUM($I82:BO82)&lt;1,IF($C82&lt;=BP$4,1/$E$41,0),0)</f>
        <v>0</v>
      </c>
      <c r="BQ82" s="34">
        <f>IF(SUM($I82:BP82)&lt;1,IF($C82&lt;=BQ$4,1/$E$41,0),0)</f>
        <v>0</v>
      </c>
      <c r="BR82" s="34">
        <f>IF(SUM($I82:BQ82)&lt;1,IF($C82&lt;=BR$4,1/$E$41,0),0)</f>
        <v>0</v>
      </c>
      <c r="BS82" s="34">
        <f>IF(SUM($I82:BR82)&lt;1,IF($C82&lt;=BS$4,1/$E$41,0),0)</f>
        <v>0</v>
      </c>
      <c r="BT82" s="34">
        <f>IF(SUM($I82:BS82)&lt;1,IF($C82&lt;=BT$4,1/$E$41,0),0)</f>
        <v>0</v>
      </c>
      <c r="BU82" s="34">
        <f>IF(SUM($I82:BT82)&lt;1,IF($C82&lt;=BU$4,1/$E$41,0),0)</f>
        <v>0</v>
      </c>
      <c r="BV82" s="34">
        <f>IF(SUM($I82:BU82)&lt;1,IF($C82&lt;=BV$4,1/$E$41,0),0)</f>
        <v>0</v>
      </c>
      <c r="BW82" s="34">
        <f>IF(SUM($I82:BV82)&lt;1,IF($C82&lt;=BW$4,1/$E$41,0),0)</f>
        <v>0</v>
      </c>
      <c r="BX82" s="34">
        <f>IF(SUM($I82:BW82)&lt;1,IF($C82&lt;=BX$4,1/$E$41,0),0)</f>
        <v>0</v>
      </c>
      <c r="BY82" s="34">
        <f>IF(SUM($I82:BX82)&lt;1,IF($C82&lt;=BY$4,1/$E$41,0),0)</f>
        <v>0</v>
      </c>
      <c r="BZ82" s="34">
        <f>IF(SUM($I82:BY82)&lt;1,IF($C82&lt;=BZ$4,1/$E$41,0),0)</f>
        <v>0</v>
      </c>
      <c r="CA82" s="34">
        <f>IF(SUM($I82:BZ82)&lt;1,IF($C82&lt;=CA$4,1/$E$41,0),0)</f>
        <v>0</v>
      </c>
      <c r="CB82" s="34">
        <f>IF(SUM($I82:CA82)&lt;1,IF($C82&lt;=CB$4,1/$E$41,0),0)</f>
        <v>0</v>
      </c>
      <c r="CC82" s="34">
        <f>IF(SUM($I82:CB82)&lt;1,IF($C82&lt;=CC$4,1/$E$41,0),0)</f>
        <v>0</v>
      </c>
      <c r="CD82" s="34">
        <f>IF(SUM($I82:CC82)&lt;1,IF($C82&lt;=CD$4,1/$E$41,0),0)</f>
        <v>0</v>
      </c>
      <c r="CE82" s="34">
        <f>IF(SUM($I82:CD82)&lt;1,IF($C82&lt;=CE$4,1/$E$41,0),0)</f>
        <v>0</v>
      </c>
      <c r="CF82" s="34">
        <f>IF(SUM($I82:CE82)&lt;1,IF($C82&lt;=CF$4,1/$E$41,0),0)</f>
        <v>0</v>
      </c>
      <c r="CG82" s="34">
        <f>IF(SUM($I82:CF82)&lt;1,IF($C82&lt;=CG$4,1/$E$41,0),0)</f>
        <v>0</v>
      </c>
      <c r="CH82" s="34">
        <f>IF(SUM($I82:CG82)&lt;1,IF($C82&lt;=CH$4,1/$E$41,0),0)</f>
        <v>0</v>
      </c>
      <c r="CI82" s="34">
        <f>IF(SUM($I82:CH82)&lt;1,IF($C82&lt;=CI$4,1/$E$41,0),0)</f>
        <v>0</v>
      </c>
      <c r="CJ82" s="34">
        <f>IF(SUM($I82:CI82)&lt;1,IF($C82&lt;=CJ$4,1/$E$41,0),0)</f>
        <v>0</v>
      </c>
      <c r="CK82" s="34">
        <f>IF(SUM($I82:CJ82)&lt;1,IF($C82&lt;=CK$4,1/$E$41,0),0)</f>
        <v>0</v>
      </c>
      <c r="CL82" s="34">
        <f>IF(SUM($I82:CK82)&lt;1,IF($C82&lt;=CL$4,1/$E$41,0),0)</f>
        <v>0</v>
      </c>
      <c r="CM82" s="34">
        <f>IF(SUM($I82:CL82)&lt;1,IF($C82&lt;=CM$4,1/$E$41,0),0)</f>
        <v>0</v>
      </c>
      <c r="CN82" s="34">
        <f>IF(SUM($I82:CM82)&lt;1,IF($C82&lt;=CN$4,1/$E$41,0),0)</f>
        <v>0</v>
      </c>
      <c r="CO82" s="34">
        <f>IF(SUM($I82:CN82)&lt;1,IF($C82&lt;=CO$4,1/$E$41,0),0)</f>
        <v>0</v>
      </c>
      <c r="CP82" s="34">
        <f>IF(SUM($I82:CO82)&lt;1,IF($C82&lt;=CP$4,1/$E$41,0),0)</f>
        <v>0</v>
      </c>
      <c r="CQ82" s="34">
        <f>IF(SUM($I82:CP82)&lt;1,IF($C82&lt;=CQ$4,1/$E$41,0),0)</f>
        <v>0</v>
      </c>
      <c r="CR82" s="34">
        <f>IF(SUM($I82:CQ82)&lt;1,IF($C82&lt;=CR$4,1/$E$41,0),0)</f>
        <v>0</v>
      </c>
      <c r="CS82" s="34">
        <f>IF(SUM($I82:CR82)&lt;1,IF($C82&lt;=CS$4,1/$E$41,0),0)</f>
        <v>0</v>
      </c>
      <c r="CT82" s="34">
        <f>IF(SUM($I82:CS82)&lt;1,IF($C82&lt;=CT$4,1/$E$41,0),0)</f>
        <v>0</v>
      </c>
      <c r="CU82" s="34">
        <f>IF(SUM($I82:CT82)&lt;1,IF($C82&lt;=CU$4,1/$E$41,0),0)</f>
        <v>0</v>
      </c>
      <c r="CV82" s="34">
        <f>IF(SUM($I82:CU82)&lt;1,IF($C82&lt;=CV$4,1/$E$41,0),0)</f>
        <v>0</v>
      </c>
      <c r="CW82" s="34">
        <f>IF(SUM($I82:CV82)&lt;1,IF($C82&lt;=CW$4,1/$E$41,0),0)</f>
        <v>0</v>
      </c>
      <c r="CX82" s="34">
        <f>IF(SUM($I82:CW82)&lt;1,IF($C82&lt;=CX$4,1/$E$41,0),0)</f>
        <v>0</v>
      </c>
      <c r="CY82" s="34">
        <f>IF(SUM($I82:CX82)&lt;1,IF($C82&lt;=CY$4,1/$E$41,0),0)</f>
        <v>0</v>
      </c>
      <c r="CZ82" s="34">
        <f>IF(SUM($I82:CY82)&lt;1,IF($C82&lt;=CZ$4,1/$E$41,0),0)</f>
        <v>0</v>
      </c>
      <c r="DA82" s="34">
        <f>IF(SUM($I82:CZ82)&lt;1,IF($C82&lt;=DA$4,1/$E$41,0),0)</f>
        <v>0</v>
      </c>
      <c r="DB82" s="34">
        <f>IF(SUM($I82:DA82)&lt;1,IF($C82&lt;=DB$4,1/$E$41,0),0)</f>
        <v>0</v>
      </c>
      <c r="DC82" s="34">
        <f>IF(SUM($I82:DB82)&lt;1,IF($C82&lt;=DC$4,1/$E$41,0),0)</f>
        <v>0</v>
      </c>
      <c r="DD82" s="34">
        <f>IF(SUM($I82:DC82)&lt;1,IF($C82&lt;=DD$4,1/$E$41,0),0)</f>
        <v>0</v>
      </c>
      <c r="DE82" s="34">
        <f>IF(SUM($I82:DD82)&lt;1,IF($C82&lt;=DE$4,1/$E$41,0),0)</f>
        <v>0</v>
      </c>
      <c r="DF82" s="34">
        <f>IF(SUM($I82:DE82)&lt;1,IF($C82&lt;=DF$4,1/$E$41,0),0)</f>
        <v>0</v>
      </c>
      <c r="DG82" s="34">
        <f>IF(SUM($I82:DF82)&lt;1,IF($C82&lt;=DG$4,1/$E$41,0),0)</f>
        <v>0</v>
      </c>
      <c r="DH82" s="34">
        <f>IF(SUM($I82:DG82)&lt;1,IF($C82&lt;=DH$4,1/$E$41,0),0)</f>
        <v>0</v>
      </c>
      <c r="DI82" s="34">
        <f>IF(SUM($I82:DH82)&lt;1,IF($C82&lt;=DI$4,1/$E$41,0),0)</f>
        <v>0</v>
      </c>
      <c r="DJ82" s="34">
        <f>IF(SUM($I82:DI82)&lt;1,IF($C82&lt;=DJ$4,1/$E$41,0),0)</f>
        <v>0</v>
      </c>
      <c r="DK82" s="34">
        <f>IF(SUM($I82:DJ82)&lt;1,IF($C82&lt;=DK$4,1/$E$41,0),0)</f>
        <v>0</v>
      </c>
      <c r="DL82" s="34">
        <f>IF(SUM($I82:DK82)&lt;1,IF($C82&lt;=DL$4,1/$E$41,0),0)</f>
        <v>0</v>
      </c>
      <c r="DM82" s="34">
        <f>IF(SUM($I82:DL82)&lt;1,IF($C82&lt;=DM$4,1/$E$41,0),0)</f>
        <v>0</v>
      </c>
    </row>
    <row r="83" spans="3:117" outlineLevel="1" x14ac:dyDescent="0.15">
      <c r="C83" s="50">
        <f t="shared" si="48"/>
        <v>39</v>
      </c>
      <c r="D83" s="5" t="s">
        <v>18</v>
      </c>
      <c r="E83" s="19">
        <f t="shared" si="49"/>
        <v>0</v>
      </c>
      <c r="I83" s="9"/>
      <c r="J83" s="34">
        <f>IF(SUM($I83:I83)&lt;1,IF($C83&lt;=J$4,1/$E$41,0),0)</f>
        <v>0</v>
      </c>
      <c r="K83" s="34">
        <f>IF(SUM($I83:J83)&lt;1,IF($C83&lt;=K$4,1/$E$41,0),0)</f>
        <v>0</v>
      </c>
      <c r="L83" s="34">
        <f>IF(SUM($I83:K83)&lt;1,IF($C83&lt;=L$4,1/$E$41,0),0)</f>
        <v>0</v>
      </c>
      <c r="M83" s="34">
        <f>IF(SUM($I83:L83)&lt;1,IF($C83&lt;=M$4,1/$E$41,0),0)</f>
        <v>0</v>
      </c>
      <c r="N83" s="34">
        <f>IF(SUM($I83:M83)&lt;1,IF($C83&lt;=N$4,1/$E$41,0),0)</f>
        <v>0</v>
      </c>
      <c r="O83" s="34">
        <f>IF(SUM($I83:N83)&lt;1,IF($C83&lt;=O$4,1/$E$41,0),0)</f>
        <v>0</v>
      </c>
      <c r="P83" s="34">
        <f>IF(SUM($I83:O83)&lt;1,IF($C83&lt;=P$4,1/$E$41,0),0)</f>
        <v>0</v>
      </c>
      <c r="Q83" s="34">
        <f>IF(SUM($I83:P83)&lt;1,IF($C83&lt;=Q$4,1/$E$41,0),0)</f>
        <v>0</v>
      </c>
      <c r="R83" s="34">
        <f>IF(SUM($I83:Q83)&lt;1,IF($C83&lt;=R$4,1/$E$41,0),0)</f>
        <v>0</v>
      </c>
      <c r="S83" s="34">
        <f>IF(SUM($I83:R83)&lt;1,IF($C83&lt;=S$4,1/$E$41,0),0)</f>
        <v>0</v>
      </c>
      <c r="T83" s="34">
        <f>IF(SUM($I83:S83)&lt;1,IF($C83&lt;=T$4,1/$E$41,0),0)</f>
        <v>0</v>
      </c>
      <c r="U83" s="34">
        <f>IF(SUM($I83:T83)&lt;1,IF($C83&lt;=U$4,1/$E$41,0),0)</f>
        <v>0</v>
      </c>
      <c r="V83" s="34">
        <f>IF(SUM($I83:U83)&lt;1,IF($C83&lt;=V$4,1/$E$41,0),0)</f>
        <v>0</v>
      </c>
      <c r="W83" s="34">
        <f>IF(SUM($I83:V83)&lt;1,IF($C83&lt;=W$4,1/$E$41,0),0)</f>
        <v>0</v>
      </c>
      <c r="X83" s="34">
        <f>IF(SUM($I83:W83)&lt;1,IF($C83&lt;=X$4,1/$E$41,0),0)</f>
        <v>0</v>
      </c>
      <c r="Y83" s="34">
        <f>IF(SUM($I83:X83)&lt;1,IF($C83&lt;=Y$4,1/$E$41,0),0)</f>
        <v>0</v>
      </c>
      <c r="Z83" s="34">
        <f>IF(SUM($I83:Y83)&lt;1,IF($C83&lt;=Z$4,1/$E$41,0),0)</f>
        <v>0</v>
      </c>
      <c r="AA83" s="34">
        <f>IF(SUM($I83:Z83)&lt;1,IF($C83&lt;=AA$4,1/$E$41,0),0)</f>
        <v>0</v>
      </c>
      <c r="AB83" s="34">
        <f>IF(SUM($I83:AA83)&lt;1,IF($C83&lt;=AB$4,1/$E$41,0),0)</f>
        <v>0</v>
      </c>
      <c r="AC83" s="34">
        <f>IF(SUM($I83:AB83)&lt;1,IF($C83&lt;=AC$4,1/$E$41,0),0)</f>
        <v>0</v>
      </c>
      <c r="AD83" s="34">
        <f>IF(SUM($I83:AC83)&lt;1,IF($C83&lt;=AD$4,1/$E$41,0),0)</f>
        <v>0</v>
      </c>
      <c r="AE83" s="34">
        <f>IF(SUM($I83:AD83)&lt;1,IF($C83&lt;=AE$4,1/$E$41,0),0)</f>
        <v>0</v>
      </c>
      <c r="AF83" s="34">
        <f>IF(SUM($I83:AE83)&lt;1,IF($C83&lt;=AF$4,1/$E$41,0),0)</f>
        <v>0</v>
      </c>
      <c r="AG83" s="34">
        <f>IF(SUM($I83:AF83)&lt;1,IF($C83&lt;=AG$4,1/$E$41,0),0)</f>
        <v>0</v>
      </c>
      <c r="AH83" s="34">
        <f>IF(SUM($I83:AG83)&lt;1,IF($C83&lt;=AH$4,1/$E$41,0),0)</f>
        <v>0</v>
      </c>
      <c r="AI83" s="34">
        <f>IF(SUM($I83:AH83)&lt;1,IF($C83&lt;=AI$4,1/$E$41,0),0)</f>
        <v>0</v>
      </c>
      <c r="AJ83" s="34">
        <f>IF(SUM($I83:AI83)&lt;1,IF($C83&lt;=AJ$4,1/$E$41,0),0)</f>
        <v>0</v>
      </c>
      <c r="AK83" s="34">
        <f>IF(SUM($I83:AJ83)&lt;1,IF($C83&lt;=AK$4,1/$E$41,0),0)</f>
        <v>0</v>
      </c>
      <c r="AL83" s="34">
        <f>IF(SUM($I83:AK83)&lt;1,IF($C83&lt;=AL$4,1/$E$41,0),0)</f>
        <v>0</v>
      </c>
      <c r="AM83" s="34">
        <f>IF(SUM($I83:AL83)&lt;1,IF($C83&lt;=AM$4,1/$E$41,0),0)</f>
        <v>0</v>
      </c>
      <c r="AN83" s="34">
        <f>IF(SUM($I83:AM83)&lt;1,IF($C83&lt;=AN$4,1/$E$41,0),0)</f>
        <v>0</v>
      </c>
      <c r="AO83" s="34">
        <f>IF(SUM($I83:AN83)&lt;1,IF($C83&lt;=AO$4,1/$E$41,0),0)</f>
        <v>0</v>
      </c>
      <c r="AP83" s="34">
        <f>IF(SUM($I83:AO83)&lt;1,IF($C83&lt;=AP$4,1/$E$41,0),0)</f>
        <v>0</v>
      </c>
      <c r="AQ83" s="34">
        <f>IF(SUM($I83:AP83)&lt;1,IF($C83&lt;=AQ$4,1/$E$41,0),0)</f>
        <v>0</v>
      </c>
      <c r="AR83" s="34">
        <f>IF(SUM($I83:AQ83)&lt;1,IF($C83&lt;=AR$4,1/$E$41,0),0)</f>
        <v>0</v>
      </c>
      <c r="AS83" s="34">
        <f>IF(SUM($I83:AR83)&lt;1,IF($C83&lt;=AS$4,1/$E$41,0),0)</f>
        <v>0</v>
      </c>
      <c r="AT83" s="34">
        <f>IF(SUM($I83:AS83)&lt;1,IF($C83&lt;=AT$4,1/$E$41,0),0)</f>
        <v>0</v>
      </c>
      <c r="AU83" s="34">
        <f>IF(SUM($I83:AT83)&lt;1,IF($C83&lt;=AU$4,1/$E$41,0),0)</f>
        <v>0</v>
      </c>
      <c r="AV83" s="34">
        <f>IF(SUM($I83:AU83)&lt;1,IF($C83&lt;=AV$4,1/$E$41,0),0)</f>
        <v>0.25</v>
      </c>
      <c r="AW83" s="34">
        <f>IF(SUM($I83:AV83)&lt;1,IF($C83&lt;=AW$4,1/$E$41,0),0)</f>
        <v>0.25</v>
      </c>
      <c r="AX83" s="34">
        <f>IF(SUM($I83:AW83)&lt;1,IF($C83&lt;=AX$4,1/$E$41,0),0)</f>
        <v>0.25</v>
      </c>
      <c r="AY83" s="34">
        <f>IF(SUM($I83:AX83)&lt;1,IF($C83&lt;=AY$4,1/$E$41,0),0)</f>
        <v>0.25</v>
      </c>
      <c r="AZ83" s="34">
        <f>IF(SUM($I83:AY83)&lt;1,IF($C83&lt;=AZ$4,1/$E$41,0),0)</f>
        <v>0</v>
      </c>
      <c r="BA83" s="34">
        <f>IF(SUM($I83:AZ83)&lt;1,IF($C83&lt;=BA$4,1/$E$41,0),0)</f>
        <v>0</v>
      </c>
      <c r="BB83" s="34">
        <f>IF(SUM($I83:BA83)&lt;1,IF($C83&lt;=BB$4,1/$E$41,0),0)</f>
        <v>0</v>
      </c>
      <c r="BC83" s="34">
        <f>IF(SUM($I83:BB83)&lt;1,IF($C83&lt;=BC$4,1/$E$41,0),0)</f>
        <v>0</v>
      </c>
      <c r="BD83" s="34">
        <f>IF(SUM($I83:BC83)&lt;1,IF($C83&lt;=BD$4,1/$E$41,0),0)</f>
        <v>0</v>
      </c>
      <c r="BE83" s="34">
        <f>IF(SUM($I83:BD83)&lt;1,IF($C83&lt;=BE$4,1/$E$41,0),0)</f>
        <v>0</v>
      </c>
      <c r="BF83" s="34">
        <f>IF(SUM($I83:BE83)&lt;1,IF($C83&lt;=BF$4,1/$E$41,0),0)</f>
        <v>0</v>
      </c>
      <c r="BG83" s="34">
        <f>IF(SUM($I83:BF83)&lt;1,IF($C83&lt;=BG$4,1/$E$41,0),0)</f>
        <v>0</v>
      </c>
      <c r="BH83" s="34">
        <f>IF(SUM($I83:BG83)&lt;1,IF($C83&lt;=BH$4,1/$E$41,0),0)</f>
        <v>0</v>
      </c>
      <c r="BI83" s="34">
        <f>IF(SUM($I83:BH83)&lt;1,IF($C83&lt;=BI$4,1/$E$41,0),0)</f>
        <v>0</v>
      </c>
      <c r="BJ83" s="34">
        <f>IF(SUM($I83:BI83)&lt;1,IF($C83&lt;=BJ$4,1/$E$41,0),0)</f>
        <v>0</v>
      </c>
      <c r="BK83" s="34">
        <f>IF(SUM($I83:BJ83)&lt;1,IF($C83&lt;=BK$4,1/$E$41,0),0)</f>
        <v>0</v>
      </c>
      <c r="BL83" s="34">
        <f>IF(SUM($I83:BK83)&lt;1,IF($C83&lt;=BL$4,1/$E$41,0),0)</f>
        <v>0</v>
      </c>
      <c r="BM83" s="34">
        <f>IF(SUM($I83:BL83)&lt;1,IF($C83&lt;=BM$4,1/$E$41,0),0)</f>
        <v>0</v>
      </c>
      <c r="BN83" s="34">
        <f>IF(SUM($I83:BM83)&lt;1,IF($C83&lt;=BN$4,1/$E$41,0),0)</f>
        <v>0</v>
      </c>
      <c r="BO83" s="34">
        <f>IF(SUM($I83:BN83)&lt;1,IF($C83&lt;=BO$4,1/$E$41,0),0)</f>
        <v>0</v>
      </c>
      <c r="BP83" s="34">
        <f>IF(SUM($I83:BO83)&lt;1,IF($C83&lt;=BP$4,1/$E$41,0),0)</f>
        <v>0</v>
      </c>
      <c r="BQ83" s="34">
        <f>IF(SUM($I83:BP83)&lt;1,IF($C83&lt;=BQ$4,1/$E$41,0),0)</f>
        <v>0</v>
      </c>
      <c r="BR83" s="34">
        <f>IF(SUM($I83:BQ83)&lt;1,IF($C83&lt;=BR$4,1/$E$41,0),0)</f>
        <v>0</v>
      </c>
      <c r="BS83" s="34">
        <f>IF(SUM($I83:BR83)&lt;1,IF($C83&lt;=BS$4,1/$E$41,0),0)</f>
        <v>0</v>
      </c>
      <c r="BT83" s="34">
        <f>IF(SUM($I83:BS83)&lt;1,IF($C83&lt;=BT$4,1/$E$41,0),0)</f>
        <v>0</v>
      </c>
      <c r="BU83" s="34">
        <f>IF(SUM($I83:BT83)&lt;1,IF($C83&lt;=BU$4,1/$E$41,0),0)</f>
        <v>0</v>
      </c>
      <c r="BV83" s="34">
        <f>IF(SUM($I83:BU83)&lt;1,IF($C83&lt;=BV$4,1/$E$41,0),0)</f>
        <v>0</v>
      </c>
      <c r="BW83" s="34">
        <f>IF(SUM($I83:BV83)&lt;1,IF($C83&lt;=BW$4,1/$E$41,0),0)</f>
        <v>0</v>
      </c>
      <c r="BX83" s="34">
        <f>IF(SUM($I83:BW83)&lt;1,IF($C83&lt;=BX$4,1/$E$41,0),0)</f>
        <v>0</v>
      </c>
      <c r="BY83" s="34">
        <f>IF(SUM($I83:BX83)&lt;1,IF($C83&lt;=BY$4,1/$E$41,0),0)</f>
        <v>0</v>
      </c>
      <c r="BZ83" s="34">
        <f>IF(SUM($I83:BY83)&lt;1,IF($C83&lt;=BZ$4,1/$E$41,0),0)</f>
        <v>0</v>
      </c>
      <c r="CA83" s="34">
        <f>IF(SUM($I83:BZ83)&lt;1,IF($C83&lt;=CA$4,1/$E$41,0),0)</f>
        <v>0</v>
      </c>
      <c r="CB83" s="34">
        <f>IF(SUM($I83:CA83)&lt;1,IF($C83&lt;=CB$4,1/$E$41,0),0)</f>
        <v>0</v>
      </c>
      <c r="CC83" s="34">
        <f>IF(SUM($I83:CB83)&lt;1,IF($C83&lt;=CC$4,1/$E$41,0),0)</f>
        <v>0</v>
      </c>
      <c r="CD83" s="34">
        <f>IF(SUM($I83:CC83)&lt;1,IF($C83&lt;=CD$4,1/$E$41,0),0)</f>
        <v>0</v>
      </c>
      <c r="CE83" s="34">
        <f>IF(SUM($I83:CD83)&lt;1,IF($C83&lt;=CE$4,1/$E$41,0),0)</f>
        <v>0</v>
      </c>
      <c r="CF83" s="34">
        <f>IF(SUM($I83:CE83)&lt;1,IF($C83&lt;=CF$4,1/$E$41,0),0)</f>
        <v>0</v>
      </c>
      <c r="CG83" s="34">
        <f>IF(SUM($I83:CF83)&lt;1,IF($C83&lt;=CG$4,1/$E$41,0),0)</f>
        <v>0</v>
      </c>
      <c r="CH83" s="34">
        <f>IF(SUM($I83:CG83)&lt;1,IF($C83&lt;=CH$4,1/$E$41,0),0)</f>
        <v>0</v>
      </c>
      <c r="CI83" s="34">
        <f>IF(SUM($I83:CH83)&lt;1,IF($C83&lt;=CI$4,1/$E$41,0),0)</f>
        <v>0</v>
      </c>
      <c r="CJ83" s="34">
        <f>IF(SUM($I83:CI83)&lt;1,IF($C83&lt;=CJ$4,1/$E$41,0),0)</f>
        <v>0</v>
      </c>
      <c r="CK83" s="34">
        <f>IF(SUM($I83:CJ83)&lt;1,IF($C83&lt;=CK$4,1/$E$41,0),0)</f>
        <v>0</v>
      </c>
      <c r="CL83" s="34">
        <f>IF(SUM($I83:CK83)&lt;1,IF($C83&lt;=CL$4,1/$E$41,0),0)</f>
        <v>0</v>
      </c>
      <c r="CM83" s="34">
        <f>IF(SUM($I83:CL83)&lt;1,IF($C83&lt;=CM$4,1/$E$41,0),0)</f>
        <v>0</v>
      </c>
      <c r="CN83" s="34">
        <f>IF(SUM($I83:CM83)&lt;1,IF($C83&lt;=CN$4,1/$E$41,0),0)</f>
        <v>0</v>
      </c>
      <c r="CO83" s="34">
        <f>IF(SUM($I83:CN83)&lt;1,IF($C83&lt;=CO$4,1/$E$41,0),0)</f>
        <v>0</v>
      </c>
      <c r="CP83" s="34">
        <f>IF(SUM($I83:CO83)&lt;1,IF($C83&lt;=CP$4,1/$E$41,0),0)</f>
        <v>0</v>
      </c>
      <c r="CQ83" s="34">
        <f>IF(SUM($I83:CP83)&lt;1,IF($C83&lt;=CQ$4,1/$E$41,0),0)</f>
        <v>0</v>
      </c>
      <c r="CR83" s="34">
        <f>IF(SUM($I83:CQ83)&lt;1,IF($C83&lt;=CR$4,1/$E$41,0),0)</f>
        <v>0</v>
      </c>
      <c r="CS83" s="34">
        <f>IF(SUM($I83:CR83)&lt;1,IF($C83&lt;=CS$4,1/$E$41,0),0)</f>
        <v>0</v>
      </c>
      <c r="CT83" s="34">
        <f>IF(SUM($I83:CS83)&lt;1,IF($C83&lt;=CT$4,1/$E$41,0),0)</f>
        <v>0</v>
      </c>
      <c r="CU83" s="34">
        <f>IF(SUM($I83:CT83)&lt;1,IF($C83&lt;=CU$4,1/$E$41,0),0)</f>
        <v>0</v>
      </c>
      <c r="CV83" s="34">
        <f>IF(SUM($I83:CU83)&lt;1,IF($C83&lt;=CV$4,1/$E$41,0),0)</f>
        <v>0</v>
      </c>
      <c r="CW83" s="34">
        <f>IF(SUM($I83:CV83)&lt;1,IF($C83&lt;=CW$4,1/$E$41,0),0)</f>
        <v>0</v>
      </c>
      <c r="CX83" s="34">
        <f>IF(SUM($I83:CW83)&lt;1,IF($C83&lt;=CX$4,1/$E$41,0),0)</f>
        <v>0</v>
      </c>
      <c r="CY83" s="34">
        <f>IF(SUM($I83:CX83)&lt;1,IF($C83&lt;=CY$4,1/$E$41,0),0)</f>
        <v>0</v>
      </c>
      <c r="CZ83" s="34">
        <f>IF(SUM($I83:CY83)&lt;1,IF($C83&lt;=CZ$4,1/$E$41,0),0)</f>
        <v>0</v>
      </c>
      <c r="DA83" s="34">
        <f>IF(SUM($I83:CZ83)&lt;1,IF($C83&lt;=DA$4,1/$E$41,0),0)</f>
        <v>0</v>
      </c>
      <c r="DB83" s="34">
        <f>IF(SUM($I83:DA83)&lt;1,IF($C83&lt;=DB$4,1/$E$41,0),0)</f>
        <v>0</v>
      </c>
      <c r="DC83" s="34">
        <f>IF(SUM($I83:DB83)&lt;1,IF($C83&lt;=DC$4,1/$E$41,0),0)</f>
        <v>0</v>
      </c>
      <c r="DD83" s="34">
        <f>IF(SUM($I83:DC83)&lt;1,IF($C83&lt;=DD$4,1/$E$41,0),0)</f>
        <v>0</v>
      </c>
      <c r="DE83" s="34">
        <f>IF(SUM($I83:DD83)&lt;1,IF($C83&lt;=DE$4,1/$E$41,0),0)</f>
        <v>0</v>
      </c>
      <c r="DF83" s="34">
        <f>IF(SUM($I83:DE83)&lt;1,IF($C83&lt;=DF$4,1/$E$41,0),0)</f>
        <v>0</v>
      </c>
      <c r="DG83" s="34">
        <f>IF(SUM($I83:DF83)&lt;1,IF($C83&lt;=DG$4,1/$E$41,0),0)</f>
        <v>0</v>
      </c>
      <c r="DH83" s="34">
        <f>IF(SUM($I83:DG83)&lt;1,IF($C83&lt;=DH$4,1/$E$41,0),0)</f>
        <v>0</v>
      </c>
      <c r="DI83" s="34">
        <f>IF(SUM($I83:DH83)&lt;1,IF($C83&lt;=DI$4,1/$E$41,0),0)</f>
        <v>0</v>
      </c>
      <c r="DJ83" s="34">
        <f>IF(SUM($I83:DI83)&lt;1,IF($C83&lt;=DJ$4,1/$E$41,0),0)</f>
        <v>0</v>
      </c>
      <c r="DK83" s="34">
        <f>IF(SUM($I83:DJ83)&lt;1,IF($C83&lt;=DK$4,1/$E$41,0),0)</f>
        <v>0</v>
      </c>
      <c r="DL83" s="34">
        <f>IF(SUM($I83:DK83)&lt;1,IF($C83&lt;=DL$4,1/$E$41,0),0)</f>
        <v>0</v>
      </c>
      <c r="DM83" s="34">
        <f>IF(SUM($I83:DL83)&lt;1,IF($C83&lt;=DM$4,1/$E$41,0),0)</f>
        <v>0</v>
      </c>
    </row>
    <row r="84" spans="3:117" outlineLevel="1" x14ac:dyDescent="0.15">
      <c r="C84" s="50">
        <f t="shared" si="48"/>
        <v>40</v>
      </c>
      <c r="D84" s="5" t="s">
        <v>18</v>
      </c>
      <c r="E84" s="19">
        <f t="shared" si="49"/>
        <v>0</v>
      </c>
      <c r="I84" s="9"/>
      <c r="J84" s="34">
        <f>IF(SUM($I84:I84)&lt;1,IF($C84&lt;=J$4,1/$E$41,0),0)</f>
        <v>0</v>
      </c>
      <c r="K84" s="34">
        <f>IF(SUM($I84:J84)&lt;1,IF($C84&lt;=K$4,1/$E$41,0),0)</f>
        <v>0</v>
      </c>
      <c r="L84" s="34">
        <f>IF(SUM($I84:K84)&lt;1,IF($C84&lt;=L$4,1/$E$41,0),0)</f>
        <v>0</v>
      </c>
      <c r="M84" s="34">
        <f>IF(SUM($I84:L84)&lt;1,IF($C84&lt;=M$4,1/$E$41,0),0)</f>
        <v>0</v>
      </c>
      <c r="N84" s="34">
        <f>IF(SUM($I84:M84)&lt;1,IF($C84&lt;=N$4,1/$E$41,0),0)</f>
        <v>0</v>
      </c>
      <c r="O84" s="34">
        <f>IF(SUM($I84:N84)&lt;1,IF($C84&lt;=O$4,1/$E$41,0),0)</f>
        <v>0</v>
      </c>
      <c r="P84" s="34">
        <f>IF(SUM($I84:O84)&lt;1,IF($C84&lt;=P$4,1/$E$41,0),0)</f>
        <v>0</v>
      </c>
      <c r="Q84" s="34">
        <f>IF(SUM($I84:P84)&lt;1,IF($C84&lt;=Q$4,1/$E$41,0),0)</f>
        <v>0</v>
      </c>
      <c r="R84" s="34">
        <f>IF(SUM($I84:Q84)&lt;1,IF($C84&lt;=R$4,1/$E$41,0),0)</f>
        <v>0</v>
      </c>
      <c r="S84" s="34">
        <f>IF(SUM($I84:R84)&lt;1,IF($C84&lt;=S$4,1/$E$41,0),0)</f>
        <v>0</v>
      </c>
      <c r="T84" s="34">
        <f>IF(SUM($I84:S84)&lt;1,IF($C84&lt;=T$4,1/$E$41,0),0)</f>
        <v>0</v>
      </c>
      <c r="U84" s="34">
        <f>IF(SUM($I84:T84)&lt;1,IF($C84&lt;=U$4,1/$E$41,0),0)</f>
        <v>0</v>
      </c>
      <c r="V84" s="34">
        <f>IF(SUM($I84:U84)&lt;1,IF($C84&lt;=V$4,1/$E$41,0),0)</f>
        <v>0</v>
      </c>
      <c r="W84" s="34">
        <f>IF(SUM($I84:V84)&lt;1,IF($C84&lt;=W$4,1/$E$41,0),0)</f>
        <v>0</v>
      </c>
      <c r="X84" s="34">
        <f>IF(SUM($I84:W84)&lt;1,IF($C84&lt;=X$4,1/$E$41,0),0)</f>
        <v>0</v>
      </c>
      <c r="Y84" s="34">
        <f>IF(SUM($I84:X84)&lt;1,IF($C84&lt;=Y$4,1/$E$41,0),0)</f>
        <v>0</v>
      </c>
      <c r="Z84" s="34">
        <f>IF(SUM($I84:Y84)&lt;1,IF($C84&lt;=Z$4,1/$E$41,0),0)</f>
        <v>0</v>
      </c>
      <c r="AA84" s="34">
        <f>IF(SUM($I84:Z84)&lt;1,IF($C84&lt;=AA$4,1/$E$41,0),0)</f>
        <v>0</v>
      </c>
      <c r="AB84" s="34">
        <f>IF(SUM($I84:AA84)&lt;1,IF($C84&lt;=AB$4,1/$E$41,0),0)</f>
        <v>0</v>
      </c>
      <c r="AC84" s="34">
        <f>IF(SUM($I84:AB84)&lt;1,IF($C84&lt;=AC$4,1/$E$41,0),0)</f>
        <v>0</v>
      </c>
      <c r="AD84" s="34">
        <f>IF(SUM($I84:AC84)&lt;1,IF($C84&lt;=AD$4,1/$E$41,0),0)</f>
        <v>0</v>
      </c>
      <c r="AE84" s="34">
        <f>IF(SUM($I84:AD84)&lt;1,IF($C84&lt;=AE$4,1/$E$41,0),0)</f>
        <v>0</v>
      </c>
      <c r="AF84" s="34">
        <f>IF(SUM($I84:AE84)&lt;1,IF($C84&lt;=AF$4,1/$E$41,0),0)</f>
        <v>0</v>
      </c>
      <c r="AG84" s="34">
        <f>IF(SUM($I84:AF84)&lt;1,IF($C84&lt;=AG$4,1/$E$41,0),0)</f>
        <v>0</v>
      </c>
      <c r="AH84" s="34">
        <f>IF(SUM($I84:AG84)&lt;1,IF($C84&lt;=AH$4,1/$E$41,0),0)</f>
        <v>0</v>
      </c>
      <c r="AI84" s="34">
        <f>IF(SUM($I84:AH84)&lt;1,IF($C84&lt;=AI$4,1/$E$41,0),0)</f>
        <v>0</v>
      </c>
      <c r="AJ84" s="34">
        <f>IF(SUM($I84:AI84)&lt;1,IF($C84&lt;=AJ$4,1/$E$41,0),0)</f>
        <v>0</v>
      </c>
      <c r="AK84" s="34">
        <f>IF(SUM($I84:AJ84)&lt;1,IF($C84&lt;=AK$4,1/$E$41,0),0)</f>
        <v>0</v>
      </c>
      <c r="AL84" s="34">
        <f>IF(SUM($I84:AK84)&lt;1,IF($C84&lt;=AL$4,1/$E$41,0),0)</f>
        <v>0</v>
      </c>
      <c r="AM84" s="34">
        <f>IF(SUM($I84:AL84)&lt;1,IF($C84&lt;=AM$4,1/$E$41,0),0)</f>
        <v>0</v>
      </c>
      <c r="AN84" s="34">
        <f>IF(SUM($I84:AM84)&lt;1,IF($C84&lt;=AN$4,1/$E$41,0),0)</f>
        <v>0</v>
      </c>
      <c r="AO84" s="34">
        <f>IF(SUM($I84:AN84)&lt;1,IF($C84&lt;=AO$4,1/$E$41,0),0)</f>
        <v>0</v>
      </c>
      <c r="AP84" s="34">
        <f>IF(SUM($I84:AO84)&lt;1,IF($C84&lt;=AP$4,1/$E$41,0),0)</f>
        <v>0</v>
      </c>
      <c r="AQ84" s="34">
        <f>IF(SUM($I84:AP84)&lt;1,IF($C84&lt;=AQ$4,1/$E$41,0),0)</f>
        <v>0</v>
      </c>
      <c r="AR84" s="34">
        <f>IF(SUM($I84:AQ84)&lt;1,IF($C84&lt;=AR$4,1/$E$41,0),0)</f>
        <v>0</v>
      </c>
      <c r="AS84" s="34">
        <f>IF(SUM($I84:AR84)&lt;1,IF($C84&lt;=AS$4,1/$E$41,0),0)</f>
        <v>0</v>
      </c>
      <c r="AT84" s="34">
        <f>IF(SUM($I84:AS84)&lt;1,IF($C84&lt;=AT$4,1/$E$41,0),0)</f>
        <v>0</v>
      </c>
      <c r="AU84" s="34">
        <f>IF(SUM($I84:AT84)&lt;1,IF($C84&lt;=AU$4,1/$E$41,0),0)</f>
        <v>0</v>
      </c>
      <c r="AV84" s="34">
        <f>IF(SUM($I84:AU84)&lt;1,IF($C84&lt;=AV$4,1/$E$41,0),0)</f>
        <v>0</v>
      </c>
      <c r="AW84" s="34">
        <f>IF(SUM($I84:AV84)&lt;1,IF($C84&lt;=AW$4,1/$E$41,0),0)</f>
        <v>0.25</v>
      </c>
      <c r="AX84" s="34">
        <f>IF(SUM($I84:AW84)&lt;1,IF($C84&lt;=AX$4,1/$E$41,0),0)</f>
        <v>0.25</v>
      </c>
      <c r="AY84" s="34">
        <f>IF(SUM($I84:AX84)&lt;1,IF($C84&lt;=AY$4,1/$E$41,0),0)</f>
        <v>0.25</v>
      </c>
      <c r="AZ84" s="34">
        <f>IF(SUM($I84:AY84)&lt;1,IF($C84&lt;=AZ$4,1/$E$41,0),0)</f>
        <v>0.25</v>
      </c>
      <c r="BA84" s="34">
        <f>IF(SUM($I84:AZ84)&lt;1,IF($C84&lt;=BA$4,1/$E$41,0),0)</f>
        <v>0</v>
      </c>
      <c r="BB84" s="34">
        <f>IF(SUM($I84:BA84)&lt;1,IF($C84&lt;=BB$4,1/$E$41,0),0)</f>
        <v>0</v>
      </c>
      <c r="BC84" s="34">
        <f>IF(SUM($I84:BB84)&lt;1,IF($C84&lt;=BC$4,1/$E$41,0),0)</f>
        <v>0</v>
      </c>
      <c r="BD84" s="34">
        <f>IF(SUM($I84:BC84)&lt;1,IF($C84&lt;=BD$4,1/$E$41,0),0)</f>
        <v>0</v>
      </c>
      <c r="BE84" s="34">
        <f>IF(SUM($I84:BD84)&lt;1,IF($C84&lt;=BE$4,1/$E$41,0),0)</f>
        <v>0</v>
      </c>
      <c r="BF84" s="34">
        <f>IF(SUM($I84:BE84)&lt;1,IF($C84&lt;=BF$4,1/$E$41,0),0)</f>
        <v>0</v>
      </c>
      <c r="BG84" s="34">
        <f>IF(SUM($I84:BF84)&lt;1,IF($C84&lt;=BG$4,1/$E$41,0),0)</f>
        <v>0</v>
      </c>
      <c r="BH84" s="34">
        <f>IF(SUM($I84:BG84)&lt;1,IF($C84&lt;=BH$4,1/$E$41,0),0)</f>
        <v>0</v>
      </c>
      <c r="BI84" s="34">
        <f>IF(SUM($I84:BH84)&lt;1,IF($C84&lt;=BI$4,1/$E$41,0),0)</f>
        <v>0</v>
      </c>
      <c r="BJ84" s="34">
        <f>IF(SUM($I84:BI84)&lt;1,IF($C84&lt;=BJ$4,1/$E$41,0),0)</f>
        <v>0</v>
      </c>
      <c r="BK84" s="34">
        <f>IF(SUM($I84:BJ84)&lt;1,IF($C84&lt;=BK$4,1/$E$41,0),0)</f>
        <v>0</v>
      </c>
      <c r="BL84" s="34">
        <f>IF(SUM($I84:BK84)&lt;1,IF($C84&lt;=BL$4,1/$E$41,0),0)</f>
        <v>0</v>
      </c>
      <c r="BM84" s="34">
        <f>IF(SUM($I84:BL84)&lt;1,IF($C84&lt;=BM$4,1/$E$41,0),0)</f>
        <v>0</v>
      </c>
      <c r="BN84" s="34">
        <f>IF(SUM($I84:BM84)&lt;1,IF($C84&lt;=BN$4,1/$E$41,0),0)</f>
        <v>0</v>
      </c>
      <c r="BO84" s="34">
        <f>IF(SUM($I84:BN84)&lt;1,IF($C84&lt;=BO$4,1/$E$41,0),0)</f>
        <v>0</v>
      </c>
      <c r="BP84" s="34">
        <f>IF(SUM($I84:BO84)&lt;1,IF($C84&lt;=BP$4,1/$E$41,0),0)</f>
        <v>0</v>
      </c>
      <c r="BQ84" s="34">
        <f>IF(SUM($I84:BP84)&lt;1,IF($C84&lt;=BQ$4,1/$E$41,0),0)</f>
        <v>0</v>
      </c>
      <c r="BR84" s="34">
        <f>IF(SUM($I84:BQ84)&lt;1,IF($C84&lt;=BR$4,1/$E$41,0),0)</f>
        <v>0</v>
      </c>
      <c r="BS84" s="34">
        <f>IF(SUM($I84:BR84)&lt;1,IF($C84&lt;=BS$4,1/$E$41,0),0)</f>
        <v>0</v>
      </c>
      <c r="BT84" s="34">
        <f>IF(SUM($I84:BS84)&lt;1,IF($C84&lt;=BT$4,1/$E$41,0),0)</f>
        <v>0</v>
      </c>
      <c r="BU84" s="34">
        <f>IF(SUM($I84:BT84)&lt;1,IF($C84&lt;=BU$4,1/$E$41,0),0)</f>
        <v>0</v>
      </c>
      <c r="BV84" s="34">
        <f>IF(SUM($I84:BU84)&lt;1,IF($C84&lt;=BV$4,1/$E$41,0),0)</f>
        <v>0</v>
      </c>
      <c r="BW84" s="34">
        <f>IF(SUM($I84:BV84)&lt;1,IF($C84&lt;=BW$4,1/$E$41,0),0)</f>
        <v>0</v>
      </c>
      <c r="BX84" s="34">
        <f>IF(SUM($I84:BW84)&lt;1,IF($C84&lt;=BX$4,1/$E$41,0),0)</f>
        <v>0</v>
      </c>
      <c r="BY84" s="34">
        <f>IF(SUM($I84:BX84)&lt;1,IF($C84&lt;=BY$4,1/$E$41,0),0)</f>
        <v>0</v>
      </c>
      <c r="BZ84" s="34">
        <f>IF(SUM($I84:BY84)&lt;1,IF($C84&lt;=BZ$4,1/$E$41,0),0)</f>
        <v>0</v>
      </c>
      <c r="CA84" s="34">
        <f>IF(SUM($I84:BZ84)&lt;1,IF($C84&lt;=CA$4,1/$E$41,0),0)</f>
        <v>0</v>
      </c>
      <c r="CB84" s="34">
        <f>IF(SUM($I84:CA84)&lt;1,IF($C84&lt;=CB$4,1/$E$41,0),0)</f>
        <v>0</v>
      </c>
      <c r="CC84" s="34">
        <f>IF(SUM($I84:CB84)&lt;1,IF($C84&lt;=CC$4,1/$E$41,0),0)</f>
        <v>0</v>
      </c>
      <c r="CD84" s="34">
        <f>IF(SUM($I84:CC84)&lt;1,IF($C84&lt;=CD$4,1/$E$41,0),0)</f>
        <v>0</v>
      </c>
      <c r="CE84" s="34">
        <f>IF(SUM($I84:CD84)&lt;1,IF($C84&lt;=CE$4,1/$E$41,0),0)</f>
        <v>0</v>
      </c>
      <c r="CF84" s="34">
        <f>IF(SUM($I84:CE84)&lt;1,IF($C84&lt;=CF$4,1/$E$41,0),0)</f>
        <v>0</v>
      </c>
      <c r="CG84" s="34">
        <f>IF(SUM($I84:CF84)&lt;1,IF($C84&lt;=CG$4,1/$E$41,0),0)</f>
        <v>0</v>
      </c>
      <c r="CH84" s="34">
        <f>IF(SUM($I84:CG84)&lt;1,IF($C84&lt;=CH$4,1/$E$41,0),0)</f>
        <v>0</v>
      </c>
      <c r="CI84" s="34">
        <f>IF(SUM($I84:CH84)&lt;1,IF($C84&lt;=CI$4,1/$E$41,0),0)</f>
        <v>0</v>
      </c>
      <c r="CJ84" s="34">
        <f>IF(SUM($I84:CI84)&lt;1,IF($C84&lt;=CJ$4,1/$E$41,0),0)</f>
        <v>0</v>
      </c>
      <c r="CK84" s="34">
        <f>IF(SUM($I84:CJ84)&lt;1,IF($C84&lt;=CK$4,1/$E$41,0),0)</f>
        <v>0</v>
      </c>
      <c r="CL84" s="34">
        <f>IF(SUM($I84:CK84)&lt;1,IF($C84&lt;=CL$4,1/$E$41,0),0)</f>
        <v>0</v>
      </c>
      <c r="CM84" s="34">
        <f>IF(SUM($I84:CL84)&lt;1,IF($C84&lt;=CM$4,1/$E$41,0),0)</f>
        <v>0</v>
      </c>
      <c r="CN84" s="34">
        <f>IF(SUM($I84:CM84)&lt;1,IF($C84&lt;=CN$4,1/$E$41,0),0)</f>
        <v>0</v>
      </c>
      <c r="CO84" s="34">
        <f>IF(SUM($I84:CN84)&lt;1,IF($C84&lt;=CO$4,1/$E$41,0),0)</f>
        <v>0</v>
      </c>
      <c r="CP84" s="34">
        <f>IF(SUM($I84:CO84)&lt;1,IF($C84&lt;=CP$4,1/$E$41,0),0)</f>
        <v>0</v>
      </c>
      <c r="CQ84" s="34">
        <f>IF(SUM($I84:CP84)&lt;1,IF($C84&lt;=CQ$4,1/$E$41,0),0)</f>
        <v>0</v>
      </c>
      <c r="CR84" s="34">
        <f>IF(SUM($I84:CQ84)&lt;1,IF($C84&lt;=CR$4,1/$E$41,0),0)</f>
        <v>0</v>
      </c>
      <c r="CS84" s="34">
        <f>IF(SUM($I84:CR84)&lt;1,IF($C84&lt;=CS$4,1/$E$41,0),0)</f>
        <v>0</v>
      </c>
      <c r="CT84" s="34">
        <f>IF(SUM($I84:CS84)&lt;1,IF($C84&lt;=CT$4,1/$E$41,0),0)</f>
        <v>0</v>
      </c>
      <c r="CU84" s="34">
        <f>IF(SUM($I84:CT84)&lt;1,IF($C84&lt;=CU$4,1/$E$41,0),0)</f>
        <v>0</v>
      </c>
      <c r="CV84" s="34">
        <f>IF(SUM($I84:CU84)&lt;1,IF($C84&lt;=CV$4,1/$E$41,0),0)</f>
        <v>0</v>
      </c>
      <c r="CW84" s="34">
        <f>IF(SUM($I84:CV84)&lt;1,IF($C84&lt;=CW$4,1/$E$41,0),0)</f>
        <v>0</v>
      </c>
      <c r="CX84" s="34">
        <f>IF(SUM($I84:CW84)&lt;1,IF($C84&lt;=CX$4,1/$E$41,0),0)</f>
        <v>0</v>
      </c>
      <c r="CY84" s="34">
        <f>IF(SUM($I84:CX84)&lt;1,IF($C84&lt;=CY$4,1/$E$41,0),0)</f>
        <v>0</v>
      </c>
      <c r="CZ84" s="34">
        <f>IF(SUM($I84:CY84)&lt;1,IF($C84&lt;=CZ$4,1/$E$41,0),0)</f>
        <v>0</v>
      </c>
      <c r="DA84" s="34">
        <f>IF(SUM($I84:CZ84)&lt;1,IF($C84&lt;=DA$4,1/$E$41,0),0)</f>
        <v>0</v>
      </c>
      <c r="DB84" s="34">
        <f>IF(SUM($I84:DA84)&lt;1,IF($C84&lt;=DB$4,1/$E$41,0),0)</f>
        <v>0</v>
      </c>
      <c r="DC84" s="34">
        <f>IF(SUM($I84:DB84)&lt;1,IF($C84&lt;=DC$4,1/$E$41,0),0)</f>
        <v>0</v>
      </c>
      <c r="DD84" s="34">
        <f>IF(SUM($I84:DC84)&lt;1,IF($C84&lt;=DD$4,1/$E$41,0),0)</f>
        <v>0</v>
      </c>
      <c r="DE84" s="34">
        <f>IF(SUM($I84:DD84)&lt;1,IF($C84&lt;=DE$4,1/$E$41,0),0)</f>
        <v>0</v>
      </c>
      <c r="DF84" s="34">
        <f>IF(SUM($I84:DE84)&lt;1,IF($C84&lt;=DF$4,1/$E$41,0),0)</f>
        <v>0</v>
      </c>
      <c r="DG84" s="34">
        <f>IF(SUM($I84:DF84)&lt;1,IF($C84&lt;=DG$4,1/$E$41,0),0)</f>
        <v>0</v>
      </c>
      <c r="DH84" s="34">
        <f>IF(SUM($I84:DG84)&lt;1,IF($C84&lt;=DH$4,1/$E$41,0),0)</f>
        <v>0</v>
      </c>
      <c r="DI84" s="34">
        <f>IF(SUM($I84:DH84)&lt;1,IF($C84&lt;=DI$4,1/$E$41,0),0)</f>
        <v>0</v>
      </c>
      <c r="DJ84" s="34">
        <f>IF(SUM($I84:DI84)&lt;1,IF($C84&lt;=DJ$4,1/$E$41,0),0)</f>
        <v>0</v>
      </c>
      <c r="DK84" s="34">
        <f>IF(SUM($I84:DJ84)&lt;1,IF($C84&lt;=DK$4,1/$E$41,0),0)</f>
        <v>0</v>
      </c>
      <c r="DL84" s="34">
        <f>IF(SUM($I84:DK84)&lt;1,IF($C84&lt;=DL$4,1/$E$41,0),0)</f>
        <v>0</v>
      </c>
      <c r="DM84" s="34">
        <f>IF(SUM($I84:DL84)&lt;1,IF($C84&lt;=DM$4,1/$E$41,0),0)</f>
        <v>0</v>
      </c>
    </row>
    <row r="85" spans="3:117" outlineLevel="1" x14ac:dyDescent="0.15">
      <c r="C85" s="50">
        <f t="shared" si="48"/>
        <v>41</v>
      </c>
      <c r="D85" s="5" t="s">
        <v>18</v>
      </c>
      <c r="E85" s="19">
        <f t="shared" si="49"/>
        <v>0</v>
      </c>
      <c r="I85" s="9"/>
      <c r="J85" s="34">
        <f>IF(SUM($I85:I85)&lt;1,IF($C85&lt;=J$4,1/$E$41,0),0)</f>
        <v>0</v>
      </c>
      <c r="K85" s="34">
        <f>IF(SUM($I85:J85)&lt;1,IF($C85&lt;=K$4,1/$E$41,0),0)</f>
        <v>0</v>
      </c>
      <c r="L85" s="34">
        <f>IF(SUM($I85:K85)&lt;1,IF($C85&lt;=L$4,1/$E$41,0),0)</f>
        <v>0</v>
      </c>
      <c r="M85" s="34">
        <f>IF(SUM($I85:L85)&lt;1,IF($C85&lt;=M$4,1/$E$41,0),0)</f>
        <v>0</v>
      </c>
      <c r="N85" s="34">
        <f>IF(SUM($I85:M85)&lt;1,IF($C85&lt;=N$4,1/$E$41,0),0)</f>
        <v>0</v>
      </c>
      <c r="O85" s="34">
        <f>IF(SUM($I85:N85)&lt;1,IF($C85&lt;=O$4,1/$E$41,0),0)</f>
        <v>0</v>
      </c>
      <c r="P85" s="34">
        <f>IF(SUM($I85:O85)&lt;1,IF($C85&lt;=P$4,1/$E$41,0),0)</f>
        <v>0</v>
      </c>
      <c r="Q85" s="34">
        <f>IF(SUM($I85:P85)&lt;1,IF($C85&lt;=Q$4,1/$E$41,0),0)</f>
        <v>0</v>
      </c>
      <c r="R85" s="34">
        <f>IF(SUM($I85:Q85)&lt;1,IF($C85&lt;=R$4,1/$E$41,0),0)</f>
        <v>0</v>
      </c>
      <c r="S85" s="34">
        <f>IF(SUM($I85:R85)&lt;1,IF($C85&lt;=S$4,1/$E$41,0),0)</f>
        <v>0</v>
      </c>
      <c r="T85" s="34">
        <f>IF(SUM($I85:S85)&lt;1,IF($C85&lt;=T$4,1/$E$41,0),0)</f>
        <v>0</v>
      </c>
      <c r="U85" s="34">
        <f>IF(SUM($I85:T85)&lt;1,IF($C85&lt;=U$4,1/$E$41,0),0)</f>
        <v>0</v>
      </c>
      <c r="V85" s="34">
        <f>IF(SUM($I85:U85)&lt;1,IF($C85&lt;=V$4,1/$E$41,0),0)</f>
        <v>0</v>
      </c>
      <c r="W85" s="34">
        <f>IF(SUM($I85:V85)&lt;1,IF($C85&lt;=W$4,1/$E$41,0),0)</f>
        <v>0</v>
      </c>
      <c r="X85" s="34">
        <f>IF(SUM($I85:W85)&lt;1,IF($C85&lt;=X$4,1/$E$41,0),0)</f>
        <v>0</v>
      </c>
      <c r="Y85" s="34">
        <f>IF(SUM($I85:X85)&lt;1,IF($C85&lt;=Y$4,1/$E$41,0),0)</f>
        <v>0</v>
      </c>
      <c r="Z85" s="34">
        <f>IF(SUM($I85:Y85)&lt;1,IF($C85&lt;=Z$4,1/$E$41,0),0)</f>
        <v>0</v>
      </c>
      <c r="AA85" s="34">
        <f>IF(SUM($I85:Z85)&lt;1,IF($C85&lt;=AA$4,1/$E$41,0),0)</f>
        <v>0</v>
      </c>
      <c r="AB85" s="34">
        <f>IF(SUM($I85:AA85)&lt;1,IF($C85&lt;=AB$4,1/$E$41,0),0)</f>
        <v>0</v>
      </c>
      <c r="AC85" s="34">
        <f>IF(SUM($I85:AB85)&lt;1,IF($C85&lt;=AC$4,1/$E$41,0),0)</f>
        <v>0</v>
      </c>
      <c r="AD85" s="34">
        <f>IF(SUM($I85:AC85)&lt;1,IF($C85&lt;=AD$4,1/$E$41,0),0)</f>
        <v>0</v>
      </c>
      <c r="AE85" s="34">
        <f>IF(SUM($I85:AD85)&lt;1,IF($C85&lt;=AE$4,1/$E$41,0),0)</f>
        <v>0</v>
      </c>
      <c r="AF85" s="34">
        <f>IF(SUM($I85:AE85)&lt;1,IF($C85&lt;=AF$4,1/$E$41,0),0)</f>
        <v>0</v>
      </c>
      <c r="AG85" s="34">
        <f>IF(SUM($I85:AF85)&lt;1,IF($C85&lt;=AG$4,1/$E$41,0),0)</f>
        <v>0</v>
      </c>
      <c r="AH85" s="34">
        <f>IF(SUM($I85:AG85)&lt;1,IF($C85&lt;=AH$4,1/$E$41,0),0)</f>
        <v>0</v>
      </c>
      <c r="AI85" s="34">
        <f>IF(SUM($I85:AH85)&lt;1,IF($C85&lt;=AI$4,1/$E$41,0),0)</f>
        <v>0</v>
      </c>
      <c r="AJ85" s="34">
        <f>IF(SUM($I85:AI85)&lt;1,IF($C85&lt;=AJ$4,1/$E$41,0),0)</f>
        <v>0</v>
      </c>
      <c r="AK85" s="34">
        <f>IF(SUM($I85:AJ85)&lt;1,IF($C85&lt;=AK$4,1/$E$41,0),0)</f>
        <v>0</v>
      </c>
      <c r="AL85" s="34">
        <f>IF(SUM($I85:AK85)&lt;1,IF($C85&lt;=AL$4,1/$E$41,0),0)</f>
        <v>0</v>
      </c>
      <c r="AM85" s="34">
        <f>IF(SUM($I85:AL85)&lt;1,IF($C85&lt;=AM$4,1/$E$41,0),0)</f>
        <v>0</v>
      </c>
      <c r="AN85" s="34">
        <f>IF(SUM($I85:AM85)&lt;1,IF($C85&lt;=AN$4,1/$E$41,0),0)</f>
        <v>0</v>
      </c>
      <c r="AO85" s="34">
        <f>IF(SUM($I85:AN85)&lt;1,IF($C85&lt;=AO$4,1/$E$41,0),0)</f>
        <v>0</v>
      </c>
      <c r="AP85" s="34">
        <f>IF(SUM($I85:AO85)&lt;1,IF($C85&lt;=AP$4,1/$E$41,0),0)</f>
        <v>0</v>
      </c>
      <c r="AQ85" s="34">
        <f>IF(SUM($I85:AP85)&lt;1,IF($C85&lt;=AQ$4,1/$E$41,0),0)</f>
        <v>0</v>
      </c>
      <c r="AR85" s="34">
        <f>IF(SUM($I85:AQ85)&lt;1,IF($C85&lt;=AR$4,1/$E$41,0),0)</f>
        <v>0</v>
      </c>
      <c r="AS85" s="34">
        <f>IF(SUM($I85:AR85)&lt;1,IF($C85&lt;=AS$4,1/$E$41,0),0)</f>
        <v>0</v>
      </c>
      <c r="AT85" s="34">
        <f>IF(SUM($I85:AS85)&lt;1,IF($C85&lt;=AT$4,1/$E$41,0),0)</f>
        <v>0</v>
      </c>
      <c r="AU85" s="34">
        <f>IF(SUM($I85:AT85)&lt;1,IF($C85&lt;=AU$4,1/$E$41,0),0)</f>
        <v>0</v>
      </c>
      <c r="AV85" s="34">
        <f>IF(SUM($I85:AU85)&lt;1,IF($C85&lt;=AV$4,1/$E$41,0),0)</f>
        <v>0</v>
      </c>
      <c r="AW85" s="34">
        <f>IF(SUM($I85:AV85)&lt;1,IF($C85&lt;=AW$4,1/$E$41,0),0)</f>
        <v>0</v>
      </c>
      <c r="AX85" s="34">
        <f>IF(SUM($I85:AW85)&lt;1,IF($C85&lt;=AX$4,1/$E$41,0),0)</f>
        <v>0.25</v>
      </c>
      <c r="AY85" s="34">
        <f>IF(SUM($I85:AX85)&lt;1,IF($C85&lt;=AY$4,1/$E$41,0),0)</f>
        <v>0.25</v>
      </c>
      <c r="AZ85" s="34">
        <f>IF(SUM($I85:AY85)&lt;1,IF($C85&lt;=AZ$4,1/$E$41,0),0)</f>
        <v>0.25</v>
      </c>
      <c r="BA85" s="34">
        <f>IF(SUM($I85:AZ85)&lt;1,IF($C85&lt;=BA$4,1/$E$41,0),0)</f>
        <v>0.25</v>
      </c>
      <c r="BB85" s="34">
        <f>IF(SUM($I85:BA85)&lt;1,IF($C85&lt;=BB$4,1/$E$41,0),0)</f>
        <v>0</v>
      </c>
      <c r="BC85" s="34">
        <f>IF(SUM($I85:BB85)&lt;1,IF($C85&lt;=BC$4,1/$E$41,0),0)</f>
        <v>0</v>
      </c>
      <c r="BD85" s="34">
        <f>IF(SUM($I85:BC85)&lt;1,IF($C85&lt;=BD$4,1/$E$41,0),0)</f>
        <v>0</v>
      </c>
      <c r="BE85" s="34">
        <f>IF(SUM($I85:BD85)&lt;1,IF($C85&lt;=BE$4,1/$E$41,0),0)</f>
        <v>0</v>
      </c>
      <c r="BF85" s="34">
        <f>IF(SUM($I85:BE85)&lt;1,IF($C85&lt;=BF$4,1/$E$41,0),0)</f>
        <v>0</v>
      </c>
      <c r="BG85" s="34">
        <f>IF(SUM($I85:BF85)&lt;1,IF($C85&lt;=BG$4,1/$E$41,0),0)</f>
        <v>0</v>
      </c>
      <c r="BH85" s="34">
        <f>IF(SUM($I85:BG85)&lt;1,IF($C85&lt;=BH$4,1/$E$41,0),0)</f>
        <v>0</v>
      </c>
      <c r="BI85" s="34">
        <f>IF(SUM($I85:BH85)&lt;1,IF($C85&lt;=BI$4,1/$E$41,0),0)</f>
        <v>0</v>
      </c>
      <c r="BJ85" s="34">
        <f>IF(SUM($I85:BI85)&lt;1,IF($C85&lt;=BJ$4,1/$E$41,0),0)</f>
        <v>0</v>
      </c>
      <c r="BK85" s="34">
        <f>IF(SUM($I85:BJ85)&lt;1,IF($C85&lt;=BK$4,1/$E$41,0),0)</f>
        <v>0</v>
      </c>
      <c r="BL85" s="34">
        <f>IF(SUM($I85:BK85)&lt;1,IF($C85&lt;=BL$4,1/$E$41,0),0)</f>
        <v>0</v>
      </c>
      <c r="BM85" s="34">
        <f>IF(SUM($I85:BL85)&lt;1,IF($C85&lt;=BM$4,1/$E$41,0),0)</f>
        <v>0</v>
      </c>
      <c r="BN85" s="34">
        <f>IF(SUM($I85:BM85)&lt;1,IF($C85&lt;=BN$4,1/$E$41,0),0)</f>
        <v>0</v>
      </c>
      <c r="BO85" s="34">
        <f>IF(SUM($I85:BN85)&lt;1,IF($C85&lt;=BO$4,1/$E$41,0),0)</f>
        <v>0</v>
      </c>
      <c r="BP85" s="34">
        <f>IF(SUM($I85:BO85)&lt;1,IF($C85&lt;=BP$4,1/$E$41,0),0)</f>
        <v>0</v>
      </c>
      <c r="BQ85" s="34">
        <f>IF(SUM($I85:BP85)&lt;1,IF($C85&lt;=BQ$4,1/$E$41,0),0)</f>
        <v>0</v>
      </c>
      <c r="BR85" s="34">
        <f>IF(SUM($I85:BQ85)&lt;1,IF($C85&lt;=BR$4,1/$E$41,0),0)</f>
        <v>0</v>
      </c>
      <c r="BS85" s="34">
        <f>IF(SUM($I85:BR85)&lt;1,IF($C85&lt;=BS$4,1/$E$41,0),0)</f>
        <v>0</v>
      </c>
      <c r="BT85" s="34">
        <f>IF(SUM($I85:BS85)&lt;1,IF($C85&lt;=BT$4,1/$E$41,0),0)</f>
        <v>0</v>
      </c>
      <c r="BU85" s="34">
        <f>IF(SUM($I85:BT85)&lt;1,IF($C85&lt;=BU$4,1/$E$41,0),0)</f>
        <v>0</v>
      </c>
      <c r="BV85" s="34">
        <f>IF(SUM($I85:BU85)&lt;1,IF($C85&lt;=BV$4,1/$E$41,0),0)</f>
        <v>0</v>
      </c>
      <c r="BW85" s="34">
        <f>IF(SUM($I85:BV85)&lt;1,IF($C85&lt;=BW$4,1/$E$41,0),0)</f>
        <v>0</v>
      </c>
      <c r="BX85" s="34">
        <f>IF(SUM($I85:BW85)&lt;1,IF($C85&lt;=BX$4,1/$E$41,0),0)</f>
        <v>0</v>
      </c>
      <c r="BY85" s="34">
        <f>IF(SUM($I85:BX85)&lt;1,IF($C85&lt;=BY$4,1/$E$41,0),0)</f>
        <v>0</v>
      </c>
      <c r="BZ85" s="34">
        <f>IF(SUM($I85:BY85)&lt;1,IF($C85&lt;=BZ$4,1/$E$41,0),0)</f>
        <v>0</v>
      </c>
      <c r="CA85" s="34">
        <f>IF(SUM($I85:BZ85)&lt;1,IF($C85&lt;=CA$4,1/$E$41,0),0)</f>
        <v>0</v>
      </c>
      <c r="CB85" s="34">
        <f>IF(SUM($I85:CA85)&lt;1,IF($C85&lt;=CB$4,1/$E$41,0),0)</f>
        <v>0</v>
      </c>
      <c r="CC85" s="34">
        <f>IF(SUM($I85:CB85)&lt;1,IF($C85&lt;=CC$4,1/$E$41,0),0)</f>
        <v>0</v>
      </c>
      <c r="CD85" s="34">
        <f>IF(SUM($I85:CC85)&lt;1,IF($C85&lt;=CD$4,1/$E$41,0),0)</f>
        <v>0</v>
      </c>
      <c r="CE85" s="34">
        <f>IF(SUM($I85:CD85)&lt;1,IF($C85&lt;=CE$4,1/$E$41,0),0)</f>
        <v>0</v>
      </c>
      <c r="CF85" s="34">
        <f>IF(SUM($I85:CE85)&lt;1,IF($C85&lt;=CF$4,1/$E$41,0),0)</f>
        <v>0</v>
      </c>
      <c r="CG85" s="34">
        <f>IF(SUM($I85:CF85)&lt;1,IF($C85&lt;=CG$4,1/$E$41,0),0)</f>
        <v>0</v>
      </c>
      <c r="CH85" s="34">
        <f>IF(SUM($I85:CG85)&lt;1,IF($C85&lt;=CH$4,1/$E$41,0),0)</f>
        <v>0</v>
      </c>
      <c r="CI85" s="34">
        <f>IF(SUM($I85:CH85)&lt;1,IF($C85&lt;=CI$4,1/$E$41,0),0)</f>
        <v>0</v>
      </c>
      <c r="CJ85" s="34">
        <f>IF(SUM($I85:CI85)&lt;1,IF($C85&lt;=CJ$4,1/$E$41,0),0)</f>
        <v>0</v>
      </c>
      <c r="CK85" s="34">
        <f>IF(SUM($I85:CJ85)&lt;1,IF($C85&lt;=CK$4,1/$E$41,0),0)</f>
        <v>0</v>
      </c>
      <c r="CL85" s="34">
        <f>IF(SUM($I85:CK85)&lt;1,IF($C85&lt;=CL$4,1/$E$41,0),0)</f>
        <v>0</v>
      </c>
      <c r="CM85" s="34">
        <f>IF(SUM($I85:CL85)&lt;1,IF($C85&lt;=CM$4,1/$E$41,0),0)</f>
        <v>0</v>
      </c>
      <c r="CN85" s="34">
        <f>IF(SUM($I85:CM85)&lt;1,IF($C85&lt;=CN$4,1/$E$41,0),0)</f>
        <v>0</v>
      </c>
      <c r="CO85" s="34">
        <f>IF(SUM($I85:CN85)&lt;1,IF($C85&lt;=CO$4,1/$E$41,0),0)</f>
        <v>0</v>
      </c>
      <c r="CP85" s="34">
        <f>IF(SUM($I85:CO85)&lt;1,IF($C85&lt;=CP$4,1/$E$41,0),0)</f>
        <v>0</v>
      </c>
      <c r="CQ85" s="34">
        <f>IF(SUM($I85:CP85)&lt;1,IF($C85&lt;=CQ$4,1/$E$41,0),0)</f>
        <v>0</v>
      </c>
      <c r="CR85" s="34">
        <f>IF(SUM($I85:CQ85)&lt;1,IF($C85&lt;=CR$4,1/$E$41,0),0)</f>
        <v>0</v>
      </c>
      <c r="CS85" s="34">
        <f>IF(SUM($I85:CR85)&lt;1,IF($C85&lt;=CS$4,1/$E$41,0),0)</f>
        <v>0</v>
      </c>
      <c r="CT85" s="34">
        <f>IF(SUM($I85:CS85)&lt;1,IF($C85&lt;=CT$4,1/$E$41,0),0)</f>
        <v>0</v>
      </c>
      <c r="CU85" s="34">
        <f>IF(SUM($I85:CT85)&lt;1,IF($C85&lt;=CU$4,1/$E$41,0),0)</f>
        <v>0</v>
      </c>
      <c r="CV85" s="34">
        <f>IF(SUM($I85:CU85)&lt;1,IF($C85&lt;=CV$4,1/$E$41,0),0)</f>
        <v>0</v>
      </c>
      <c r="CW85" s="34">
        <f>IF(SUM($I85:CV85)&lt;1,IF($C85&lt;=CW$4,1/$E$41,0),0)</f>
        <v>0</v>
      </c>
      <c r="CX85" s="34">
        <f>IF(SUM($I85:CW85)&lt;1,IF($C85&lt;=CX$4,1/$E$41,0),0)</f>
        <v>0</v>
      </c>
      <c r="CY85" s="34">
        <f>IF(SUM($I85:CX85)&lt;1,IF($C85&lt;=CY$4,1/$E$41,0),0)</f>
        <v>0</v>
      </c>
      <c r="CZ85" s="34">
        <f>IF(SUM($I85:CY85)&lt;1,IF($C85&lt;=CZ$4,1/$E$41,0),0)</f>
        <v>0</v>
      </c>
      <c r="DA85" s="34">
        <f>IF(SUM($I85:CZ85)&lt;1,IF($C85&lt;=DA$4,1/$E$41,0),0)</f>
        <v>0</v>
      </c>
      <c r="DB85" s="34">
        <f>IF(SUM($I85:DA85)&lt;1,IF($C85&lt;=DB$4,1/$E$41,0),0)</f>
        <v>0</v>
      </c>
      <c r="DC85" s="34">
        <f>IF(SUM($I85:DB85)&lt;1,IF($C85&lt;=DC$4,1/$E$41,0),0)</f>
        <v>0</v>
      </c>
      <c r="DD85" s="34">
        <f>IF(SUM($I85:DC85)&lt;1,IF($C85&lt;=DD$4,1/$E$41,0),0)</f>
        <v>0</v>
      </c>
      <c r="DE85" s="34">
        <f>IF(SUM($I85:DD85)&lt;1,IF($C85&lt;=DE$4,1/$E$41,0),0)</f>
        <v>0</v>
      </c>
      <c r="DF85" s="34">
        <f>IF(SUM($I85:DE85)&lt;1,IF($C85&lt;=DF$4,1/$E$41,0),0)</f>
        <v>0</v>
      </c>
      <c r="DG85" s="34">
        <f>IF(SUM($I85:DF85)&lt;1,IF($C85&lt;=DG$4,1/$E$41,0),0)</f>
        <v>0</v>
      </c>
      <c r="DH85" s="34">
        <f>IF(SUM($I85:DG85)&lt;1,IF($C85&lt;=DH$4,1/$E$41,0),0)</f>
        <v>0</v>
      </c>
      <c r="DI85" s="34">
        <f>IF(SUM($I85:DH85)&lt;1,IF($C85&lt;=DI$4,1/$E$41,0),0)</f>
        <v>0</v>
      </c>
      <c r="DJ85" s="34">
        <f>IF(SUM($I85:DI85)&lt;1,IF($C85&lt;=DJ$4,1/$E$41,0),0)</f>
        <v>0</v>
      </c>
      <c r="DK85" s="34">
        <f>IF(SUM($I85:DJ85)&lt;1,IF($C85&lt;=DK$4,1/$E$41,0),0)</f>
        <v>0</v>
      </c>
      <c r="DL85" s="34">
        <f>IF(SUM($I85:DK85)&lt;1,IF($C85&lt;=DL$4,1/$E$41,0),0)</f>
        <v>0</v>
      </c>
      <c r="DM85" s="34">
        <f>IF(SUM($I85:DL85)&lt;1,IF($C85&lt;=DM$4,1/$E$41,0),0)</f>
        <v>0</v>
      </c>
    </row>
    <row r="86" spans="3:117" outlineLevel="1" x14ac:dyDescent="0.15">
      <c r="C86" s="50">
        <f t="shared" si="48"/>
        <v>42</v>
      </c>
      <c r="D86" s="5" t="s">
        <v>18</v>
      </c>
      <c r="E86" s="19">
        <f t="shared" si="49"/>
        <v>0</v>
      </c>
      <c r="I86" s="9"/>
      <c r="J86" s="34">
        <f>IF(SUM($I86:I86)&lt;1,IF($C86&lt;=J$4,1/$E$41,0),0)</f>
        <v>0</v>
      </c>
      <c r="K86" s="34">
        <f>IF(SUM($I86:J86)&lt;1,IF($C86&lt;=K$4,1/$E$41,0),0)</f>
        <v>0</v>
      </c>
      <c r="L86" s="34">
        <f>IF(SUM($I86:K86)&lt;1,IF($C86&lt;=L$4,1/$E$41,0),0)</f>
        <v>0</v>
      </c>
      <c r="M86" s="34">
        <f>IF(SUM($I86:L86)&lt;1,IF($C86&lt;=M$4,1/$E$41,0),0)</f>
        <v>0</v>
      </c>
      <c r="N86" s="34">
        <f>IF(SUM($I86:M86)&lt;1,IF($C86&lt;=N$4,1/$E$41,0),0)</f>
        <v>0</v>
      </c>
      <c r="O86" s="34">
        <f>IF(SUM($I86:N86)&lt;1,IF($C86&lt;=O$4,1/$E$41,0),0)</f>
        <v>0</v>
      </c>
      <c r="P86" s="34">
        <f>IF(SUM($I86:O86)&lt;1,IF($C86&lt;=P$4,1/$E$41,0),0)</f>
        <v>0</v>
      </c>
      <c r="Q86" s="34">
        <f>IF(SUM($I86:P86)&lt;1,IF($C86&lt;=Q$4,1/$E$41,0),0)</f>
        <v>0</v>
      </c>
      <c r="R86" s="34">
        <f>IF(SUM($I86:Q86)&lt;1,IF($C86&lt;=R$4,1/$E$41,0),0)</f>
        <v>0</v>
      </c>
      <c r="S86" s="34">
        <f>IF(SUM($I86:R86)&lt;1,IF($C86&lt;=S$4,1/$E$41,0),0)</f>
        <v>0</v>
      </c>
      <c r="T86" s="34">
        <f>IF(SUM($I86:S86)&lt;1,IF($C86&lt;=T$4,1/$E$41,0),0)</f>
        <v>0</v>
      </c>
      <c r="U86" s="34">
        <f>IF(SUM($I86:T86)&lt;1,IF($C86&lt;=U$4,1/$E$41,0),0)</f>
        <v>0</v>
      </c>
      <c r="V86" s="34">
        <f>IF(SUM($I86:U86)&lt;1,IF($C86&lt;=V$4,1/$E$41,0),0)</f>
        <v>0</v>
      </c>
      <c r="W86" s="34">
        <f>IF(SUM($I86:V86)&lt;1,IF($C86&lt;=W$4,1/$E$41,0),0)</f>
        <v>0</v>
      </c>
      <c r="X86" s="34">
        <f>IF(SUM($I86:W86)&lt;1,IF($C86&lt;=X$4,1/$E$41,0),0)</f>
        <v>0</v>
      </c>
      <c r="Y86" s="34">
        <f>IF(SUM($I86:X86)&lt;1,IF($C86&lt;=Y$4,1/$E$41,0),0)</f>
        <v>0</v>
      </c>
      <c r="Z86" s="34">
        <f>IF(SUM($I86:Y86)&lt;1,IF($C86&lt;=Z$4,1/$E$41,0),0)</f>
        <v>0</v>
      </c>
      <c r="AA86" s="34">
        <f>IF(SUM($I86:Z86)&lt;1,IF($C86&lt;=AA$4,1/$E$41,0),0)</f>
        <v>0</v>
      </c>
      <c r="AB86" s="34">
        <f>IF(SUM($I86:AA86)&lt;1,IF($C86&lt;=AB$4,1/$E$41,0),0)</f>
        <v>0</v>
      </c>
      <c r="AC86" s="34">
        <f>IF(SUM($I86:AB86)&lt;1,IF($C86&lt;=AC$4,1/$E$41,0),0)</f>
        <v>0</v>
      </c>
      <c r="AD86" s="34">
        <f>IF(SUM($I86:AC86)&lt;1,IF($C86&lt;=AD$4,1/$E$41,0),0)</f>
        <v>0</v>
      </c>
      <c r="AE86" s="34">
        <f>IF(SUM($I86:AD86)&lt;1,IF($C86&lt;=AE$4,1/$E$41,0),0)</f>
        <v>0</v>
      </c>
      <c r="AF86" s="34">
        <f>IF(SUM($I86:AE86)&lt;1,IF($C86&lt;=AF$4,1/$E$41,0),0)</f>
        <v>0</v>
      </c>
      <c r="AG86" s="34">
        <f>IF(SUM($I86:AF86)&lt;1,IF($C86&lt;=AG$4,1/$E$41,0),0)</f>
        <v>0</v>
      </c>
      <c r="AH86" s="34">
        <f>IF(SUM($I86:AG86)&lt;1,IF($C86&lt;=AH$4,1/$E$41,0),0)</f>
        <v>0</v>
      </c>
      <c r="AI86" s="34">
        <f>IF(SUM($I86:AH86)&lt;1,IF($C86&lt;=AI$4,1/$E$41,0),0)</f>
        <v>0</v>
      </c>
      <c r="AJ86" s="34">
        <f>IF(SUM($I86:AI86)&lt;1,IF($C86&lt;=AJ$4,1/$E$41,0),0)</f>
        <v>0</v>
      </c>
      <c r="AK86" s="34">
        <f>IF(SUM($I86:AJ86)&lt;1,IF($C86&lt;=AK$4,1/$E$41,0),0)</f>
        <v>0</v>
      </c>
      <c r="AL86" s="34">
        <f>IF(SUM($I86:AK86)&lt;1,IF($C86&lt;=AL$4,1/$E$41,0),0)</f>
        <v>0</v>
      </c>
      <c r="AM86" s="34">
        <f>IF(SUM($I86:AL86)&lt;1,IF($C86&lt;=AM$4,1/$E$41,0),0)</f>
        <v>0</v>
      </c>
      <c r="AN86" s="34">
        <f>IF(SUM($I86:AM86)&lt;1,IF($C86&lt;=AN$4,1/$E$41,0),0)</f>
        <v>0</v>
      </c>
      <c r="AO86" s="34">
        <f>IF(SUM($I86:AN86)&lt;1,IF($C86&lt;=AO$4,1/$E$41,0),0)</f>
        <v>0</v>
      </c>
      <c r="AP86" s="34">
        <f>IF(SUM($I86:AO86)&lt;1,IF($C86&lt;=AP$4,1/$E$41,0),0)</f>
        <v>0</v>
      </c>
      <c r="AQ86" s="34">
        <f>IF(SUM($I86:AP86)&lt;1,IF($C86&lt;=AQ$4,1/$E$41,0),0)</f>
        <v>0</v>
      </c>
      <c r="AR86" s="34">
        <f>IF(SUM($I86:AQ86)&lt;1,IF($C86&lt;=AR$4,1/$E$41,0),0)</f>
        <v>0</v>
      </c>
      <c r="AS86" s="34">
        <f>IF(SUM($I86:AR86)&lt;1,IF($C86&lt;=AS$4,1/$E$41,0),0)</f>
        <v>0</v>
      </c>
      <c r="AT86" s="34">
        <f>IF(SUM($I86:AS86)&lt;1,IF($C86&lt;=AT$4,1/$E$41,0),0)</f>
        <v>0</v>
      </c>
      <c r="AU86" s="34">
        <f>IF(SUM($I86:AT86)&lt;1,IF($C86&lt;=AU$4,1/$E$41,0),0)</f>
        <v>0</v>
      </c>
      <c r="AV86" s="34">
        <f>IF(SUM($I86:AU86)&lt;1,IF($C86&lt;=AV$4,1/$E$41,0),0)</f>
        <v>0</v>
      </c>
      <c r="AW86" s="34">
        <f>IF(SUM($I86:AV86)&lt;1,IF($C86&lt;=AW$4,1/$E$41,0),0)</f>
        <v>0</v>
      </c>
      <c r="AX86" s="34">
        <f>IF(SUM($I86:AW86)&lt;1,IF($C86&lt;=AX$4,1/$E$41,0),0)</f>
        <v>0</v>
      </c>
      <c r="AY86" s="34">
        <f>IF(SUM($I86:AX86)&lt;1,IF($C86&lt;=AY$4,1/$E$41,0),0)</f>
        <v>0.25</v>
      </c>
      <c r="AZ86" s="34">
        <f>IF(SUM($I86:AY86)&lt;1,IF($C86&lt;=AZ$4,1/$E$41,0),0)</f>
        <v>0.25</v>
      </c>
      <c r="BA86" s="34">
        <f>IF(SUM($I86:AZ86)&lt;1,IF($C86&lt;=BA$4,1/$E$41,0),0)</f>
        <v>0.25</v>
      </c>
      <c r="BB86" s="34">
        <f>IF(SUM($I86:BA86)&lt;1,IF($C86&lt;=BB$4,1/$E$41,0),0)</f>
        <v>0.25</v>
      </c>
      <c r="BC86" s="34">
        <f>IF(SUM($I86:BB86)&lt;1,IF($C86&lt;=BC$4,1/$E$41,0),0)</f>
        <v>0</v>
      </c>
      <c r="BD86" s="34">
        <f>IF(SUM($I86:BC86)&lt;1,IF($C86&lt;=BD$4,1/$E$41,0),0)</f>
        <v>0</v>
      </c>
      <c r="BE86" s="34">
        <f>IF(SUM($I86:BD86)&lt;1,IF($C86&lt;=BE$4,1/$E$41,0),0)</f>
        <v>0</v>
      </c>
      <c r="BF86" s="34">
        <f>IF(SUM($I86:BE86)&lt;1,IF($C86&lt;=BF$4,1/$E$41,0),0)</f>
        <v>0</v>
      </c>
      <c r="BG86" s="34">
        <f>IF(SUM($I86:BF86)&lt;1,IF($C86&lt;=BG$4,1/$E$41,0),0)</f>
        <v>0</v>
      </c>
      <c r="BH86" s="34">
        <f>IF(SUM($I86:BG86)&lt;1,IF($C86&lt;=BH$4,1/$E$41,0),0)</f>
        <v>0</v>
      </c>
      <c r="BI86" s="34">
        <f>IF(SUM($I86:BH86)&lt;1,IF($C86&lt;=BI$4,1/$E$41,0),0)</f>
        <v>0</v>
      </c>
      <c r="BJ86" s="34">
        <f>IF(SUM($I86:BI86)&lt;1,IF($C86&lt;=BJ$4,1/$E$41,0),0)</f>
        <v>0</v>
      </c>
      <c r="BK86" s="34">
        <f>IF(SUM($I86:BJ86)&lt;1,IF($C86&lt;=BK$4,1/$E$41,0),0)</f>
        <v>0</v>
      </c>
      <c r="BL86" s="34">
        <f>IF(SUM($I86:BK86)&lt;1,IF($C86&lt;=BL$4,1/$E$41,0),0)</f>
        <v>0</v>
      </c>
      <c r="BM86" s="34">
        <f>IF(SUM($I86:BL86)&lt;1,IF($C86&lt;=BM$4,1/$E$41,0),0)</f>
        <v>0</v>
      </c>
      <c r="BN86" s="34">
        <f>IF(SUM($I86:BM86)&lt;1,IF($C86&lt;=BN$4,1/$E$41,0),0)</f>
        <v>0</v>
      </c>
      <c r="BO86" s="34">
        <f>IF(SUM($I86:BN86)&lt;1,IF($C86&lt;=BO$4,1/$E$41,0),0)</f>
        <v>0</v>
      </c>
      <c r="BP86" s="34">
        <f>IF(SUM($I86:BO86)&lt;1,IF($C86&lt;=BP$4,1/$E$41,0),0)</f>
        <v>0</v>
      </c>
      <c r="BQ86" s="34">
        <f>IF(SUM($I86:BP86)&lt;1,IF($C86&lt;=BQ$4,1/$E$41,0),0)</f>
        <v>0</v>
      </c>
      <c r="BR86" s="34">
        <f>IF(SUM($I86:BQ86)&lt;1,IF($C86&lt;=BR$4,1/$E$41,0),0)</f>
        <v>0</v>
      </c>
      <c r="BS86" s="34">
        <f>IF(SUM($I86:BR86)&lt;1,IF($C86&lt;=BS$4,1/$E$41,0),0)</f>
        <v>0</v>
      </c>
      <c r="BT86" s="34">
        <f>IF(SUM($I86:BS86)&lt;1,IF($C86&lt;=BT$4,1/$E$41,0),0)</f>
        <v>0</v>
      </c>
      <c r="BU86" s="34">
        <f>IF(SUM($I86:BT86)&lt;1,IF($C86&lt;=BU$4,1/$E$41,0),0)</f>
        <v>0</v>
      </c>
      <c r="BV86" s="34">
        <f>IF(SUM($I86:BU86)&lt;1,IF($C86&lt;=BV$4,1/$E$41,0),0)</f>
        <v>0</v>
      </c>
      <c r="BW86" s="34">
        <f>IF(SUM($I86:BV86)&lt;1,IF($C86&lt;=BW$4,1/$E$41,0),0)</f>
        <v>0</v>
      </c>
      <c r="BX86" s="34">
        <f>IF(SUM($I86:BW86)&lt;1,IF($C86&lt;=BX$4,1/$E$41,0),0)</f>
        <v>0</v>
      </c>
      <c r="BY86" s="34">
        <f>IF(SUM($I86:BX86)&lt;1,IF($C86&lt;=BY$4,1/$E$41,0),0)</f>
        <v>0</v>
      </c>
      <c r="BZ86" s="34">
        <f>IF(SUM($I86:BY86)&lt;1,IF($C86&lt;=BZ$4,1/$E$41,0),0)</f>
        <v>0</v>
      </c>
      <c r="CA86" s="34">
        <f>IF(SUM($I86:BZ86)&lt;1,IF($C86&lt;=CA$4,1/$E$41,0),0)</f>
        <v>0</v>
      </c>
      <c r="CB86" s="34">
        <f>IF(SUM($I86:CA86)&lt;1,IF($C86&lt;=CB$4,1/$E$41,0),0)</f>
        <v>0</v>
      </c>
      <c r="CC86" s="34">
        <f>IF(SUM($I86:CB86)&lt;1,IF($C86&lt;=CC$4,1/$E$41,0),0)</f>
        <v>0</v>
      </c>
      <c r="CD86" s="34">
        <f>IF(SUM($I86:CC86)&lt;1,IF($C86&lt;=CD$4,1/$E$41,0),0)</f>
        <v>0</v>
      </c>
      <c r="CE86" s="34">
        <f>IF(SUM($I86:CD86)&lt;1,IF($C86&lt;=CE$4,1/$E$41,0),0)</f>
        <v>0</v>
      </c>
      <c r="CF86" s="34">
        <f>IF(SUM($I86:CE86)&lt;1,IF($C86&lt;=CF$4,1/$E$41,0),0)</f>
        <v>0</v>
      </c>
      <c r="CG86" s="34">
        <f>IF(SUM($I86:CF86)&lt;1,IF($C86&lt;=CG$4,1/$E$41,0),0)</f>
        <v>0</v>
      </c>
      <c r="CH86" s="34">
        <f>IF(SUM($I86:CG86)&lt;1,IF($C86&lt;=CH$4,1/$E$41,0),0)</f>
        <v>0</v>
      </c>
      <c r="CI86" s="34">
        <f>IF(SUM($I86:CH86)&lt;1,IF($C86&lt;=CI$4,1/$E$41,0),0)</f>
        <v>0</v>
      </c>
      <c r="CJ86" s="34">
        <f>IF(SUM($I86:CI86)&lt;1,IF($C86&lt;=CJ$4,1/$E$41,0),0)</f>
        <v>0</v>
      </c>
      <c r="CK86" s="34">
        <f>IF(SUM($I86:CJ86)&lt;1,IF($C86&lt;=CK$4,1/$E$41,0),0)</f>
        <v>0</v>
      </c>
      <c r="CL86" s="34">
        <f>IF(SUM($I86:CK86)&lt;1,IF($C86&lt;=CL$4,1/$E$41,0),0)</f>
        <v>0</v>
      </c>
      <c r="CM86" s="34">
        <f>IF(SUM($I86:CL86)&lt;1,IF($C86&lt;=CM$4,1/$E$41,0),0)</f>
        <v>0</v>
      </c>
      <c r="CN86" s="34">
        <f>IF(SUM($I86:CM86)&lt;1,IF($C86&lt;=CN$4,1/$E$41,0),0)</f>
        <v>0</v>
      </c>
      <c r="CO86" s="34">
        <f>IF(SUM($I86:CN86)&lt;1,IF($C86&lt;=CO$4,1/$E$41,0),0)</f>
        <v>0</v>
      </c>
      <c r="CP86" s="34">
        <f>IF(SUM($I86:CO86)&lt;1,IF($C86&lt;=CP$4,1/$E$41,0),0)</f>
        <v>0</v>
      </c>
      <c r="CQ86" s="34">
        <f>IF(SUM($I86:CP86)&lt;1,IF($C86&lt;=CQ$4,1/$E$41,0),0)</f>
        <v>0</v>
      </c>
      <c r="CR86" s="34">
        <f>IF(SUM($I86:CQ86)&lt;1,IF($C86&lt;=CR$4,1/$E$41,0),0)</f>
        <v>0</v>
      </c>
      <c r="CS86" s="34">
        <f>IF(SUM($I86:CR86)&lt;1,IF($C86&lt;=CS$4,1/$E$41,0),0)</f>
        <v>0</v>
      </c>
      <c r="CT86" s="34">
        <f>IF(SUM($I86:CS86)&lt;1,IF($C86&lt;=CT$4,1/$E$41,0),0)</f>
        <v>0</v>
      </c>
      <c r="CU86" s="34">
        <f>IF(SUM($I86:CT86)&lt;1,IF($C86&lt;=CU$4,1/$E$41,0),0)</f>
        <v>0</v>
      </c>
      <c r="CV86" s="34">
        <f>IF(SUM($I86:CU86)&lt;1,IF($C86&lt;=CV$4,1/$E$41,0),0)</f>
        <v>0</v>
      </c>
      <c r="CW86" s="34">
        <f>IF(SUM($I86:CV86)&lt;1,IF($C86&lt;=CW$4,1/$E$41,0),0)</f>
        <v>0</v>
      </c>
      <c r="CX86" s="34">
        <f>IF(SUM($I86:CW86)&lt;1,IF($C86&lt;=CX$4,1/$E$41,0),0)</f>
        <v>0</v>
      </c>
      <c r="CY86" s="34">
        <f>IF(SUM($I86:CX86)&lt;1,IF($C86&lt;=CY$4,1/$E$41,0),0)</f>
        <v>0</v>
      </c>
      <c r="CZ86" s="34">
        <f>IF(SUM($I86:CY86)&lt;1,IF($C86&lt;=CZ$4,1/$E$41,0),0)</f>
        <v>0</v>
      </c>
      <c r="DA86" s="34">
        <f>IF(SUM($I86:CZ86)&lt;1,IF($C86&lt;=DA$4,1/$E$41,0),0)</f>
        <v>0</v>
      </c>
      <c r="DB86" s="34">
        <f>IF(SUM($I86:DA86)&lt;1,IF($C86&lt;=DB$4,1/$E$41,0),0)</f>
        <v>0</v>
      </c>
      <c r="DC86" s="34">
        <f>IF(SUM($I86:DB86)&lt;1,IF($C86&lt;=DC$4,1/$E$41,0),0)</f>
        <v>0</v>
      </c>
      <c r="DD86" s="34">
        <f>IF(SUM($I86:DC86)&lt;1,IF($C86&lt;=DD$4,1/$E$41,0),0)</f>
        <v>0</v>
      </c>
      <c r="DE86" s="34">
        <f>IF(SUM($I86:DD86)&lt;1,IF($C86&lt;=DE$4,1/$E$41,0),0)</f>
        <v>0</v>
      </c>
      <c r="DF86" s="34">
        <f>IF(SUM($I86:DE86)&lt;1,IF($C86&lt;=DF$4,1/$E$41,0),0)</f>
        <v>0</v>
      </c>
      <c r="DG86" s="34">
        <f>IF(SUM($I86:DF86)&lt;1,IF($C86&lt;=DG$4,1/$E$41,0),0)</f>
        <v>0</v>
      </c>
      <c r="DH86" s="34">
        <f>IF(SUM($I86:DG86)&lt;1,IF($C86&lt;=DH$4,1/$E$41,0),0)</f>
        <v>0</v>
      </c>
      <c r="DI86" s="34">
        <f>IF(SUM($I86:DH86)&lt;1,IF($C86&lt;=DI$4,1/$E$41,0),0)</f>
        <v>0</v>
      </c>
      <c r="DJ86" s="34">
        <f>IF(SUM($I86:DI86)&lt;1,IF($C86&lt;=DJ$4,1/$E$41,0),0)</f>
        <v>0</v>
      </c>
      <c r="DK86" s="34">
        <f>IF(SUM($I86:DJ86)&lt;1,IF($C86&lt;=DK$4,1/$E$41,0),0)</f>
        <v>0</v>
      </c>
      <c r="DL86" s="34">
        <f>IF(SUM($I86:DK86)&lt;1,IF($C86&lt;=DL$4,1/$E$41,0),0)</f>
        <v>0</v>
      </c>
      <c r="DM86" s="34">
        <f>IF(SUM($I86:DL86)&lt;1,IF($C86&lt;=DM$4,1/$E$41,0),0)</f>
        <v>0</v>
      </c>
    </row>
    <row r="87" spans="3:117" outlineLevel="1" x14ac:dyDescent="0.15">
      <c r="C87" s="50">
        <f t="shared" si="48"/>
        <v>43</v>
      </c>
      <c r="D87" s="5" t="s">
        <v>18</v>
      </c>
      <c r="E87" s="19">
        <f t="shared" si="49"/>
        <v>0</v>
      </c>
      <c r="I87" s="9"/>
      <c r="J87" s="34">
        <f>IF(SUM($I87:I87)&lt;1,IF($C87&lt;=J$4,1/$E$41,0),0)</f>
        <v>0</v>
      </c>
      <c r="K87" s="34">
        <f>IF(SUM($I87:J87)&lt;1,IF($C87&lt;=K$4,1/$E$41,0),0)</f>
        <v>0</v>
      </c>
      <c r="L87" s="34">
        <f>IF(SUM($I87:K87)&lt;1,IF($C87&lt;=L$4,1/$E$41,0),0)</f>
        <v>0</v>
      </c>
      <c r="M87" s="34">
        <f>IF(SUM($I87:L87)&lt;1,IF($C87&lt;=M$4,1/$E$41,0),0)</f>
        <v>0</v>
      </c>
      <c r="N87" s="34">
        <f>IF(SUM($I87:M87)&lt;1,IF($C87&lt;=N$4,1/$E$41,0),0)</f>
        <v>0</v>
      </c>
      <c r="O87" s="34">
        <f>IF(SUM($I87:N87)&lt;1,IF($C87&lt;=O$4,1/$E$41,0),0)</f>
        <v>0</v>
      </c>
      <c r="P87" s="34">
        <f>IF(SUM($I87:O87)&lt;1,IF($C87&lt;=P$4,1/$E$41,0),0)</f>
        <v>0</v>
      </c>
      <c r="Q87" s="34">
        <f>IF(SUM($I87:P87)&lt;1,IF($C87&lt;=Q$4,1/$E$41,0),0)</f>
        <v>0</v>
      </c>
      <c r="R87" s="34">
        <f>IF(SUM($I87:Q87)&lt;1,IF($C87&lt;=R$4,1/$E$41,0),0)</f>
        <v>0</v>
      </c>
      <c r="S87" s="34">
        <f>IF(SUM($I87:R87)&lt;1,IF($C87&lt;=S$4,1/$E$41,0),0)</f>
        <v>0</v>
      </c>
      <c r="T87" s="34">
        <f>IF(SUM($I87:S87)&lt;1,IF($C87&lt;=T$4,1/$E$41,0),0)</f>
        <v>0</v>
      </c>
      <c r="U87" s="34">
        <f>IF(SUM($I87:T87)&lt;1,IF($C87&lt;=U$4,1/$E$41,0),0)</f>
        <v>0</v>
      </c>
      <c r="V87" s="34">
        <f>IF(SUM($I87:U87)&lt;1,IF($C87&lt;=V$4,1/$E$41,0),0)</f>
        <v>0</v>
      </c>
      <c r="W87" s="34">
        <f>IF(SUM($I87:V87)&lt;1,IF($C87&lt;=W$4,1/$E$41,0),0)</f>
        <v>0</v>
      </c>
      <c r="X87" s="34">
        <f>IF(SUM($I87:W87)&lt;1,IF($C87&lt;=X$4,1/$E$41,0),0)</f>
        <v>0</v>
      </c>
      <c r="Y87" s="34">
        <f>IF(SUM($I87:X87)&lt;1,IF($C87&lt;=Y$4,1/$E$41,0),0)</f>
        <v>0</v>
      </c>
      <c r="Z87" s="34">
        <f>IF(SUM($I87:Y87)&lt;1,IF($C87&lt;=Z$4,1/$E$41,0),0)</f>
        <v>0</v>
      </c>
      <c r="AA87" s="34">
        <f>IF(SUM($I87:Z87)&lt;1,IF($C87&lt;=AA$4,1/$E$41,0),0)</f>
        <v>0</v>
      </c>
      <c r="AB87" s="34">
        <f>IF(SUM($I87:AA87)&lt;1,IF($C87&lt;=AB$4,1/$E$41,0),0)</f>
        <v>0</v>
      </c>
      <c r="AC87" s="34">
        <f>IF(SUM($I87:AB87)&lt;1,IF($C87&lt;=AC$4,1/$E$41,0),0)</f>
        <v>0</v>
      </c>
      <c r="AD87" s="34">
        <f>IF(SUM($I87:AC87)&lt;1,IF($C87&lt;=AD$4,1/$E$41,0),0)</f>
        <v>0</v>
      </c>
      <c r="AE87" s="34">
        <f>IF(SUM($I87:AD87)&lt;1,IF($C87&lt;=AE$4,1/$E$41,0),0)</f>
        <v>0</v>
      </c>
      <c r="AF87" s="34">
        <f>IF(SUM($I87:AE87)&lt;1,IF($C87&lt;=AF$4,1/$E$41,0),0)</f>
        <v>0</v>
      </c>
      <c r="AG87" s="34">
        <f>IF(SUM($I87:AF87)&lt;1,IF($C87&lt;=AG$4,1/$E$41,0),0)</f>
        <v>0</v>
      </c>
      <c r="AH87" s="34">
        <f>IF(SUM($I87:AG87)&lt;1,IF($C87&lt;=AH$4,1/$E$41,0),0)</f>
        <v>0</v>
      </c>
      <c r="AI87" s="34">
        <f>IF(SUM($I87:AH87)&lt;1,IF($C87&lt;=AI$4,1/$E$41,0),0)</f>
        <v>0</v>
      </c>
      <c r="AJ87" s="34">
        <f>IF(SUM($I87:AI87)&lt;1,IF($C87&lt;=AJ$4,1/$E$41,0),0)</f>
        <v>0</v>
      </c>
      <c r="AK87" s="34">
        <f>IF(SUM($I87:AJ87)&lt;1,IF($C87&lt;=AK$4,1/$E$41,0),0)</f>
        <v>0</v>
      </c>
      <c r="AL87" s="34">
        <f>IF(SUM($I87:AK87)&lt;1,IF($C87&lt;=AL$4,1/$E$41,0),0)</f>
        <v>0</v>
      </c>
      <c r="AM87" s="34">
        <f>IF(SUM($I87:AL87)&lt;1,IF($C87&lt;=AM$4,1/$E$41,0),0)</f>
        <v>0</v>
      </c>
      <c r="AN87" s="34">
        <f>IF(SUM($I87:AM87)&lt;1,IF($C87&lt;=AN$4,1/$E$41,0),0)</f>
        <v>0</v>
      </c>
      <c r="AO87" s="34">
        <f>IF(SUM($I87:AN87)&lt;1,IF($C87&lt;=AO$4,1/$E$41,0),0)</f>
        <v>0</v>
      </c>
      <c r="AP87" s="34">
        <f>IF(SUM($I87:AO87)&lt;1,IF($C87&lt;=AP$4,1/$E$41,0),0)</f>
        <v>0</v>
      </c>
      <c r="AQ87" s="34">
        <f>IF(SUM($I87:AP87)&lt;1,IF($C87&lt;=AQ$4,1/$E$41,0),0)</f>
        <v>0</v>
      </c>
      <c r="AR87" s="34">
        <f>IF(SUM($I87:AQ87)&lt;1,IF($C87&lt;=AR$4,1/$E$41,0),0)</f>
        <v>0</v>
      </c>
      <c r="AS87" s="34">
        <f>IF(SUM($I87:AR87)&lt;1,IF($C87&lt;=AS$4,1/$E$41,0),0)</f>
        <v>0</v>
      </c>
      <c r="AT87" s="34">
        <f>IF(SUM($I87:AS87)&lt;1,IF($C87&lt;=AT$4,1/$E$41,0),0)</f>
        <v>0</v>
      </c>
      <c r="AU87" s="34">
        <f>IF(SUM($I87:AT87)&lt;1,IF($C87&lt;=AU$4,1/$E$41,0),0)</f>
        <v>0</v>
      </c>
      <c r="AV87" s="34">
        <f>IF(SUM($I87:AU87)&lt;1,IF($C87&lt;=AV$4,1/$E$41,0),0)</f>
        <v>0</v>
      </c>
      <c r="AW87" s="34">
        <f>IF(SUM($I87:AV87)&lt;1,IF($C87&lt;=AW$4,1/$E$41,0),0)</f>
        <v>0</v>
      </c>
      <c r="AX87" s="34">
        <f>IF(SUM($I87:AW87)&lt;1,IF($C87&lt;=AX$4,1/$E$41,0),0)</f>
        <v>0</v>
      </c>
      <c r="AY87" s="34">
        <f>IF(SUM($I87:AX87)&lt;1,IF($C87&lt;=AY$4,1/$E$41,0),0)</f>
        <v>0</v>
      </c>
      <c r="AZ87" s="34">
        <f>IF(SUM($I87:AY87)&lt;1,IF($C87&lt;=AZ$4,1/$E$41,0),0)</f>
        <v>0.25</v>
      </c>
      <c r="BA87" s="34">
        <f>IF(SUM($I87:AZ87)&lt;1,IF($C87&lt;=BA$4,1/$E$41,0),0)</f>
        <v>0.25</v>
      </c>
      <c r="BB87" s="34">
        <f>IF(SUM($I87:BA87)&lt;1,IF($C87&lt;=BB$4,1/$E$41,0),0)</f>
        <v>0.25</v>
      </c>
      <c r="BC87" s="34">
        <f>IF(SUM($I87:BB87)&lt;1,IF($C87&lt;=BC$4,1/$E$41,0),0)</f>
        <v>0.25</v>
      </c>
      <c r="BD87" s="34">
        <f>IF(SUM($I87:BC87)&lt;1,IF($C87&lt;=BD$4,1/$E$41,0),0)</f>
        <v>0</v>
      </c>
      <c r="BE87" s="34">
        <f>IF(SUM($I87:BD87)&lt;1,IF($C87&lt;=BE$4,1/$E$41,0),0)</f>
        <v>0</v>
      </c>
      <c r="BF87" s="34">
        <f>IF(SUM($I87:BE87)&lt;1,IF($C87&lt;=BF$4,1/$E$41,0),0)</f>
        <v>0</v>
      </c>
      <c r="BG87" s="34">
        <f>IF(SUM($I87:BF87)&lt;1,IF($C87&lt;=BG$4,1/$E$41,0),0)</f>
        <v>0</v>
      </c>
      <c r="BH87" s="34">
        <f>IF(SUM($I87:BG87)&lt;1,IF($C87&lt;=BH$4,1/$E$41,0),0)</f>
        <v>0</v>
      </c>
      <c r="BI87" s="34">
        <f>IF(SUM($I87:BH87)&lt;1,IF($C87&lt;=BI$4,1/$E$41,0),0)</f>
        <v>0</v>
      </c>
      <c r="BJ87" s="34">
        <f>IF(SUM($I87:BI87)&lt;1,IF($C87&lt;=BJ$4,1/$E$41,0),0)</f>
        <v>0</v>
      </c>
      <c r="BK87" s="34">
        <f>IF(SUM($I87:BJ87)&lt;1,IF($C87&lt;=BK$4,1/$E$41,0),0)</f>
        <v>0</v>
      </c>
      <c r="BL87" s="34">
        <f>IF(SUM($I87:BK87)&lt;1,IF($C87&lt;=BL$4,1/$E$41,0),0)</f>
        <v>0</v>
      </c>
      <c r="BM87" s="34">
        <f>IF(SUM($I87:BL87)&lt;1,IF($C87&lt;=BM$4,1/$E$41,0),0)</f>
        <v>0</v>
      </c>
      <c r="BN87" s="34">
        <f>IF(SUM($I87:BM87)&lt;1,IF($C87&lt;=BN$4,1/$E$41,0),0)</f>
        <v>0</v>
      </c>
      <c r="BO87" s="34">
        <f>IF(SUM($I87:BN87)&lt;1,IF($C87&lt;=BO$4,1/$E$41,0),0)</f>
        <v>0</v>
      </c>
      <c r="BP87" s="34">
        <f>IF(SUM($I87:BO87)&lt;1,IF($C87&lt;=BP$4,1/$E$41,0),0)</f>
        <v>0</v>
      </c>
      <c r="BQ87" s="34">
        <f>IF(SUM($I87:BP87)&lt;1,IF($C87&lt;=BQ$4,1/$E$41,0),0)</f>
        <v>0</v>
      </c>
      <c r="BR87" s="34">
        <f>IF(SUM($I87:BQ87)&lt;1,IF($C87&lt;=BR$4,1/$E$41,0),0)</f>
        <v>0</v>
      </c>
      <c r="BS87" s="34">
        <f>IF(SUM($I87:BR87)&lt;1,IF($C87&lt;=BS$4,1/$E$41,0),0)</f>
        <v>0</v>
      </c>
      <c r="BT87" s="34">
        <f>IF(SUM($I87:BS87)&lt;1,IF($C87&lt;=BT$4,1/$E$41,0),0)</f>
        <v>0</v>
      </c>
      <c r="BU87" s="34">
        <f>IF(SUM($I87:BT87)&lt;1,IF($C87&lt;=BU$4,1/$E$41,0),0)</f>
        <v>0</v>
      </c>
      <c r="BV87" s="34">
        <f>IF(SUM($I87:BU87)&lt;1,IF($C87&lt;=BV$4,1/$E$41,0),0)</f>
        <v>0</v>
      </c>
      <c r="BW87" s="34">
        <f>IF(SUM($I87:BV87)&lt;1,IF($C87&lt;=BW$4,1/$E$41,0),0)</f>
        <v>0</v>
      </c>
      <c r="BX87" s="34">
        <f>IF(SUM($I87:BW87)&lt;1,IF($C87&lt;=BX$4,1/$E$41,0),0)</f>
        <v>0</v>
      </c>
      <c r="BY87" s="34">
        <f>IF(SUM($I87:BX87)&lt;1,IF($C87&lt;=BY$4,1/$E$41,0),0)</f>
        <v>0</v>
      </c>
      <c r="BZ87" s="34">
        <f>IF(SUM($I87:BY87)&lt;1,IF($C87&lt;=BZ$4,1/$E$41,0),0)</f>
        <v>0</v>
      </c>
      <c r="CA87" s="34">
        <f>IF(SUM($I87:BZ87)&lt;1,IF($C87&lt;=CA$4,1/$E$41,0),0)</f>
        <v>0</v>
      </c>
      <c r="CB87" s="34">
        <f>IF(SUM($I87:CA87)&lt;1,IF($C87&lt;=CB$4,1/$E$41,0),0)</f>
        <v>0</v>
      </c>
      <c r="CC87" s="34">
        <f>IF(SUM($I87:CB87)&lt;1,IF($C87&lt;=CC$4,1/$E$41,0),0)</f>
        <v>0</v>
      </c>
      <c r="CD87" s="34">
        <f>IF(SUM($I87:CC87)&lt;1,IF($C87&lt;=CD$4,1/$E$41,0),0)</f>
        <v>0</v>
      </c>
      <c r="CE87" s="34">
        <f>IF(SUM($I87:CD87)&lt;1,IF($C87&lt;=CE$4,1/$E$41,0),0)</f>
        <v>0</v>
      </c>
      <c r="CF87" s="34">
        <f>IF(SUM($I87:CE87)&lt;1,IF($C87&lt;=CF$4,1/$E$41,0),0)</f>
        <v>0</v>
      </c>
      <c r="CG87" s="34">
        <f>IF(SUM($I87:CF87)&lt;1,IF($C87&lt;=CG$4,1/$E$41,0),0)</f>
        <v>0</v>
      </c>
      <c r="CH87" s="34">
        <f>IF(SUM($I87:CG87)&lt;1,IF($C87&lt;=CH$4,1/$E$41,0),0)</f>
        <v>0</v>
      </c>
      <c r="CI87" s="34">
        <f>IF(SUM($I87:CH87)&lt;1,IF($C87&lt;=CI$4,1/$E$41,0),0)</f>
        <v>0</v>
      </c>
      <c r="CJ87" s="34">
        <f>IF(SUM($I87:CI87)&lt;1,IF($C87&lt;=CJ$4,1/$E$41,0),0)</f>
        <v>0</v>
      </c>
      <c r="CK87" s="34">
        <f>IF(SUM($I87:CJ87)&lt;1,IF($C87&lt;=CK$4,1/$E$41,0),0)</f>
        <v>0</v>
      </c>
      <c r="CL87" s="34">
        <f>IF(SUM($I87:CK87)&lt;1,IF($C87&lt;=CL$4,1/$E$41,0),0)</f>
        <v>0</v>
      </c>
      <c r="CM87" s="34">
        <f>IF(SUM($I87:CL87)&lt;1,IF($C87&lt;=CM$4,1/$E$41,0),0)</f>
        <v>0</v>
      </c>
      <c r="CN87" s="34">
        <f>IF(SUM($I87:CM87)&lt;1,IF($C87&lt;=CN$4,1/$E$41,0),0)</f>
        <v>0</v>
      </c>
      <c r="CO87" s="34">
        <f>IF(SUM($I87:CN87)&lt;1,IF($C87&lt;=CO$4,1/$E$41,0),0)</f>
        <v>0</v>
      </c>
      <c r="CP87" s="34">
        <f>IF(SUM($I87:CO87)&lt;1,IF($C87&lt;=CP$4,1/$E$41,0),0)</f>
        <v>0</v>
      </c>
      <c r="CQ87" s="34">
        <f>IF(SUM($I87:CP87)&lt;1,IF($C87&lt;=CQ$4,1/$E$41,0),0)</f>
        <v>0</v>
      </c>
      <c r="CR87" s="34">
        <f>IF(SUM($I87:CQ87)&lt;1,IF($C87&lt;=CR$4,1/$E$41,0),0)</f>
        <v>0</v>
      </c>
      <c r="CS87" s="34">
        <f>IF(SUM($I87:CR87)&lt;1,IF($C87&lt;=CS$4,1/$E$41,0),0)</f>
        <v>0</v>
      </c>
      <c r="CT87" s="34">
        <f>IF(SUM($I87:CS87)&lt;1,IF($C87&lt;=CT$4,1/$E$41,0),0)</f>
        <v>0</v>
      </c>
      <c r="CU87" s="34">
        <f>IF(SUM($I87:CT87)&lt;1,IF($C87&lt;=CU$4,1/$E$41,0),0)</f>
        <v>0</v>
      </c>
      <c r="CV87" s="34">
        <f>IF(SUM($I87:CU87)&lt;1,IF($C87&lt;=CV$4,1/$E$41,0),0)</f>
        <v>0</v>
      </c>
      <c r="CW87" s="34">
        <f>IF(SUM($I87:CV87)&lt;1,IF($C87&lt;=CW$4,1/$E$41,0),0)</f>
        <v>0</v>
      </c>
      <c r="CX87" s="34">
        <f>IF(SUM($I87:CW87)&lt;1,IF($C87&lt;=CX$4,1/$E$41,0),0)</f>
        <v>0</v>
      </c>
      <c r="CY87" s="34">
        <f>IF(SUM($I87:CX87)&lt;1,IF($C87&lt;=CY$4,1/$E$41,0),0)</f>
        <v>0</v>
      </c>
      <c r="CZ87" s="34">
        <f>IF(SUM($I87:CY87)&lt;1,IF($C87&lt;=CZ$4,1/$E$41,0),0)</f>
        <v>0</v>
      </c>
      <c r="DA87" s="34">
        <f>IF(SUM($I87:CZ87)&lt;1,IF($C87&lt;=DA$4,1/$E$41,0),0)</f>
        <v>0</v>
      </c>
      <c r="DB87" s="34">
        <f>IF(SUM($I87:DA87)&lt;1,IF($C87&lt;=DB$4,1/$E$41,0),0)</f>
        <v>0</v>
      </c>
      <c r="DC87" s="34">
        <f>IF(SUM($I87:DB87)&lt;1,IF($C87&lt;=DC$4,1/$E$41,0),0)</f>
        <v>0</v>
      </c>
      <c r="DD87" s="34">
        <f>IF(SUM($I87:DC87)&lt;1,IF($C87&lt;=DD$4,1/$E$41,0),0)</f>
        <v>0</v>
      </c>
      <c r="DE87" s="34">
        <f>IF(SUM($I87:DD87)&lt;1,IF($C87&lt;=DE$4,1/$E$41,0),0)</f>
        <v>0</v>
      </c>
      <c r="DF87" s="34">
        <f>IF(SUM($I87:DE87)&lt;1,IF($C87&lt;=DF$4,1/$E$41,0),0)</f>
        <v>0</v>
      </c>
      <c r="DG87" s="34">
        <f>IF(SUM($I87:DF87)&lt;1,IF($C87&lt;=DG$4,1/$E$41,0),0)</f>
        <v>0</v>
      </c>
      <c r="DH87" s="34">
        <f>IF(SUM($I87:DG87)&lt;1,IF($C87&lt;=DH$4,1/$E$41,0),0)</f>
        <v>0</v>
      </c>
      <c r="DI87" s="34">
        <f>IF(SUM($I87:DH87)&lt;1,IF($C87&lt;=DI$4,1/$E$41,0),0)</f>
        <v>0</v>
      </c>
      <c r="DJ87" s="34">
        <f>IF(SUM($I87:DI87)&lt;1,IF($C87&lt;=DJ$4,1/$E$41,0),0)</f>
        <v>0</v>
      </c>
      <c r="DK87" s="34">
        <f>IF(SUM($I87:DJ87)&lt;1,IF($C87&lt;=DK$4,1/$E$41,0),0)</f>
        <v>0</v>
      </c>
      <c r="DL87" s="34">
        <f>IF(SUM($I87:DK87)&lt;1,IF($C87&lt;=DL$4,1/$E$41,0),0)</f>
        <v>0</v>
      </c>
      <c r="DM87" s="34">
        <f>IF(SUM($I87:DL87)&lt;1,IF($C87&lt;=DM$4,1/$E$41,0),0)</f>
        <v>0</v>
      </c>
    </row>
    <row r="88" spans="3:117" outlineLevel="1" x14ac:dyDescent="0.15">
      <c r="C88" s="50">
        <f t="shared" si="48"/>
        <v>44</v>
      </c>
      <c r="D88" s="5" t="s">
        <v>18</v>
      </c>
      <c r="E88" s="19">
        <f t="shared" si="49"/>
        <v>0</v>
      </c>
      <c r="I88" s="9"/>
      <c r="J88" s="34">
        <f>IF(SUM($I88:I88)&lt;1,IF($C88&lt;=J$4,1/$E$41,0),0)</f>
        <v>0</v>
      </c>
      <c r="K88" s="34">
        <f>IF(SUM($I88:J88)&lt;1,IF($C88&lt;=K$4,1/$E$41,0),0)</f>
        <v>0</v>
      </c>
      <c r="L88" s="34">
        <f>IF(SUM($I88:K88)&lt;1,IF($C88&lt;=L$4,1/$E$41,0),0)</f>
        <v>0</v>
      </c>
      <c r="M88" s="34">
        <f>IF(SUM($I88:L88)&lt;1,IF($C88&lt;=M$4,1/$E$41,0),0)</f>
        <v>0</v>
      </c>
      <c r="N88" s="34">
        <f>IF(SUM($I88:M88)&lt;1,IF($C88&lt;=N$4,1/$E$41,0),0)</f>
        <v>0</v>
      </c>
      <c r="O88" s="34">
        <f>IF(SUM($I88:N88)&lt;1,IF($C88&lt;=O$4,1/$E$41,0),0)</f>
        <v>0</v>
      </c>
      <c r="P88" s="34">
        <f>IF(SUM($I88:O88)&lt;1,IF($C88&lt;=P$4,1/$E$41,0),0)</f>
        <v>0</v>
      </c>
      <c r="Q88" s="34">
        <f>IF(SUM($I88:P88)&lt;1,IF($C88&lt;=Q$4,1/$E$41,0),0)</f>
        <v>0</v>
      </c>
      <c r="R88" s="34">
        <f>IF(SUM($I88:Q88)&lt;1,IF($C88&lt;=R$4,1/$E$41,0),0)</f>
        <v>0</v>
      </c>
      <c r="S88" s="34">
        <f>IF(SUM($I88:R88)&lt;1,IF($C88&lt;=S$4,1/$E$41,0),0)</f>
        <v>0</v>
      </c>
      <c r="T88" s="34">
        <f>IF(SUM($I88:S88)&lt;1,IF($C88&lt;=T$4,1/$E$41,0),0)</f>
        <v>0</v>
      </c>
      <c r="U88" s="34">
        <f>IF(SUM($I88:T88)&lt;1,IF($C88&lt;=U$4,1/$E$41,0),0)</f>
        <v>0</v>
      </c>
      <c r="V88" s="34">
        <f>IF(SUM($I88:U88)&lt;1,IF($C88&lt;=V$4,1/$E$41,0),0)</f>
        <v>0</v>
      </c>
      <c r="W88" s="34">
        <f>IF(SUM($I88:V88)&lt;1,IF($C88&lt;=W$4,1/$E$41,0),0)</f>
        <v>0</v>
      </c>
      <c r="X88" s="34">
        <f>IF(SUM($I88:W88)&lt;1,IF($C88&lt;=X$4,1/$E$41,0),0)</f>
        <v>0</v>
      </c>
      <c r="Y88" s="34">
        <f>IF(SUM($I88:X88)&lt;1,IF($C88&lt;=Y$4,1/$E$41,0),0)</f>
        <v>0</v>
      </c>
      <c r="Z88" s="34">
        <f>IF(SUM($I88:Y88)&lt;1,IF($C88&lt;=Z$4,1/$E$41,0),0)</f>
        <v>0</v>
      </c>
      <c r="AA88" s="34">
        <f>IF(SUM($I88:Z88)&lt;1,IF($C88&lt;=AA$4,1/$E$41,0),0)</f>
        <v>0</v>
      </c>
      <c r="AB88" s="34">
        <f>IF(SUM($I88:AA88)&lt;1,IF($C88&lt;=AB$4,1/$E$41,0),0)</f>
        <v>0</v>
      </c>
      <c r="AC88" s="34">
        <f>IF(SUM($I88:AB88)&lt;1,IF($C88&lt;=AC$4,1/$E$41,0),0)</f>
        <v>0</v>
      </c>
      <c r="AD88" s="34">
        <f>IF(SUM($I88:AC88)&lt;1,IF($C88&lt;=AD$4,1/$E$41,0),0)</f>
        <v>0</v>
      </c>
      <c r="AE88" s="34">
        <f>IF(SUM($I88:AD88)&lt;1,IF($C88&lt;=AE$4,1/$E$41,0),0)</f>
        <v>0</v>
      </c>
      <c r="AF88" s="34">
        <f>IF(SUM($I88:AE88)&lt;1,IF($C88&lt;=AF$4,1/$E$41,0),0)</f>
        <v>0</v>
      </c>
      <c r="AG88" s="34">
        <f>IF(SUM($I88:AF88)&lt;1,IF($C88&lt;=AG$4,1/$E$41,0),0)</f>
        <v>0</v>
      </c>
      <c r="AH88" s="34">
        <f>IF(SUM($I88:AG88)&lt;1,IF($C88&lt;=AH$4,1/$E$41,0),0)</f>
        <v>0</v>
      </c>
      <c r="AI88" s="34">
        <f>IF(SUM($I88:AH88)&lt;1,IF($C88&lt;=AI$4,1/$E$41,0),0)</f>
        <v>0</v>
      </c>
      <c r="AJ88" s="34">
        <f>IF(SUM($I88:AI88)&lt;1,IF($C88&lt;=AJ$4,1/$E$41,0),0)</f>
        <v>0</v>
      </c>
      <c r="AK88" s="34">
        <f>IF(SUM($I88:AJ88)&lt;1,IF($C88&lt;=AK$4,1/$E$41,0),0)</f>
        <v>0</v>
      </c>
      <c r="AL88" s="34">
        <f>IF(SUM($I88:AK88)&lt;1,IF($C88&lt;=AL$4,1/$E$41,0),0)</f>
        <v>0</v>
      </c>
      <c r="AM88" s="34">
        <f>IF(SUM($I88:AL88)&lt;1,IF($C88&lt;=AM$4,1/$E$41,0),0)</f>
        <v>0</v>
      </c>
      <c r="AN88" s="34">
        <f>IF(SUM($I88:AM88)&lt;1,IF($C88&lt;=AN$4,1/$E$41,0),0)</f>
        <v>0</v>
      </c>
      <c r="AO88" s="34">
        <f>IF(SUM($I88:AN88)&lt;1,IF($C88&lt;=AO$4,1/$E$41,0),0)</f>
        <v>0</v>
      </c>
      <c r="AP88" s="34">
        <f>IF(SUM($I88:AO88)&lt;1,IF($C88&lt;=AP$4,1/$E$41,0),0)</f>
        <v>0</v>
      </c>
      <c r="AQ88" s="34">
        <f>IF(SUM($I88:AP88)&lt;1,IF($C88&lt;=AQ$4,1/$E$41,0),0)</f>
        <v>0</v>
      </c>
      <c r="AR88" s="34">
        <f>IF(SUM($I88:AQ88)&lt;1,IF($C88&lt;=AR$4,1/$E$41,0),0)</f>
        <v>0</v>
      </c>
      <c r="AS88" s="34">
        <f>IF(SUM($I88:AR88)&lt;1,IF($C88&lt;=AS$4,1/$E$41,0),0)</f>
        <v>0</v>
      </c>
      <c r="AT88" s="34">
        <f>IF(SUM($I88:AS88)&lt;1,IF($C88&lt;=AT$4,1/$E$41,0),0)</f>
        <v>0</v>
      </c>
      <c r="AU88" s="34">
        <f>IF(SUM($I88:AT88)&lt;1,IF($C88&lt;=AU$4,1/$E$41,0),0)</f>
        <v>0</v>
      </c>
      <c r="AV88" s="34">
        <f>IF(SUM($I88:AU88)&lt;1,IF($C88&lt;=AV$4,1/$E$41,0),0)</f>
        <v>0</v>
      </c>
      <c r="AW88" s="34">
        <f>IF(SUM($I88:AV88)&lt;1,IF($C88&lt;=AW$4,1/$E$41,0),0)</f>
        <v>0</v>
      </c>
      <c r="AX88" s="34">
        <f>IF(SUM($I88:AW88)&lt;1,IF($C88&lt;=AX$4,1/$E$41,0),0)</f>
        <v>0</v>
      </c>
      <c r="AY88" s="34">
        <f>IF(SUM($I88:AX88)&lt;1,IF($C88&lt;=AY$4,1/$E$41,0),0)</f>
        <v>0</v>
      </c>
      <c r="AZ88" s="34">
        <f>IF(SUM($I88:AY88)&lt;1,IF($C88&lt;=AZ$4,1/$E$41,0),0)</f>
        <v>0</v>
      </c>
      <c r="BA88" s="34">
        <f>IF(SUM($I88:AZ88)&lt;1,IF($C88&lt;=BA$4,1/$E$41,0),0)</f>
        <v>0.25</v>
      </c>
      <c r="BB88" s="34">
        <f>IF(SUM($I88:BA88)&lt;1,IF($C88&lt;=BB$4,1/$E$41,0),0)</f>
        <v>0.25</v>
      </c>
      <c r="BC88" s="34">
        <f>IF(SUM($I88:BB88)&lt;1,IF($C88&lt;=BC$4,1/$E$41,0),0)</f>
        <v>0.25</v>
      </c>
      <c r="BD88" s="34">
        <f>IF(SUM($I88:BC88)&lt;1,IF($C88&lt;=BD$4,1/$E$41,0),0)</f>
        <v>0.25</v>
      </c>
      <c r="BE88" s="34">
        <f>IF(SUM($I88:BD88)&lt;1,IF($C88&lt;=BE$4,1/$E$41,0),0)</f>
        <v>0</v>
      </c>
      <c r="BF88" s="34">
        <f>IF(SUM($I88:BE88)&lt;1,IF($C88&lt;=BF$4,1/$E$41,0),0)</f>
        <v>0</v>
      </c>
      <c r="BG88" s="34">
        <f>IF(SUM($I88:BF88)&lt;1,IF($C88&lt;=BG$4,1/$E$41,0),0)</f>
        <v>0</v>
      </c>
      <c r="BH88" s="34">
        <f>IF(SUM($I88:BG88)&lt;1,IF($C88&lt;=BH$4,1/$E$41,0),0)</f>
        <v>0</v>
      </c>
      <c r="BI88" s="34">
        <f>IF(SUM($I88:BH88)&lt;1,IF($C88&lt;=BI$4,1/$E$41,0),0)</f>
        <v>0</v>
      </c>
      <c r="BJ88" s="34">
        <f>IF(SUM($I88:BI88)&lt;1,IF($C88&lt;=BJ$4,1/$E$41,0),0)</f>
        <v>0</v>
      </c>
      <c r="BK88" s="34">
        <f>IF(SUM($I88:BJ88)&lt;1,IF($C88&lt;=BK$4,1/$E$41,0),0)</f>
        <v>0</v>
      </c>
      <c r="BL88" s="34">
        <f>IF(SUM($I88:BK88)&lt;1,IF($C88&lt;=BL$4,1/$E$41,0),0)</f>
        <v>0</v>
      </c>
      <c r="BM88" s="34">
        <f>IF(SUM($I88:BL88)&lt;1,IF($C88&lt;=BM$4,1/$E$41,0),0)</f>
        <v>0</v>
      </c>
      <c r="BN88" s="34">
        <f>IF(SUM($I88:BM88)&lt;1,IF($C88&lt;=BN$4,1/$E$41,0),0)</f>
        <v>0</v>
      </c>
      <c r="BO88" s="34">
        <f>IF(SUM($I88:BN88)&lt;1,IF($C88&lt;=BO$4,1/$E$41,0),0)</f>
        <v>0</v>
      </c>
      <c r="BP88" s="34">
        <f>IF(SUM($I88:BO88)&lt;1,IF($C88&lt;=BP$4,1/$E$41,0),0)</f>
        <v>0</v>
      </c>
      <c r="BQ88" s="34">
        <f>IF(SUM($I88:BP88)&lt;1,IF($C88&lt;=BQ$4,1/$E$41,0),0)</f>
        <v>0</v>
      </c>
      <c r="BR88" s="34">
        <f>IF(SUM($I88:BQ88)&lt;1,IF($C88&lt;=BR$4,1/$E$41,0),0)</f>
        <v>0</v>
      </c>
      <c r="BS88" s="34">
        <f>IF(SUM($I88:BR88)&lt;1,IF($C88&lt;=BS$4,1/$E$41,0),0)</f>
        <v>0</v>
      </c>
      <c r="BT88" s="34">
        <f>IF(SUM($I88:BS88)&lt;1,IF($C88&lt;=BT$4,1/$E$41,0),0)</f>
        <v>0</v>
      </c>
      <c r="BU88" s="34">
        <f>IF(SUM($I88:BT88)&lt;1,IF($C88&lt;=BU$4,1/$E$41,0),0)</f>
        <v>0</v>
      </c>
      <c r="BV88" s="34">
        <f>IF(SUM($I88:BU88)&lt;1,IF($C88&lt;=BV$4,1/$E$41,0),0)</f>
        <v>0</v>
      </c>
      <c r="BW88" s="34">
        <f>IF(SUM($I88:BV88)&lt;1,IF($C88&lt;=BW$4,1/$E$41,0),0)</f>
        <v>0</v>
      </c>
      <c r="BX88" s="34">
        <f>IF(SUM($I88:BW88)&lt;1,IF($C88&lt;=BX$4,1/$E$41,0),0)</f>
        <v>0</v>
      </c>
      <c r="BY88" s="34">
        <f>IF(SUM($I88:BX88)&lt;1,IF($C88&lt;=BY$4,1/$E$41,0),0)</f>
        <v>0</v>
      </c>
      <c r="BZ88" s="34">
        <f>IF(SUM($I88:BY88)&lt;1,IF($C88&lt;=BZ$4,1/$E$41,0),0)</f>
        <v>0</v>
      </c>
      <c r="CA88" s="34">
        <f>IF(SUM($I88:BZ88)&lt;1,IF($C88&lt;=CA$4,1/$E$41,0),0)</f>
        <v>0</v>
      </c>
      <c r="CB88" s="34">
        <f>IF(SUM($I88:CA88)&lt;1,IF($C88&lt;=CB$4,1/$E$41,0),0)</f>
        <v>0</v>
      </c>
      <c r="CC88" s="34">
        <f>IF(SUM($I88:CB88)&lt;1,IF($C88&lt;=CC$4,1/$E$41,0),0)</f>
        <v>0</v>
      </c>
      <c r="CD88" s="34">
        <f>IF(SUM($I88:CC88)&lt;1,IF($C88&lt;=CD$4,1/$E$41,0),0)</f>
        <v>0</v>
      </c>
      <c r="CE88" s="34">
        <f>IF(SUM($I88:CD88)&lt;1,IF($C88&lt;=CE$4,1/$E$41,0),0)</f>
        <v>0</v>
      </c>
      <c r="CF88" s="34">
        <f>IF(SUM($I88:CE88)&lt;1,IF($C88&lt;=CF$4,1/$E$41,0),0)</f>
        <v>0</v>
      </c>
      <c r="CG88" s="34">
        <f>IF(SUM($I88:CF88)&lt;1,IF($C88&lt;=CG$4,1/$E$41,0),0)</f>
        <v>0</v>
      </c>
      <c r="CH88" s="34">
        <f>IF(SUM($I88:CG88)&lt;1,IF($C88&lt;=CH$4,1/$E$41,0),0)</f>
        <v>0</v>
      </c>
      <c r="CI88" s="34">
        <f>IF(SUM($I88:CH88)&lt;1,IF($C88&lt;=CI$4,1/$E$41,0),0)</f>
        <v>0</v>
      </c>
      <c r="CJ88" s="34">
        <f>IF(SUM($I88:CI88)&lt;1,IF($C88&lt;=CJ$4,1/$E$41,0),0)</f>
        <v>0</v>
      </c>
      <c r="CK88" s="34">
        <f>IF(SUM($I88:CJ88)&lt;1,IF($C88&lt;=CK$4,1/$E$41,0),0)</f>
        <v>0</v>
      </c>
      <c r="CL88" s="34">
        <f>IF(SUM($I88:CK88)&lt;1,IF($C88&lt;=CL$4,1/$E$41,0),0)</f>
        <v>0</v>
      </c>
      <c r="CM88" s="34">
        <f>IF(SUM($I88:CL88)&lt;1,IF($C88&lt;=CM$4,1/$E$41,0),0)</f>
        <v>0</v>
      </c>
      <c r="CN88" s="34">
        <f>IF(SUM($I88:CM88)&lt;1,IF($C88&lt;=CN$4,1/$E$41,0),0)</f>
        <v>0</v>
      </c>
      <c r="CO88" s="34">
        <f>IF(SUM($I88:CN88)&lt;1,IF($C88&lt;=CO$4,1/$E$41,0),0)</f>
        <v>0</v>
      </c>
      <c r="CP88" s="34">
        <f>IF(SUM($I88:CO88)&lt;1,IF($C88&lt;=CP$4,1/$E$41,0),0)</f>
        <v>0</v>
      </c>
      <c r="CQ88" s="34">
        <f>IF(SUM($I88:CP88)&lt;1,IF($C88&lt;=CQ$4,1/$E$41,0),0)</f>
        <v>0</v>
      </c>
      <c r="CR88" s="34">
        <f>IF(SUM($I88:CQ88)&lt;1,IF($C88&lt;=CR$4,1/$E$41,0),0)</f>
        <v>0</v>
      </c>
      <c r="CS88" s="34">
        <f>IF(SUM($I88:CR88)&lt;1,IF($C88&lt;=CS$4,1/$E$41,0),0)</f>
        <v>0</v>
      </c>
      <c r="CT88" s="34">
        <f>IF(SUM($I88:CS88)&lt;1,IF($C88&lt;=CT$4,1/$E$41,0),0)</f>
        <v>0</v>
      </c>
      <c r="CU88" s="34">
        <f>IF(SUM($I88:CT88)&lt;1,IF($C88&lt;=CU$4,1/$E$41,0),0)</f>
        <v>0</v>
      </c>
      <c r="CV88" s="34">
        <f>IF(SUM($I88:CU88)&lt;1,IF($C88&lt;=CV$4,1/$E$41,0),0)</f>
        <v>0</v>
      </c>
      <c r="CW88" s="34">
        <f>IF(SUM($I88:CV88)&lt;1,IF($C88&lt;=CW$4,1/$E$41,0),0)</f>
        <v>0</v>
      </c>
      <c r="CX88" s="34">
        <f>IF(SUM($I88:CW88)&lt;1,IF($C88&lt;=CX$4,1/$E$41,0),0)</f>
        <v>0</v>
      </c>
      <c r="CY88" s="34">
        <f>IF(SUM($I88:CX88)&lt;1,IF($C88&lt;=CY$4,1/$E$41,0),0)</f>
        <v>0</v>
      </c>
      <c r="CZ88" s="34">
        <f>IF(SUM($I88:CY88)&lt;1,IF($C88&lt;=CZ$4,1/$E$41,0),0)</f>
        <v>0</v>
      </c>
      <c r="DA88" s="34">
        <f>IF(SUM($I88:CZ88)&lt;1,IF($C88&lt;=DA$4,1/$E$41,0),0)</f>
        <v>0</v>
      </c>
      <c r="DB88" s="34">
        <f>IF(SUM($I88:DA88)&lt;1,IF($C88&lt;=DB$4,1/$E$41,0),0)</f>
        <v>0</v>
      </c>
      <c r="DC88" s="34">
        <f>IF(SUM($I88:DB88)&lt;1,IF($C88&lt;=DC$4,1/$E$41,0),0)</f>
        <v>0</v>
      </c>
      <c r="DD88" s="34">
        <f>IF(SUM($I88:DC88)&lt;1,IF($C88&lt;=DD$4,1/$E$41,0),0)</f>
        <v>0</v>
      </c>
      <c r="DE88" s="34">
        <f>IF(SUM($I88:DD88)&lt;1,IF($C88&lt;=DE$4,1/$E$41,0),0)</f>
        <v>0</v>
      </c>
      <c r="DF88" s="34">
        <f>IF(SUM($I88:DE88)&lt;1,IF($C88&lt;=DF$4,1/$E$41,0),0)</f>
        <v>0</v>
      </c>
      <c r="DG88" s="34">
        <f>IF(SUM($I88:DF88)&lt;1,IF($C88&lt;=DG$4,1/$E$41,0),0)</f>
        <v>0</v>
      </c>
      <c r="DH88" s="34">
        <f>IF(SUM($I88:DG88)&lt;1,IF($C88&lt;=DH$4,1/$E$41,0),0)</f>
        <v>0</v>
      </c>
      <c r="DI88" s="34">
        <f>IF(SUM($I88:DH88)&lt;1,IF($C88&lt;=DI$4,1/$E$41,0),0)</f>
        <v>0</v>
      </c>
      <c r="DJ88" s="34">
        <f>IF(SUM($I88:DI88)&lt;1,IF($C88&lt;=DJ$4,1/$E$41,0),0)</f>
        <v>0</v>
      </c>
      <c r="DK88" s="34">
        <f>IF(SUM($I88:DJ88)&lt;1,IF($C88&lt;=DK$4,1/$E$41,0),0)</f>
        <v>0</v>
      </c>
      <c r="DL88" s="34">
        <f>IF(SUM($I88:DK88)&lt;1,IF($C88&lt;=DL$4,1/$E$41,0),0)</f>
        <v>0</v>
      </c>
      <c r="DM88" s="34">
        <f>IF(SUM($I88:DL88)&lt;1,IF($C88&lt;=DM$4,1/$E$41,0),0)</f>
        <v>0</v>
      </c>
    </row>
    <row r="89" spans="3:117" outlineLevel="1" x14ac:dyDescent="0.15">
      <c r="C89" s="50">
        <f t="shared" si="48"/>
        <v>45</v>
      </c>
      <c r="D89" s="5" t="s">
        <v>18</v>
      </c>
      <c r="E89" s="19">
        <f t="shared" si="49"/>
        <v>0</v>
      </c>
      <c r="I89" s="9"/>
      <c r="J89" s="34">
        <f>IF(SUM($I89:I89)&lt;1,IF($C89&lt;=J$4,1/$E$41,0),0)</f>
        <v>0</v>
      </c>
      <c r="K89" s="34">
        <f>IF(SUM($I89:J89)&lt;1,IF($C89&lt;=K$4,1/$E$41,0),0)</f>
        <v>0</v>
      </c>
      <c r="L89" s="34">
        <f>IF(SUM($I89:K89)&lt;1,IF($C89&lt;=L$4,1/$E$41,0),0)</f>
        <v>0</v>
      </c>
      <c r="M89" s="34">
        <f>IF(SUM($I89:L89)&lt;1,IF($C89&lt;=M$4,1/$E$41,0),0)</f>
        <v>0</v>
      </c>
      <c r="N89" s="34">
        <f>IF(SUM($I89:M89)&lt;1,IF($C89&lt;=N$4,1/$E$41,0),0)</f>
        <v>0</v>
      </c>
      <c r="O89" s="34">
        <f>IF(SUM($I89:N89)&lt;1,IF($C89&lt;=O$4,1/$E$41,0),0)</f>
        <v>0</v>
      </c>
      <c r="P89" s="34">
        <f>IF(SUM($I89:O89)&lt;1,IF($C89&lt;=P$4,1/$E$41,0),0)</f>
        <v>0</v>
      </c>
      <c r="Q89" s="34">
        <f>IF(SUM($I89:P89)&lt;1,IF($C89&lt;=Q$4,1/$E$41,0),0)</f>
        <v>0</v>
      </c>
      <c r="R89" s="34">
        <f>IF(SUM($I89:Q89)&lt;1,IF($C89&lt;=R$4,1/$E$41,0),0)</f>
        <v>0</v>
      </c>
      <c r="S89" s="34">
        <f>IF(SUM($I89:R89)&lt;1,IF($C89&lt;=S$4,1/$E$41,0),0)</f>
        <v>0</v>
      </c>
      <c r="T89" s="34">
        <f>IF(SUM($I89:S89)&lt;1,IF($C89&lt;=T$4,1/$E$41,0),0)</f>
        <v>0</v>
      </c>
      <c r="U89" s="34">
        <f>IF(SUM($I89:T89)&lt;1,IF($C89&lt;=U$4,1/$E$41,0),0)</f>
        <v>0</v>
      </c>
      <c r="V89" s="34">
        <f>IF(SUM($I89:U89)&lt;1,IF($C89&lt;=V$4,1/$E$41,0),0)</f>
        <v>0</v>
      </c>
      <c r="W89" s="34">
        <f>IF(SUM($I89:V89)&lt;1,IF($C89&lt;=W$4,1/$E$41,0),0)</f>
        <v>0</v>
      </c>
      <c r="X89" s="34">
        <f>IF(SUM($I89:W89)&lt;1,IF($C89&lt;=X$4,1/$E$41,0),0)</f>
        <v>0</v>
      </c>
      <c r="Y89" s="34">
        <f>IF(SUM($I89:X89)&lt;1,IF($C89&lt;=Y$4,1/$E$41,0),0)</f>
        <v>0</v>
      </c>
      <c r="Z89" s="34">
        <f>IF(SUM($I89:Y89)&lt;1,IF($C89&lt;=Z$4,1/$E$41,0),0)</f>
        <v>0</v>
      </c>
      <c r="AA89" s="34">
        <f>IF(SUM($I89:Z89)&lt;1,IF($C89&lt;=AA$4,1/$E$41,0),0)</f>
        <v>0</v>
      </c>
      <c r="AB89" s="34">
        <f>IF(SUM($I89:AA89)&lt;1,IF($C89&lt;=AB$4,1/$E$41,0),0)</f>
        <v>0</v>
      </c>
      <c r="AC89" s="34">
        <f>IF(SUM($I89:AB89)&lt;1,IF($C89&lt;=AC$4,1/$E$41,0),0)</f>
        <v>0</v>
      </c>
      <c r="AD89" s="34">
        <f>IF(SUM($I89:AC89)&lt;1,IF($C89&lt;=AD$4,1/$E$41,0),0)</f>
        <v>0</v>
      </c>
      <c r="AE89" s="34">
        <f>IF(SUM($I89:AD89)&lt;1,IF($C89&lt;=AE$4,1/$E$41,0),0)</f>
        <v>0</v>
      </c>
      <c r="AF89" s="34">
        <f>IF(SUM($I89:AE89)&lt;1,IF($C89&lt;=AF$4,1/$E$41,0),0)</f>
        <v>0</v>
      </c>
      <c r="AG89" s="34">
        <f>IF(SUM($I89:AF89)&lt;1,IF($C89&lt;=AG$4,1/$E$41,0),0)</f>
        <v>0</v>
      </c>
      <c r="AH89" s="34">
        <f>IF(SUM($I89:AG89)&lt;1,IF($C89&lt;=AH$4,1/$E$41,0),0)</f>
        <v>0</v>
      </c>
      <c r="AI89" s="34">
        <f>IF(SUM($I89:AH89)&lt;1,IF($C89&lt;=AI$4,1/$E$41,0),0)</f>
        <v>0</v>
      </c>
      <c r="AJ89" s="34">
        <f>IF(SUM($I89:AI89)&lt;1,IF($C89&lt;=AJ$4,1/$E$41,0),0)</f>
        <v>0</v>
      </c>
      <c r="AK89" s="34">
        <f>IF(SUM($I89:AJ89)&lt;1,IF($C89&lt;=AK$4,1/$E$41,0),0)</f>
        <v>0</v>
      </c>
      <c r="AL89" s="34">
        <f>IF(SUM($I89:AK89)&lt;1,IF($C89&lt;=AL$4,1/$E$41,0),0)</f>
        <v>0</v>
      </c>
      <c r="AM89" s="34">
        <f>IF(SUM($I89:AL89)&lt;1,IF($C89&lt;=AM$4,1/$E$41,0),0)</f>
        <v>0</v>
      </c>
      <c r="AN89" s="34">
        <f>IF(SUM($I89:AM89)&lt;1,IF($C89&lt;=AN$4,1/$E$41,0),0)</f>
        <v>0</v>
      </c>
      <c r="AO89" s="34">
        <f>IF(SUM($I89:AN89)&lt;1,IF($C89&lt;=AO$4,1/$E$41,0),0)</f>
        <v>0</v>
      </c>
      <c r="AP89" s="34">
        <f>IF(SUM($I89:AO89)&lt;1,IF($C89&lt;=AP$4,1/$E$41,0),0)</f>
        <v>0</v>
      </c>
      <c r="AQ89" s="34">
        <f>IF(SUM($I89:AP89)&lt;1,IF($C89&lt;=AQ$4,1/$E$41,0),0)</f>
        <v>0</v>
      </c>
      <c r="AR89" s="34">
        <f>IF(SUM($I89:AQ89)&lt;1,IF($C89&lt;=AR$4,1/$E$41,0),0)</f>
        <v>0</v>
      </c>
      <c r="AS89" s="34">
        <f>IF(SUM($I89:AR89)&lt;1,IF($C89&lt;=AS$4,1/$E$41,0),0)</f>
        <v>0</v>
      </c>
      <c r="AT89" s="34">
        <f>IF(SUM($I89:AS89)&lt;1,IF($C89&lt;=AT$4,1/$E$41,0),0)</f>
        <v>0</v>
      </c>
      <c r="AU89" s="34">
        <f>IF(SUM($I89:AT89)&lt;1,IF($C89&lt;=AU$4,1/$E$41,0),0)</f>
        <v>0</v>
      </c>
      <c r="AV89" s="34">
        <f>IF(SUM($I89:AU89)&lt;1,IF($C89&lt;=AV$4,1/$E$41,0),0)</f>
        <v>0</v>
      </c>
      <c r="AW89" s="34">
        <f>IF(SUM($I89:AV89)&lt;1,IF($C89&lt;=AW$4,1/$E$41,0),0)</f>
        <v>0</v>
      </c>
      <c r="AX89" s="34">
        <f>IF(SUM($I89:AW89)&lt;1,IF($C89&lt;=AX$4,1/$E$41,0),0)</f>
        <v>0</v>
      </c>
      <c r="AY89" s="34">
        <f>IF(SUM($I89:AX89)&lt;1,IF($C89&lt;=AY$4,1/$E$41,0),0)</f>
        <v>0</v>
      </c>
      <c r="AZ89" s="34">
        <f>IF(SUM($I89:AY89)&lt;1,IF($C89&lt;=AZ$4,1/$E$41,0),0)</f>
        <v>0</v>
      </c>
      <c r="BA89" s="34">
        <f>IF(SUM($I89:AZ89)&lt;1,IF($C89&lt;=BA$4,1/$E$41,0),0)</f>
        <v>0</v>
      </c>
      <c r="BB89" s="34">
        <f>IF(SUM($I89:BA89)&lt;1,IF($C89&lt;=BB$4,1/$E$41,0),0)</f>
        <v>0.25</v>
      </c>
      <c r="BC89" s="34">
        <f>IF(SUM($I89:BB89)&lt;1,IF($C89&lt;=BC$4,1/$E$41,0),0)</f>
        <v>0.25</v>
      </c>
      <c r="BD89" s="34">
        <f>IF(SUM($I89:BC89)&lt;1,IF($C89&lt;=BD$4,1/$E$41,0),0)</f>
        <v>0.25</v>
      </c>
      <c r="BE89" s="34">
        <f>IF(SUM($I89:BD89)&lt;1,IF($C89&lt;=BE$4,1/$E$41,0),0)</f>
        <v>0.25</v>
      </c>
      <c r="BF89" s="34">
        <f>IF(SUM($I89:BE89)&lt;1,IF($C89&lt;=BF$4,1/$E$41,0),0)</f>
        <v>0</v>
      </c>
      <c r="BG89" s="34">
        <f>IF(SUM($I89:BF89)&lt;1,IF($C89&lt;=BG$4,1/$E$41,0),0)</f>
        <v>0</v>
      </c>
      <c r="BH89" s="34">
        <f>IF(SUM($I89:BG89)&lt;1,IF($C89&lt;=BH$4,1/$E$41,0),0)</f>
        <v>0</v>
      </c>
      <c r="BI89" s="34">
        <f>IF(SUM($I89:BH89)&lt;1,IF($C89&lt;=BI$4,1/$E$41,0),0)</f>
        <v>0</v>
      </c>
      <c r="BJ89" s="34">
        <f>IF(SUM($I89:BI89)&lt;1,IF($C89&lt;=BJ$4,1/$E$41,0),0)</f>
        <v>0</v>
      </c>
      <c r="BK89" s="34">
        <f>IF(SUM($I89:BJ89)&lt;1,IF($C89&lt;=BK$4,1/$E$41,0),0)</f>
        <v>0</v>
      </c>
      <c r="BL89" s="34">
        <f>IF(SUM($I89:BK89)&lt;1,IF($C89&lt;=BL$4,1/$E$41,0),0)</f>
        <v>0</v>
      </c>
      <c r="BM89" s="34">
        <f>IF(SUM($I89:BL89)&lt;1,IF($C89&lt;=BM$4,1/$E$41,0),0)</f>
        <v>0</v>
      </c>
      <c r="BN89" s="34">
        <f>IF(SUM($I89:BM89)&lt;1,IF($C89&lt;=BN$4,1/$E$41,0),0)</f>
        <v>0</v>
      </c>
      <c r="BO89" s="34">
        <f>IF(SUM($I89:BN89)&lt;1,IF($C89&lt;=BO$4,1/$E$41,0),0)</f>
        <v>0</v>
      </c>
      <c r="BP89" s="34">
        <f>IF(SUM($I89:BO89)&lt;1,IF($C89&lt;=BP$4,1/$E$41,0),0)</f>
        <v>0</v>
      </c>
      <c r="BQ89" s="34">
        <f>IF(SUM($I89:BP89)&lt;1,IF($C89&lt;=BQ$4,1/$E$41,0),0)</f>
        <v>0</v>
      </c>
      <c r="BR89" s="34">
        <f>IF(SUM($I89:BQ89)&lt;1,IF($C89&lt;=BR$4,1/$E$41,0),0)</f>
        <v>0</v>
      </c>
      <c r="BS89" s="34">
        <f>IF(SUM($I89:BR89)&lt;1,IF($C89&lt;=BS$4,1/$E$41,0),0)</f>
        <v>0</v>
      </c>
      <c r="BT89" s="34">
        <f>IF(SUM($I89:BS89)&lt;1,IF($C89&lt;=BT$4,1/$E$41,0),0)</f>
        <v>0</v>
      </c>
      <c r="BU89" s="34">
        <f>IF(SUM($I89:BT89)&lt;1,IF($C89&lt;=BU$4,1/$E$41,0),0)</f>
        <v>0</v>
      </c>
      <c r="BV89" s="34">
        <f>IF(SUM($I89:BU89)&lt;1,IF($C89&lt;=BV$4,1/$E$41,0),0)</f>
        <v>0</v>
      </c>
      <c r="BW89" s="34">
        <f>IF(SUM($I89:BV89)&lt;1,IF($C89&lt;=BW$4,1/$E$41,0),0)</f>
        <v>0</v>
      </c>
      <c r="BX89" s="34">
        <f>IF(SUM($I89:BW89)&lt;1,IF($C89&lt;=BX$4,1/$E$41,0),0)</f>
        <v>0</v>
      </c>
      <c r="BY89" s="34">
        <f>IF(SUM($I89:BX89)&lt;1,IF($C89&lt;=BY$4,1/$E$41,0),0)</f>
        <v>0</v>
      </c>
      <c r="BZ89" s="34">
        <f>IF(SUM($I89:BY89)&lt;1,IF($C89&lt;=BZ$4,1/$E$41,0),0)</f>
        <v>0</v>
      </c>
      <c r="CA89" s="34">
        <f>IF(SUM($I89:BZ89)&lt;1,IF($C89&lt;=CA$4,1/$E$41,0),0)</f>
        <v>0</v>
      </c>
      <c r="CB89" s="34">
        <f>IF(SUM($I89:CA89)&lt;1,IF($C89&lt;=CB$4,1/$E$41,0),0)</f>
        <v>0</v>
      </c>
      <c r="CC89" s="34">
        <f>IF(SUM($I89:CB89)&lt;1,IF($C89&lt;=CC$4,1/$E$41,0),0)</f>
        <v>0</v>
      </c>
      <c r="CD89" s="34">
        <f>IF(SUM($I89:CC89)&lt;1,IF($C89&lt;=CD$4,1/$E$41,0),0)</f>
        <v>0</v>
      </c>
      <c r="CE89" s="34">
        <f>IF(SUM($I89:CD89)&lt;1,IF($C89&lt;=CE$4,1/$E$41,0),0)</f>
        <v>0</v>
      </c>
      <c r="CF89" s="34">
        <f>IF(SUM($I89:CE89)&lt;1,IF($C89&lt;=CF$4,1/$E$41,0),0)</f>
        <v>0</v>
      </c>
      <c r="CG89" s="34">
        <f>IF(SUM($I89:CF89)&lt;1,IF($C89&lt;=CG$4,1/$E$41,0),0)</f>
        <v>0</v>
      </c>
      <c r="CH89" s="34">
        <f>IF(SUM($I89:CG89)&lt;1,IF($C89&lt;=CH$4,1/$E$41,0),0)</f>
        <v>0</v>
      </c>
      <c r="CI89" s="34">
        <f>IF(SUM($I89:CH89)&lt;1,IF($C89&lt;=CI$4,1/$E$41,0),0)</f>
        <v>0</v>
      </c>
      <c r="CJ89" s="34">
        <f>IF(SUM($I89:CI89)&lt;1,IF($C89&lt;=CJ$4,1/$E$41,0),0)</f>
        <v>0</v>
      </c>
      <c r="CK89" s="34">
        <f>IF(SUM($I89:CJ89)&lt;1,IF($C89&lt;=CK$4,1/$E$41,0),0)</f>
        <v>0</v>
      </c>
      <c r="CL89" s="34">
        <f>IF(SUM($I89:CK89)&lt;1,IF($C89&lt;=CL$4,1/$E$41,0),0)</f>
        <v>0</v>
      </c>
      <c r="CM89" s="34">
        <f>IF(SUM($I89:CL89)&lt;1,IF($C89&lt;=CM$4,1/$E$41,0),0)</f>
        <v>0</v>
      </c>
      <c r="CN89" s="34">
        <f>IF(SUM($I89:CM89)&lt;1,IF($C89&lt;=CN$4,1/$E$41,0),0)</f>
        <v>0</v>
      </c>
      <c r="CO89" s="34">
        <f>IF(SUM($I89:CN89)&lt;1,IF($C89&lt;=CO$4,1/$E$41,0),0)</f>
        <v>0</v>
      </c>
      <c r="CP89" s="34">
        <f>IF(SUM($I89:CO89)&lt;1,IF($C89&lt;=CP$4,1/$E$41,0),0)</f>
        <v>0</v>
      </c>
      <c r="CQ89" s="34">
        <f>IF(SUM($I89:CP89)&lt;1,IF($C89&lt;=CQ$4,1/$E$41,0),0)</f>
        <v>0</v>
      </c>
      <c r="CR89" s="34">
        <f>IF(SUM($I89:CQ89)&lt;1,IF($C89&lt;=CR$4,1/$E$41,0),0)</f>
        <v>0</v>
      </c>
      <c r="CS89" s="34">
        <f>IF(SUM($I89:CR89)&lt;1,IF($C89&lt;=CS$4,1/$E$41,0),0)</f>
        <v>0</v>
      </c>
      <c r="CT89" s="34">
        <f>IF(SUM($I89:CS89)&lt;1,IF($C89&lt;=CT$4,1/$E$41,0),0)</f>
        <v>0</v>
      </c>
      <c r="CU89" s="34">
        <f>IF(SUM($I89:CT89)&lt;1,IF($C89&lt;=CU$4,1/$E$41,0),0)</f>
        <v>0</v>
      </c>
      <c r="CV89" s="34">
        <f>IF(SUM($I89:CU89)&lt;1,IF($C89&lt;=CV$4,1/$E$41,0),0)</f>
        <v>0</v>
      </c>
      <c r="CW89" s="34">
        <f>IF(SUM($I89:CV89)&lt;1,IF($C89&lt;=CW$4,1/$E$41,0),0)</f>
        <v>0</v>
      </c>
      <c r="CX89" s="34">
        <f>IF(SUM($I89:CW89)&lt;1,IF($C89&lt;=CX$4,1/$E$41,0),0)</f>
        <v>0</v>
      </c>
      <c r="CY89" s="34">
        <f>IF(SUM($I89:CX89)&lt;1,IF($C89&lt;=CY$4,1/$E$41,0),0)</f>
        <v>0</v>
      </c>
      <c r="CZ89" s="34">
        <f>IF(SUM($I89:CY89)&lt;1,IF($C89&lt;=CZ$4,1/$E$41,0),0)</f>
        <v>0</v>
      </c>
      <c r="DA89" s="34">
        <f>IF(SUM($I89:CZ89)&lt;1,IF($C89&lt;=DA$4,1/$E$41,0),0)</f>
        <v>0</v>
      </c>
      <c r="DB89" s="34">
        <f>IF(SUM($I89:DA89)&lt;1,IF($C89&lt;=DB$4,1/$E$41,0),0)</f>
        <v>0</v>
      </c>
      <c r="DC89" s="34">
        <f>IF(SUM($I89:DB89)&lt;1,IF($C89&lt;=DC$4,1/$E$41,0),0)</f>
        <v>0</v>
      </c>
      <c r="DD89" s="34">
        <f>IF(SUM($I89:DC89)&lt;1,IF($C89&lt;=DD$4,1/$E$41,0),0)</f>
        <v>0</v>
      </c>
      <c r="DE89" s="34">
        <f>IF(SUM($I89:DD89)&lt;1,IF($C89&lt;=DE$4,1/$E$41,0),0)</f>
        <v>0</v>
      </c>
      <c r="DF89" s="34">
        <f>IF(SUM($I89:DE89)&lt;1,IF($C89&lt;=DF$4,1/$E$41,0),0)</f>
        <v>0</v>
      </c>
      <c r="DG89" s="34">
        <f>IF(SUM($I89:DF89)&lt;1,IF($C89&lt;=DG$4,1/$E$41,0),0)</f>
        <v>0</v>
      </c>
      <c r="DH89" s="34">
        <f>IF(SUM($I89:DG89)&lt;1,IF($C89&lt;=DH$4,1/$E$41,0),0)</f>
        <v>0</v>
      </c>
      <c r="DI89" s="34">
        <f>IF(SUM($I89:DH89)&lt;1,IF($C89&lt;=DI$4,1/$E$41,0),0)</f>
        <v>0</v>
      </c>
      <c r="DJ89" s="34">
        <f>IF(SUM($I89:DI89)&lt;1,IF($C89&lt;=DJ$4,1/$E$41,0),0)</f>
        <v>0</v>
      </c>
      <c r="DK89" s="34">
        <f>IF(SUM($I89:DJ89)&lt;1,IF($C89&lt;=DK$4,1/$E$41,0),0)</f>
        <v>0</v>
      </c>
      <c r="DL89" s="34">
        <f>IF(SUM($I89:DK89)&lt;1,IF($C89&lt;=DL$4,1/$E$41,0),0)</f>
        <v>0</v>
      </c>
      <c r="DM89" s="34">
        <f>IF(SUM($I89:DL89)&lt;1,IF($C89&lt;=DM$4,1/$E$41,0),0)</f>
        <v>0</v>
      </c>
    </row>
    <row r="90" spans="3:117" outlineLevel="1" x14ac:dyDescent="0.15">
      <c r="C90" s="50">
        <f t="shared" si="48"/>
        <v>46</v>
      </c>
      <c r="D90" s="5" t="s">
        <v>18</v>
      </c>
      <c r="E90" s="19">
        <f t="shared" si="49"/>
        <v>0</v>
      </c>
      <c r="I90" s="9"/>
      <c r="J90" s="34">
        <f>IF(SUM($I90:I90)&lt;1,IF($C90&lt;=J$4,1/$E$41,0),0)</f>
        <v>0</v>
      </c>
      <c r="K90" s="34">
        <f>IF(SUM($I90:J90)&lt;1,IF($C90&lt;=K$4,1/$E$41,0),0)</f>
        <v>0</v>
      </c>
      <c r="L90" s="34">
        <f>IF(SUM($I90:K90)&lt;1,IF($C90&lt;=L$4,1/$E$41,0),0)</f>
        <v>0</v>
      </c>
      <c r="M90" s="34">
        <f>IF(SUM($I90:L90)&lt;1,IF($C90&lt;=M$4,1/$E$41,0),0)</f>
        <v>0</v>
      </c>
      <c r="N90" s="34">
        <f>IF(SUM($I90:M90)&lt;1,IF($C90&lt;=N$4,1/$E$41,0),0)</f>
        <v>0</v>
      </c>
      <c r="O90" s="34">
        <f>IF(SUM($I90:N90)&lt;1,IF($C90&lt;=O$4,1/$E$41,0),0)</f>
        <v>0</v>
      </c>
      <c r="P90" s="34">
        <f>IF(SUM($I90:O90)&lt;1,IF($C90&lt;=P$4,1/$E$41,0),0)</f>
        <v>0</v>
      </c>
      <c r="Q90" s="34">
        <f>IF(SUM($I90:P90)&lt;1,IF($C90&lt;=Q$4,1/$E$41,0),0)</f>
        <v>0</v>
      </c>
      <c r="R90" s="34">
        <f>IF(SUM($I90:Q90)&lt;1,IF($C90&lt;=R$4,1/$E$41,0),0)</f>
        <v>0</v>
      </c>
      <c r="S90" s="34">
        <f>IF(SUM($I90:R90)&lt;1,IF($C90&lt;=S$4,1/$E$41,0),0)</f>
        <v>0</v>
      </c>
      <c r="T90" s="34">
        <f>IF(SUM($I90:S90)&lt;1,IF($C90&lt;=T$4,1/$E$41,0),0)</f>
        <v>0</v>
      </c>
      <c r="U90" s="34">
        <f>IF(SUM($I90:T90)&lt;1,IF($C90&lt;=U$4,1/$E$41,0),0)</f>
        <v>0</v>
      </c>
      <c r="V90" s="34">
        <f>IF(SUM($I90:U90)&lt;1,IF($C90&lt;=V$4,1/$E$41,0),0)</f>
        <v>0</v>
      </c>
      <c r="W90" s="34">
        <f>IF(SUM($I90:V90)&lt;1,IF($C90&lt;=W$4,1/$E$41,0),0)</f>
        <v>0</v>
      </c>
      <c r="X90" s="34">
        <f>IF(SUM($I90:W90)&lt;1,IF($C90&lt;=X$4,1/$E$41,0),0)</f>
        <v>0</v>
      </c>
      <c r="Y90" s="34">
        <f>IF(SUM($I90:X90)&lt;1,IF($C90&lt;=Y$4,1/$E$41,0),0)</f>
        <v>0</v>
      </c>
      <c r="Z90" s="34">
        <f>IF(SUM($I90:Y90)&lt;1,IF($C90&lt;=Z$4,1/$E$41,0),0)</f>
        <v>0</v>
      </c>
      <c r="AA90" s="34">
        <f>IF(SUM($I90:Z90)&lt;1,IF($C90&lt;=AA$4,1/$E$41,0),0)</f>
        <v>0</v>
      </c>
      <c r="AB90" s="34">
        <f>IF(SUM($I90:AA90)&lt;1,IF($C90&lt;=AB$4,1/$E$41,0),0)</f>
        <v>0</v>
      </c>
      <c r="AC90" s="34">
        <f>IF(SUM($I90:AB90)&lt;1,IF($C90&lt;=AC$4,1/$E$41,0),0)</f>
        <v>0</v>
      </c>
      <c r="AD90" s="34">
        <f>IF(SUM($I90:AC90)&lt;1,IF($C90&lt;=AD$4,1/$E$41,0),0)</f>
        <v>0</v>
      </c>
      <c r="AE90" s="34">
        <f>IF(SUM($I90:AD90)&lt;1,IF($C90&lt;=AE$4,1/$E$41,0),0)</f>
        <v>0</v>
      </c>
      <c r="AF90" s="34">
        <f>IF(SUM($I90:AE90)&lt;1,IF($C90&lt;=AF$4,1/$E$41,0),0)</f>
        <v>0</v>
      </c>
      <c r="AG90" s="34">
        <f>IF(SUM($I90:AF90)&lt;1,IF($C90&lt;=AG$4,1/$E$41,0),0)</f>
        <v>0</v>
      </c>
      <c r="AH90" s="34">
        <f>IF(SUM($I90:AG90)&lt;1,IF($C90&lt;=AH$4,1/$E$41,0),0)</f>
        <v>0</v>
      </c>
      <c r="AI90" s="34">
        <f>IF(SUM($I90:AH90)&lt;1,IF($C90&lt;=AI$4,1/$E$41,0),0)</f>
        <v>0</v>
      </c>
      <c r="AJ90" s="34">
        <f>IF(SUM($I90:AI90)&lt;1,IF($C90&lt;=AJ$4,1/$E$41,0),0)</f>
        <v>0</v>
      </c>
      <c r="AK90" s="34">
        <f>IF(SUM($I90:AJ90)&lt;1,IF($C90&lt;=AK$4,1/$E$41,0),0)</f>
        <v>0</v>
      </c>
      <c r="AL90" s="34">
        <f>IF(SUM($I90:AK90)&lt;1,IF($C90&lt;=AL$4,1/$E$41,0),0)</f>
        <v>0</v>
      </c>
      <c r="AM90" s="34">
        <f>IF(SUM($I90:AL90)&lt;1,IF($C90&lt;=AM$4,1/$E$41,0),0)</f>
        <v>0</v>
      </c>
      <c r="AN90" s="34">
        <f>IF(SUM($I90:AM90)&lt;1,IF($C90&lt;=AN$4,1/$E$41,0),0)</f>
        <v>0</v>
      </c>
      <c r="AO90" s="34">
        <f>IF(SUM($I90:AN90)&lt;1,IF($C90&lt;=AO$4,1/$E$41,0),0)</f>
        <v>0</v>
      </c>
      <c r="AP90" s="34">
        <f>IF(SUM($I90:AO90)&lt;1,IF($C90&lt;=AP$4,1/$E$41,0),0)</f>
        <v>0</v>
      </c>
      <c r="AQ90" s="34">
        <f>IF(SUM($I90:AP90)&lt;1,IF($C90&lt;=AQ$4,1/$E$41,0),0)</f>
        <v>0</v>
      </c>
      <c r="AR90" s="34">
        <f>IF(SUM($I90:AQ90)&lt;1,IF($C90&lt;=AR$4,1/$E$41,0),0)</f>
        <v>0</v>
      </c>
      <c r="AS90" s="34">
        <f>IF(SUM($I90:AR90)&lt;1,IF($C90&lt;=AS$4,1/$E$41,0),0)</f>
        <v>0</v>
      </c>
      <c r="AT90" s="34">
        <f>IF(SUM($I90:AS90)&lt;1,IF($C90&lt;=AT$4,1/$E$41,0),0)</f>
        <v>0</v>
      </c>
      <c r="AU90" s="34">
        <f>IF(SUM($I90:AT90)&lt;1,IF($C90&lt;=AU$4,1/$E$41,0),0)</f>
        <v>0</v>
      </c>
      <c r="AV90" s="34">
        <f>IF(SUM($I90:AU90)&lt;1,IF($C90&lt;=AV$4,1/$E$41,0),0)</f>
        <v>0</v>
      </c>
      <c r="AW90" s="34">
        <f>IF(SUM($I90:AV90)&lt;1,IF($C90&lt;=AW$4,1/$E$41,0),0)</f>
        <v>0</v>
      </c>
      <c r="AX90" s="34">
        <f>IF(SUM($I90:AW90)&lt;1,IF($C90&lt;=AX$4,1/$E$41,0),0)</f>
        <v>0</v>
      </c>
      <c r="AY90" s="34">
        <f>IF(SUM($I90:AX90)&lt;1,IF($C90&lt;=AY$4,1/$E$41,0),0)</f>
        <v>0</v>
      </c>
      <c r="AZ90" s="34">
        <f>IF(SUM($I90:AY90)&lt;1,IF($C90&lt;=AZ$4,1/$E$41,0),0)</f>
        <v>0</v>
      </c>
      <c r="BA90" s="34">
        <f>IF(SUM($I90:AZ90)&lt;1,IF($C90&lt;=BA$4,1/$E$41,0),0)</f>
        <v>0</v>
      </c>
      <c r="BB90" s="34">
        <f>IF(SUM($I90:BA90)&lt;1,IF($C90&lt;=BB$4,1/$E$41,0),0)</f>
        <v>0</v>
      </c>
      <c r="BC90" s="34">
        <f>IF(SUM($I90:BB90)&lt;1,IF($C90&lt;=BC$4,1/$E$41,0),0)</f>
        <v>0.25</v>
      </c>
      <c r="BD90" s="34">
        <f>IF(SUM($I90:BC90)&lt;1,IF($C90&lt;=BD$4,1/$E$41,0),0)</f>
        <v>0.25</v>
      </c>
      <c r="BE90" s="34">
        <f>IF(SUM($I90:BD90)&lt;1,IF($C90&lt;=BE$4,1/$E$41,0),0)</f>
        <v>0.25</v>
      </c>
      <c r="BF90" s="34">
        <f>IF(SUM($I90:BE90)&lt;1,IF($C90&lt;=BF$4,1/$E$41,0),0)</f>
        <v>0.25</v>
      </c>
      <c r="BG90" s="34">
        <f>IF(SUM($I90:BF90)&lt;1,IF($C90&lt;=BG$4,1/$E$41,0),0)</f>
        <v>0</v>
      </c>
      <c r="BH90" s="34">
        <f>IF(SUM($I90:BG90)&lt;1,IF($C90&lt;=BH$4,1/$E$41,0),0)</f>
        <v>0</v>
      </c>
      <c r="BI90" s="34">
        <f>IF(SUM($I90:BH90)&lt;1,IF($C90&lt;=BI$4,1/$E$41,0),0)</f>
        <v>0</v>
      </c>
      <c r="BJ90" s="34">
        <f>IF(SUM($I90:BI90)&lt;1,IF($C90&lt;=BJ$4,1/$E$41,0),0)</f>
        <v>0</v>
      </c>
      <c r="BK90" s="34">
        <f>IF(SUM($I90:BJ90)&lt;1,IF($C90&lt;=BK$4,1/$E$41,0),0)</f>
        <v>0</v>
      </c>
      <c r="BL90" s="34">
        <f>IF(SUM($I90:BK90)&lt;1,IF($C90&lt;=BL$4,1/$E$41,0),0)</f>
        <v>0</v>
      </c>
      <c r="BM90" s="34">
        <f>IF(SUM($I90:BL90)&lt;1,IF($C90&lt;=BM$4,1/$E$41,0),0)</f>
        <v>0</v>
      </c>
      <c r="BN90" s="34">
        <f>IF(SUM($I90:BM90)&lt;1,IF($C90&lt;=BN$4,1/$E$41,0),0)</f>
        <v>0</v>
      </c>
      <c r="BO90" s="34">
        <f>IF(SUM($I90:BN90)&lt;1,IF($C90&lt;=BO$4,1/$E$41,0),0)</f>
        <v>0</v>
      </c>
      <c r="BP90" s="34">
        <f>IF(SUM($I90:BO90)&lt;1,IF($C90&lt;=BP$4,1/$E$41,0),0)</f>
        <v>0</v>
      </c>
      <c r="BQ90" s="34">
        <f>IF(SUM($I90:BP90)&lt;1,IF($C90&lt;=BQ$4,1/$E$41,0),0)</f>
        <v>0</v>
      </c>
      <c r="BR90" s="34">
        <f>IF(SUM($I90:BQ90)&lt;1,IF($C90&lt;=BR$4,1/$E$41,0),0)</f>
        <v>0</v>
      </c>
      <c r="BS90" s="34">
        <f>IF(SUM($I90:BR90)&lt;1,IF($C90&lt;=BS$4,1/$E$41,0),0)</f>
        <v>0</v>
      </c>
      <c r="BT90" s="34">
        <f>IF(SUM($I90:BS90)&lt;1,IF($C90&lt;=BT$4,1/$E$41,0),0)</f>
        <v>0</v>
      </c>
      <c r="BU90" s="34">
        <f>IF(SUM($I90:BT90)&lt;1,IF($C90&lt;=BU$4,1/$E$41,0),0)</f>
        <v>0</v>
      </c>
      <c r="BV90" s="34">
        <f>IF(SUM($I90:BU90)&lt;1,IF($C90&lt;=BV$4,1/$E$41,0),0)</f>
        <v>0</v>
      </c>
      <c r="BW90" s="34">
        <f>IF(SUM($I90:BV90)&lt;1,IF($C90&lt;=BW$4,1/$E$41,0),0)</f>
        <v>0</v>
      </c>
      <c r="BX90" s="34">
        <f>IF(SUM($I90:BW90)&lt;1,IF($C90&lt;=BX$4,1/$E$41,0),0)</f>
        <v>0</v>
      </c>
      <c r="BY90" s="34">
        <f>IF(SUM($I90:BX90)&lt;1,IF($C90&lt;=BY$4,1/$E$41,0),0)</f>
        <v>0</v>
      </c>
      <c r="BZ90" s="34">
        <f>IF(SUM($I90:BY90)&lt;1,IF($C90&lt;=BZ$4,1/$E$41,0),0)</f>
        <v>0</v>
      </c>
      <c r="CA90" s="34">
        <f>IF(SUM($I90:BZ90)&lt;1,IF($C90&lt;=CA$4,1/$E$41,0),0)</f>
        <v>0</v>
      </c>
      <c r="CB90" s="34">
        <f>IF(SUM($I90:CA90)&lt;1,IF($C90&lt;=CB$4,1/$E$41,0),0)</f>
        <v>0</v>
      </c>
      <c r="CC90" s="34">
        <f>IF(SUM($I90:CB90)&lt;1,IF($C90&lt;=CC$4,1/$E$41,0),0)</f>
        <v>0</v>
      </c>
      <c r="CD90" s="34">
        <f>IF(SUM($I90:CC90)&lt;1,IF($C90&lt;=CD$4,1/$E$41,0),0)</f>
        <v>0</v>
      </c>
      <c r="CE90" s="34">
        <f>IF(SUM($I90:CD90)&lt;1,IF($C90&lt;=CE$4,1/$E$41,0),0)</f>
        <v>0</v>
      </c>
      <c r="CF90" s="34">
        <f>IF(SUM($I90:CE90)&lt;1,IF($C90&lt;=CF$4,1/$E$41,0),0)</f>
        <v>0</v>
      </c>
      <c r="CG90" s="34">
        <f>IF(SUM($I90:CF90)&lt;1,IF($C90&lt;=CG$4,1/$E$41,0),0)</f>
        <v>0</v>
      </c>
      <c r="CH90" s="34">
        <f>IF(SUM($I90:CG90)&lt;1,IF($C90&lt;=CH$4,1/$E$41,0),0)</f>
        <v>0</v>
      </c>
      <c r="CI90" s="34">
        <f>IF(SUM($I90:CH90)&lt;1,IF($C90&lt;=CI$4,1/$E$41,0),0)</f>
        <v>0</v>
      </c>
      <c r="CJ90" s="34">
        <f>IF(SUM($I90:CI90)&lt;1,IF($C90&lt;=CJ$4,1/$E$41,0),0)</f>
        <v>0</v>
      </c>
      <c r="CK90" s="34">
        <f>IF(SUM($I90:CJ90)&lt;1,IF($C90&lt;=CK$4,1/$E$41,0),0)</f>
        <v>0</v>
      </c>
      <c r="CL90" s="34">
        <f>IF(SUM($I90:CK90)&lt;1,IF($C90&lt;=CL$4,1/$E$41,0),0)</f>
        <v>0</v>
      </c>
      <c r="CM90" s="34">
        <f>IF(SUM($I90:CL90)&lt;1,IF($C90&lt;=CM$4,1/$E$41,0),0)</f>
        <v>0</v>
      </c>
      <c r="CN90" s="34">
        <f>IF(SUM($I90:CM90)&lt;1,IF($C90&lt;=CN$4,1/$E$41,0),0)</f>
        <v>0</v>
      </c>
      <c r="CO90" s="34">
        <f>IF(SUM($I90:CN90)&lt;1,IF($C90&lt;=CO$4,1/$E$41,0),0)</f>
        <v>0</v>
      </c>
      <c r="CP90" s="34">
        <f>IF(SUM($I90:CO90)&lt;1,IF($C90&lt;=CP$4,1/$E$41,0),0)</f>
        <v>0</v>
      </c>
      <c r="CQ90" s="34">
        <f>IF(SUM($I90:CP90)&lt;1,IF($C90&lt;=CQ$4,1/$E$41,0),0)</f>
        <v>0</v>
      </c>
      <c r="CR90" s="34">
        <f>IF(SUM($I90:CQ90)&lt;1,IF($C90&lt;=CR$4,1/$E$41,0),0)</f>
        <v>0</v>
      </c>
      <c r="CS90" s="34">
        <f>IF(SUM($I90:CR90)&lt;1,IF($C90&lt;=CS$4,1/$E$41,0),0)</f>
        <v>0</v>
      </c>
      <c r="CT90" s="34">
        <f>IF(SUM($I90:CS90)&lt;1,IF($C90&lt;=CT$4,1/$E$41,0),0)</f>
        <v>0</v>
      </c>
      <c r="CU90" s="34">
        <f>IF(SUM($I90:CT90)&lt;1,IF($C90&lt;=CU$4,1/$E$41,0),0)</f>
        <v>0</v>
      </c>
      <c r="CV90" s="34">
        <f>IF(SUM($I90:CU90)&lt;1,IF($C90&lt;=CV$4,1/$E$41,0),0)</f>
        <v>0</v>
      </c>
      <c r="CW90" s="34">
        <f>IF(SUM($I90:CV90)&lt;1,IF($C90&lt;=CW$4,1/$E$41,0),0)</f>
        <v>0</v>
      </c>
      <c r="CX90" s="34">
        <f>IF(SUM($I90:CW90)&lt;1,IF($C90&lt;=CX$4,1/$E$41,0),0)</f>
        <v>0</v>
      </c>
      <c r="CY90" s="34">
        <f>IF(SUM($I90:CX90)&lt;1,IF($C90&lt;=CY$4,1/$E$41,0),0)</f>
        <v>0</v>
      </c>
      <c r="CZ90" s="34">
        <f>IF(SUM($I90:CY90)&lt;1,IF($C90&lt;=CZ$4,1/$E$41,0),0)</f>
        <v>0</v>
      </c>
      <c r="DA90" s="34">
        <f>IF(SUM($I90:CZ90)&lt;1,IF($C90&lt;=DA$4,1/$E$41,0),0)</f>
        <v>0</v>
      </c>
      <c r="DB90" s="34">
        <f>IF(SUM($I90:DA90)&lt;1,IF($C90&lt;=DB$4,1/$E$41,0),0)</f>
        <v>0</v>
      </c>
      <c r="DC90" s="34">
        <f>IF(SUM($I90:DB90)&lt;1,IF($C90&lt;=DC$4,1/$E$41,0),0)</f>
        <v>0</v>
      </c>
      <c r="DD90" s="34">
        <f>IF(SUM($I90:DC90)&lt;1,IF($C90&lt;=DD$4,1/$E$41,0),0)</f>
        <v>0</v>
      </c>
      <c r="DE90" s="34">
        <f>IF(SUM($I90:DD90)&lt;1,IF($C90&lt;=DE$4,1/$E$41,0),0)</f>
        <v>0</v>
      </c>
      <c r="DF90" s="34">
        <f>IF(SUM($I90:DE90)&lt;1,IF($C90&lt;=DF$4,1/$E$41,0),0)</f>
        <v>0</v>
      </c>
      <c r="DG90" s="34">
        <f>IF(SUM($I90:DF90)&lt;1,IF($C90&lt;=DG$4,1/$E$41,0),0)</f>
        <v>0</v>
      </c>
      <c r="DH90" s="34">
        <f>IF(SUM($I90:DG90)&lt;1,IF($C90&lt;=DH$4,1/$E$41,0),0)</f>
        <v>0</v>
      </c>
      <c r="DI90" s="34">
        <f>IF(SUM($I90:DH90)&lt;1,IF($C90&lt;=DI$4,1/$E$41,0),0)</f>
        <v>0</v>
      </c>
      <c r="DJ90" s="34">
        <f>IF(SUM($I90:DI90)&lt;1,IF($C90&lt;=DJ$4,1/$E$41,0),0)</f>
        <v>0</v>
      </c>
      <c r="DK90" s="34">
        <f>IF(SUM($I90:DJ90)&lt;1,IF($C90&lt;=DK$4,1/$E$41,0),0)</f>
        <v>0</v>
      </c>
      <c r="DL90" s="34">
        <f>IF(SUM($I90:DK90)&lt;1,IF($C90&lt;=DL$4,1/$E$41,0),0)</f>
        <v>0</v>
      </c>
      <c r="DM90" s="34">
        <f>IF(SUM($I90:DL90)&lt;1,IF($C90&lt;=DM$4,1/$E$41,0),0)</f>
        <v>0</v>
      </c>
    </row>
    <row r="91" spans="3:117" outlineLevel="1" x14ac:dyDescent="0.15">
      <c r="C91" s="50">
        <f t="shared" si="48"/>
        <v>47</v>
      </c>
      <c r="D91" s="5" t="s">
        <v>18</v>
      </c>
      <c r="E91" s="19">
        <f t="shared" si="49"/>
        <v>0</v>
      </c>
      <c r="I91" s="9"/>
      <c r="J91" s="34">
        <f>IF(SUM($I91:I91)&lt;1,IF($C91&lt;=J$4,1/$E$41,0),0)</f>
        <v>0</v>
      </c>
      <c r="K91" s="34">
        <f>IF(SUM($I91:J91)&lt;1,IF($C91&lt;=K$4,1/$E$41,0),0)</f>
        <v>0</v>
      </c>
      <c r="L91" s="34">
        <f>IF(SUM($I91:K91)&lt;1,IF($C91&lt;=L$4,1/$E$41,0),0)</f>
        <v>0</v>
      </c>
      <c r="M91" s="34">
        <f>IF(SUM($I91:L91)&lt;1,IF($C91&lt;=M$4,1/$E$41,0),0)</f>
        <v>0</v>
      </c>
      <c r="N91" s="34">
        <f>IF(SUM($I91:M91)&lt;1,IF($C91&lt;=N$4,1/$E$41,0),0)</f>
        <v>0</v>
      </c>
      <c r="O91" s="34">
        <f>IF(SUM($I91:N91)&lt;1,IF($C91&lt;=O$4,1/$E$41,0),0)</f>
        <v>0</v>
      </c>
      <c r="P91" s="34">
        <f>IF(SUM($I91:O91)&lt;1,IF($C91&lt;=P$4,1/$E$41,0),0)</f>
        <v>0</v>
      </c>
      <c r="Q91" s="34">
        <f>IF(SUM($I91:P91)&lt;1,IF($C91&lt;=Q$4,1/$E$41,0),0)</f>
        <v>0</v>
      </c>
      <c r="R91" s="34">
        <f>IF(SUM($I91:Q91)&lt;1,IF($C91&lt;=R$4,1/$E$41,0),0)</f>
        <v>0</v>
      </c>
      <c r="S91" s="34">
        <f>IF(SUM($I91:R91)&lt;1,IF($C91&lt;=S$4,1/$E$41,0),0)</f>
        <v>0</v>
      </c>
      <c r="T91" s="34">
        <f>IF(SUM($I91:S91)&lt;1,IF($C91&lt;=T$4,1/$E$41,0),0)</f>
        <v>0</v>
      </c>
      <c r="U91" s="34">
        <f>IF(SUM($I91:T91)&lt;1,IF($C91&lt;=U$4,1/$E$41,0),0)</f>
        <v>0</v>
      </c>
      <c r="V91" s="34">
        <f>IF(SUM($I91:U91)&lt;1,IF($C91&lt;=V$4,1/$E$41,0),0)</f>
        <v>0</v>
      </c>
      <c r="W91" s="34">
        <f>IF(SUM($I91:V91)&lt;1,IF($C91&lt;=W$4,1/$E$41,0),0)</f>
        <v>0</v>
      </c>
      <c r="X91" s="34">
        <f>IF(SUM($I91:W91)&lt;1,IF($C91&lt;=X$4,1/$E$41,0),0)</f>
        <v>0</v>
      </c>
      <c r="Y91" s="34">
        <f>IF(SUM($I91:X91)&lt;1,IF($C91&lt;=Y$4,1/$E$41,0),0)</f>
        <v>0</v>
      </c>
      <c r="Z91" s="34">
        <f>IF(SUM($I91:Y91)&lt;1,IF($C91&lt;=Z$4,1/$E$41,0),0)</f>
        <v>0</v>
      </c>
      <c r="AA91" s="34">
        <f>IF(SUM($I91:Z91)&lt;1,IF($C91&lt;=AA$4,1/$E$41,0),0)</f>
        <v>0</v>
      </c>
      <c r="AB91" s="34">
        <f>IF(SUM($I91:AA91)&lt;1,IF($C91&lt;=AB$4,1/$E$41,0),0)</f>
        <v>0</v>
      </c>
      <c r="AC91" s="34">
        <f>IF(SUM($I91:AB91)&lt;1,IF($C91&lt;=AC$4,1/$E$41,0),0)</f>
        <v>0</v>
      </c>
      <c r="AD91" s="34">
        <f>IF(SUM($I91:AC91)&lt;1,IF($C91&lt;=AD$4,1/$E$41,0),0)</f>
        <v>0</v>
      </c>
      <c r="AE91" s="34">
        <f>IF(SUM($I91:AD91)&lt;1,IF($C91&lt;=AE$4,1/$E$41,0),0)</f>
        <v>0</v>
      </c>
      <c r="AF91" s="34">
        <f>IF(SUM($I91:AE91)&lt;1,IF($C91&lt;=AF$4,1/$E$41,0),0)</f>
        <v>0</v>
      </c>
      <c r="AG91" s="34">
        <f>IF(SUM($I91:AF91)&lt;1,IF($C91&lt;=AG$4,1/$E$41,0),0)</f>
        <v>0</v>
      </c>
      <c r="AH91" s="34">
        <f>IF(SUM($I91:AG91)&lt;1,IF($C91&lt;=AH$4,1/$E$41,0),0)</f>
        <v>0</v>
      </c>
      <c r="AI91" s="34">
        <f>IF(SUM($I91:AH91)&lt;1,IF($C91&lt;=AI$4,1/$E$41,0),0)</f>
        <v>0</v>
      </c>
      <c r="AJ91" s="34">
        <f>IF(SUM($I91:AI91)&lt;1,IF($C91&lt;=AJ$4,1/$E$41,0),0)</f>
        <v>0</v>
      </c>
      <c r="AK91" s="34">
        <f>IF(SUM($I91:AJ91)&lt;1,IF($C91&lt;=AK$4,1/$E$41,0),0)</f>
        <v>0</v>
      </c>
      <c r="AL91" s="34">
        <f>IF(SUM($I91:AK91)&lt;1,IF($C91&lt;=AL$4,1/$E$41,0),0)</f>
        <v>0</v>
      </c>
      <c r="AM91" s="34">
        <f>IF(SUM($I91:AL91)&lt;1,IF($C91&lt;=AM$4,1/$E$41,0),0)</f>
        <v>0</v>
      </c>
      <c r="AN91" s="34">
        <f>IF(SUM($I91:AM91)&lt;1,IF($C91&lt;=AN$4,1/$E$41,0),0)</f>
        <v>0</v>
      </c>
      <c r="AO91" s="34">
        <f>IF(SUM($I91:AN91)&lt;1,IF($C91&lt;=AO$4,1/$E$41,0),0)</f>
        <v>0</v>
      </c>
      <c r="AP91" s="34">
        <f>IF(SUM($I91:AO91)&lt;1,IF($C91&lt;=AP$4,1/$E$41,0),0)</f>
        <v>0</v>
      </c>
      <c r="AQ91" s="34">
        <f>IF(SUM($I91:AP91)&lt;1,IF($C91&lt;=AQ$4,1/$E$41,0),0)</f>
        <v>0</v>
      </c>
      <c r="AR91" s="34">
        <f>IF(SUM($I91:AQ91)&lt;1,IF($C91&lt;=AR$4,1/$E$41,0),0)</f>
        <v>0</v>
      </c>
      <c r="AS91" s="34">
        <f>IF(SUM($I91:AR91)&lt;1,IF($C91&lt;=AS$4,1/$E$41,0),0)</f>
        <v>0</v>
      </c>
      <c r="AT91" s="34">
        <f>IF(SUM($I91:AS91)&lt;1,IF($C91&lt;=AT$4,1/$E$41,0),0)</f>
        <v>0</v>
      </c>
      <c r="AU91" s="34">
        <f>IF(SUM($I91:AT91)&lt;1,IF($C91&lt;=AU$4,1/$E$41,0),0)</f>
        <v>0</v>
      </c>
      <c r="AV91" s="34">
        <f>IF(SUM($I91:AU91)&lt;1,IF($C91&lt;=AV$4,1/$E$41,0),0)</f>
        <v>0</v>
      </c>
      <c r="AW91" s="34">
        <f>IF(SUM($I91:AV91)&lt;1,IF($C91&lt;=AW$4,1/$E$41,0),0)</f>
        <v>0</v>
      </c>
      <c r="AX91" s="34">
        <f>IF(SUM($I91:AW91)&lt;1,IF($C91&lt;=AX$4,1/$E$41,0),0)</f>
        <v>0</v>
      </c>
      <c r="AY91" s="34">
        <f>IF(SUM($I91:AX91)&lt;1,IF($C91&lt;=AY$4,1/$E$41,0),0)</f>
        <v>0</v>
      </c>
      <c r="AZ91" s="34">
        <f>IF(SUM($I91:AY91)&lt;1,IF($C91&lt;=AZ$4,1/$E$41,0),0)</f>
        <v>0</v>
      </c>
      <c r="BA91" s="34">
        <f>IF(SUM($I91:AZ91)&lt;1,IF($C91&lt;=BA$4,1/$E$41,0),0)</f>
        <v>0</v>
      </c>
      <c r="BB91" s="34">
        <f>IF(SUM($I91:BA91)&lt;1,IF($C91&lt;=BB$4,1/$E$41,0),0)</f>
        <v>0</v>
      </c>
      <c r="BC91" s="34">
        <f>IF(SUM($I91:BB91)&lt;1,IF($C91&lt;=BC$4,1/$E$41,0),0)</f>
        <v>0</v>
      </c>
      <c r="BD91" s="34">
        <f>IF(SUM($I91:BC91)&lt;1,IF($C91&lt;=BD$4,1/$E$41,0),0)</f>
        <v>0.25</v>
      </c>
      <c r="BE91" s="34">
        <f>IF(SUM($I91:BD91)&lt;1,IF($C91&lt;=BE$4,1/$E$41,0),0)</f>
        <v>0.25</v>
      </c>
      <c r="BF91" s="34">
        <f>IF(SUM($I91:BE91)&lt;1,IF($C91&lt;=BF$4,1/$E$41,0),0)</f>
        <v>0.25</v>
      </c>
      <c r="BG91" s="34">
        <f>IF(SUM($I91:BF91)&lt;1,IF($C91&lt;=BG$4,1/$E$41,0),0)</f>
        <v>0.25</v>
      </c>
      <c r="BH91" s="34">
        <f>IF(SUM($I91:BG91)&lt;1,IF($C91&lt;=BH$4,1/$E$41,0),0)</f>
        <v>0</v>
      </c>
      <c r="BI91" s="34">
        <f>IF(SUM($I91:BH91)&lt;1,IF($C91&lt;=BI$4,1/$E$41,0),0)</f>
        <v>0</v>
      </c>
      <c r="BJ91" s="34">
        <f>IF(SUM($I91:BI91)&lt;1,IF($C91&lt;=BJ$4,1/$E$41,0),0)</f>
        <v>0</v>
      </c>
      <c r="BK91" s="34">
        <f>IF(SUM($I91:BJ91)&lt;1,IF($C91&lt;=BK$4,1/$E$41,0),0)</f>
        <v>0</v>
      </c>
      <c r="BL91" s="34">
        <f>IF(SUM($I91:BK91)&lt;1,IF($C91&lt;=BL$4,1/$E$41,0),0)</f>
        <v>0</v>
      </c>
      <c r="BM91" s="34">
        <f>IF(SUM($I91:BL91)&lt;1,IF($C91&lt;=BM$4,1/$E$41,0),0)</f>
        <v>0</v>
      </c>
      <c r="BN91" s="34">
        <f>IF(SUM($I91:BM91)&lt;1,IF($C91&lt;=BN$4,1/$E$41,0),0)</f>
        <v>0</v>
      </c>
      <c r="BO91" s="34">
        <f>IF(SUM($I91:BN91)&lt;1,IF($C91&lt;=BO$4,1/$E$41,0),0)</f>
        <v>0</v>
      </c>
      <c r="BP91" s="34">
        <f>IF(SUM($I91:BO91)&lt;1,IF($C91&lt;=BP$4,1/$E$41,0),0)</f>
        <v>0</v>
      </c>
      <c r="BQ91" s="34">
        <f>IF(SUM($I91:BP91)&lt;1,IF($C91&lt;=BQ$4,1/$E$41,0),0)</f>
        <v>0</v>
      </c>
      <c r="BR91" s="34">
        <f>IF(SUM($I91:BQ91)&lt;1,IF($C91&lt;=BR$4,1/$E$41,0),0)</f>
        <v>0</v>
      </c>
      <c r="BS91" s="34">
        <f>IF(SUM($I91:BR91)&lt;1,IF($C91&lt;=BS$4,1/$E$41,0),0)</f>
        <v>0</v>
      </c>
      <c r="BT91" s="34">
        <f>IF(SUM($I91:BS91)&lt;1,IF($C91&lt;=BT$4,1/$E$41,0),0)</f>
        <v>0</v>
      </c>
      <c r="BU91" s="34">
        <f>IF(SUM($I91:BT91)&lt;1,IF($C91&lt;=BU$4,1/$E$41,0),0)</f>
        <v>0</v>
      </c>
      <c r="BV91" s="34">
        <f>IF(SUM($I91:BU91)&lt;1,IF($C91&lt;=BV$4,1/$E$41,0),0)</f>
        <v>0</v>
      </c>
      <c r="BW91" s="34">
        <f>IF(SUM($I91:BV91)&lt;1,IF($C91&lt;=BW$4,1/$E$41,0),0)</f>
        <v>0</v>
      </c>
      <c r="BX91" s="34">
        <f>IF(SUM($I91:BW91)&lt;1,IF($C91&lt;=BX$4,1/$E$41,0),0)</f>
        <v>0</v>
      </c>
      <c r="BY91" s="34">
        <f>IF(SUM($I91:BX91)&lt;1,IF($C91&lt;=BY$4,1/$E$41,0),0)</f>
        <v>0</v>
      </c>
      <c r="BZ91" s="34">
        <f>IF(SUM($I91:BY91)&lt;1,IF($C91&lt;=BZ$4,1/$E$41,0),0)</f>
        <v>0</v>
      </c>
      <c r="CA91" s="34">
        <f>IF(SUM($I91:BZ91)&lt;1,IF($C91&lt;=CA$4,1/$E$41,0),0)</f>
        <v>0</v>
      </c>
      <c r="CB91" s="34">
        <f>IF(SUM($I91:CA91)&lt;1,IF($C91&lt;=CB$4,1/$E$41,0),0)</f>
        <v>0</v>
      </c>
      <c r="CC91" s="34">
        <f>IF(SUM($I91:CB91)&lt;1,IF($C91&lt;=CC$4,1/$E$41,0),0)</f>
        <v>0</v>
      </c>
      <c r="CD91" s="34">
        <f>IF(SUM($I91:CC91)&lt;1,IF($C91&lt;=CD$4,1/$E$41,0),0)</f>
        <v>0</v>
      </c>
      <c r="CE91" s="34">
        <f>IF(SUM($I91:CD91)&lt;1,IF($C91&lt;=CE$4,1/$E$41,0),0)</f>
        <v>0</v>
      </c>
      <c r="CF91" s="34">
        <f>IF(SUM($I91:CE91)&lt;1,IF($C91&lt;=CF$4,1/$E$41,0),0)</f>
        <v>0</v>
      </c>
      <c r="CG91" s="34">
        <f>IF(SUM($I91:CF91)&lt;1,IF($C91&lt;=CG$4,1/$E$41,0),0)</f>
        <v>0</v>
      </c>
      <c r="CH91" s="34">
        <f>IF(SUM($I91:CG91)&lt;1,IF($C91&lt;=CH$4,1/$E$41,0),0)</f>
        <v>0</v>
      </c>
      <c r="CI91" s="34">
        <f>IF(SUM($I91:CH91)&lt;1,IF($C91&lt;=CI$4,1/$E$41,0),0)</f>
        <v>0</v>
      </c>
      <c r="CJ91" s="34">
        <f>IF(SUM($I91:CI91)&lt;1,IF($C91&lt;=CJ$4,1/$E$41,0),0)</f>
        <v>0</v>
      </c>
      <c r="CK91" s="34">
        <f>IF(SUM($I91:CJ91)&lt;1,IF($C91&lt;=CK$4,1/$E$41,0),0)</f>
        <v>0</v>
      </c>
      <c r="CL91" s="34">
        <f>IF(SUM($I91:CK91)&lt;1,IF($C91&lt;=CL$4,1/$E$41,0),0)</f>
        <v>0</v>
      </c>
      <c r="CM91" s="34">
        <f>IF(SUM($I91:CL91)&lt;1,IF($C91&lt;=CM$4,1/$E$41,0),0)</f>
        <v>0</v>
      </c>
      <c r="CN91" s="34">
        <f>IF(SUM($I91:CM91)&lt;1,IF($C91&lt;=CN$4,1/$E$41,0),0)</f>
        <v>0</v>
      </c>
      <c r="CO91" s="34">
        <f>IF(SUM($I91:CN91)&lt;1,IF($C91&lt;=CO$4,1/$E$41,0),0)</f>
        <v>0</v>
      </c>
      <c r="CP91" s="34">
        <f>IF(SUM($I91:CO91)&lt;1,IF($C91&lt;=CP$4,1/$E$41,0),0)</f>
        <v>0</v>
      </c>
      <c r="CQ91" s="34">
        <f>IF(SUM($I91:CP91)&lt;1,IF($C91&lt;=CQ$4,1/$E$41,0),0)</f>
        <v>0</v>
      </c>
      <c r="CR91" s="34">
        <f>IF(SUM($I91:CQ91)&lt;1,IF($C91&lt;=CR$4,1/$E$41,0),0)</f>
        <v>0</v>
      </c>
      <c r="CS91" s="34">
        <f>IF(SUM($I91:CR91)&lt;1,IF($C91&lt;=CS$4,1/$E$41,0),0)</f>
        <v>0</v>
      </c>
      <c r="CT91" s="34">
        <f>IF(SUM($I91:CS91)&lt;1,IF($C91&lt;=CT$4,1/$E$41,0),0)</f>
        <v>0</v>
      </c>
      <c r="CU91" s="34">
        <f>IF(SUM($I91:CT91)&lt;1,IF($C91&lt;=CU$4,1/$E$41,0),0)</f>
        <v>0</v>
      </c>
      <c r="CV91" s="34">
        <f>IF(SUM($I91:CU91)&lt;1,IF($C91&lt;=CV$4,1/$E$41,0),0)</f>
        <v>0</v>
      </c>
      <c r="CW91" s="34">
        <f>IF(SUM($I91:CV91)&lt;1,IF($C91&lt;=CW$4,1/$E$41,0),0)</f>
        <v>0</v>
      </c>
      <c r="CX91" s="34">
        <f>IF(SUM($I91:CW91)&lt;1,IF($C91&lt;=CX$4,1/$E$41,0),0)</f>
        <v>0</v>
      </c>
      <c r="CY91" s="34">
        <f>IF(SUM($I91:CX91)&lt;1,IF($C91&lt;=CY$4,1/$E$41,0),0)</f>
        <v>0</v>
      </c>
      <c r="CZ91" s="34">
        <f>IF(SUM($I91:CY91)&lt;1,IF($C91&lt;=CZ$4,1/$E$41,0),0)</f>
        <v>0</v>
      </c>
      <c r="DA91" s="34">
        <f>IF(SUM($I91:CZ91)&lt;1,IF($C91&lt;=DA$4,1/$E$41,0),0)</f>
        <v>0</v>
      </c>
      <c r="DB91" s="34">
        <f>IF(SUM($I91:DA91)&lt;1,IF($C91&lt;=DB$4,1/$E$41,0),0)</f>
        <v>0</v>
      </c>
      <c r="DC91" s="34">
        <f>IF(SUM($I91:DB91)&lt;1,IF($C91&lt;=DC$4,1/$E$41,0),0)</f>
        <v>0</v>
      </c>
      <c r="DD91" s="34">
        <f>IF(SUM($I91:DC91)&lt;1,IF($C91&lt;=DD$4,1/$E$41,0),0)</f>
        <v>0</v>
      </c>
      <c r="DE91" s="34">
        <f>IF(SUM($I91:DD91)&lt;1,IF($C91&lt;=DE$4,1/$E$41,0),0)</f>
        <v>0</v>
      </c>
      <c r="DF91" s="34">
        <f>IF(SUM($I91:DE91)&lt;1,IF($C91&lt;=DF$4,1/$E$41,0),0)</f>
        <v>0</v>
      </c>
      <c r="DG91" s="34">
        <f>IF(SUM($I91:DF91)&lt;1,IF($C91&lt;=DG$4,1/$E$41,0),0)</f>
        <v>0</v>
      </c>
      <c r="DH91" s="34">
        <f>IF(SUM($I91:DG91)&lt;1,IF($C91&lt;=DH$4,1/$E$41,0),0)</f>
        <v>0</v>
      </c>
      <c r="DI91" s="34">
        <f>IF(SUM($I91:DH91)&lt;1,IF($C91&lt;=DI$4,1/$E$41,0),0)</f>
        <v>0</v>
      </c>
      <c r="DJ91" s="34">
        <f>IF(SUM($I91:DI91)&lt;1,IF($C91&lt;=DJ$4,1/$E$41,0),0)</f>
        <v>0</v>
      </c>
      <c r="DK91" s="34">
        <f>IF(SUM($I91:DJ91)&lt;1,IF($C91&lt;=DK$4,1/$E$41,0),0)</f>
        <v>0</v>
      </c>
      <c r="DL91" s="34">
        <f>IF(SUM($I91:DK91)&lt;1,IF($C91&lt;=DL$4,1/$E$41,0),0)</f>
        <v>0</v>
      </c>
      <c r="DM91" s="34">
        <f>IF(SUM($I91:DL91)&lt;1,IF($C91&lt;=DM$4,1/$E$41,0),0)</f>
        <v>0</v>
      </c>
    </row>
    <row r="92" spans="3:117" outlineLevel="1" x14ac:dyDescent="0.15">
      <c r="C92" s="50">
        <f t="shared" si="48"/>
        <v>48</v>
      </c>
      <c r="D92" s="5" t="s">
        <v>18</v>
      </c>
      <c r="E92" s="19">
        <f t="shared" si="49"/>
        <v>0</v>
      </c>
      <c r="I92" s="9"/>
      <c r="J92" s="34">
        <f>IF(SUM($I92:I92)&lt;1,IF($C92&lt;=J$4,1/$E$41,0),0)</f>
        <v>0</v>
      </c>
      <c r="K92" s="34">
        <f>IF(SUM($I92:J92)&lt;1,IF($C92&lt;=K$4,1/$E$41,0),0)</f>
        <v>0</v>
      </c>
      <c r="L92" s="34">
        <f>IF(SUM($I92:K92)&lt;1,IF($C92&lt;=L$4,1/$E$41,0),0)</f>
        <v>0</v>
      </c>
      <c r="M92" s="34">
        <f>IF(SUM($I92:L92)&lt;1,IF($C92&lt;=M$4,1/$E$41,0),0)</f>
        <v>0</v>
      </c>
      <c r="N92" s="34">
        <f>IF(SUM($I92:M92)&lt;1,IF($C92&lt;=N$4,1/$E$41,0),0)</f>
        <v>0</v>
      </c>
      <c r="O92" s="34">
        <f>IF(SUM($I92:N92)&lt;1,IF($C92&lt;=O$4,1/$E$41,0),0)</f>
        <v>0</v>
      </c>
      <c r="P92" s="34">
        <f>IF(SUM($I92:O92)&lt;1,IF($C92&lt;=P$4,1/$E$41,0),0)</f>
        <v>0</v>
      </c>
      <c r="Q92" s="34">
        <f>IF(SUM($I92:P92)&lt;1,IF($C92&lt;=Q$4,1/$E$41,0),0)</f>
        <v>0</v>
      </c>
      <c r="R92" s="34">
        <f>IF(SUM($I92:Q92)&lt;1,IF($C92&lt;=R$4,1/$E$41,0),0)</f>
        <v>0</v>
      </c>
      <c r="S92" s="34">
        <f>IF(SUM($I92:R92)&lt;1,IF($C92&lt;=S$4,1/$E$41,0),0)</f>
        <v>0</v>
      </c>
      <c r="T92" s="34">
        <f>IF(SUM($I92:S92)&lt;1,IF($C92&lt;=T$4,1/$E$41,0),0)</f>
        <v>0</v>
      </c>
      <c r="U92" s="34">
        <f>IF(SUM($I92:T92)&lt;1,IF($C92&lt;=U$4,1/$E$41,0),0)</f>
        <v>0</v>
      </c>
      <c r="V92" s="34">
        <f>IF(SUM($I92:U92)&lt;1,IF($C92&lt;=V$4,1/$E$41,0),0)</f>
        <v>0</v>
      </c>
      <c r="W92" s="34">
        <f>IF(SUM($I92:V92)&lt;1,IF($C92&lt;=W$4,1/$E$41,0),0)</f>
        <v>0</v>
      </c>
      <c r="X92" s="34">
        <f>IF(SUM($I92:W92)&lt;1,IF($C92&lt;=X$4,1/$E$41,0),0)</f>
        <v>0</v>
      </c>
      <c r="Y92" s="34">
        <f>IF(SUM($I92:X92)&lt;1,IF($C92&lt;=Y$4,1/$E$41,0),0)</f>
        <v>0</v>
      </c>
      <c r="Z92" s="34">
        <f>IF(SUM($I92:Y92)&lt;1,IF($C92&lt;=Z$4,1/$E$41,0),0)</f>
        <v>0</v>
      </c>
      <c r="AA92" s="34">
        <f>IF(SUM($I92:Z92)&lt;1,IF($C92&lt;=AA$4,1/$E$41,0),0)</f>
        <v>0</v>
      </c>
      <c r="AB92" s="34">
        <f>IF(SUM($I92:AA92)&lt;1,IF($C92&lt;=AB$4,1/$E$41,0),0)</f>
        <v>0</v>
      </c>
      <c r="AC92" s="34">
        <f>IF(SUM($I92:AB92)&lt;1,IF($C92&lt;=AC$4,1/$E$41,0),0)</f>
        <v>0</v>
      </c>
      <c r="AD92" s="34">
        <f>IF(SUM($I92:AC92)&lt;1,IF($C92&lt;=AD$4,1/$E$41,0),0)</f>
        <v>0</v>
      </c>
      <c r="AE92" s="34">
        <f>IF(SUM($I92:AD92)&lt;1,IF($C92&lt;=AE$4,1/$E$41,0),0)</f>
        <v>0</v>
      </c>
      <c r="AF92" s="34">
        <f>IF(SUM($I92:AE92)&lt;1,IF($C92&lt;=AF$4,1/$E$41,0),0)</f>
        <v>0</v>
      </c>
      <c r="AG92" s="34">
        <f>IF(SUM($I92:AF92)&lt;1,IF($C92&lt;=AG$4,1/$E$41,0),0)</f>
        <v>0</v>
      </c>
      <c r="AH92" s="34">
        <f>IF(SUM($I92:AG92)&lt;1,IF($C92&lt;=AH$4,1/$E$41,0),0)</f>
        <v>0</v>
      </c>
      <c r="AI92" s="34">
        <f>IF(SUM($I92:AH92)&lt;1,IF($C92&lt;=AI$4,1/$E$41,0),0)</f>
        <v>0</v>
      </c>
      <c r="AJ92" s="34">
        <f>IF(SUM($I92:AI92)&lt;1,IF($C92&lt;=AJ$4,1/$E$41,0),0)</f>
        <v>0</v>
      </c>
      <c r="AK92" s="34">
        <f>IF(SUM($I92:AJ92)&lt;1,IF($C92&lt;=AK$4,1/$E$41,0),0)</f>
        <v>0</v>
      </c>
      <c r="AL92" s="34">
        <f>IF(SUM($I92:AK92)&lt;1,IF($C92&lt;=AL$4,1/$E$41,0),0)</f>
        <v>0</v>
      </c>
      <c r="AM92" s="34">
        <f>IF(SUM($I92:AL92)&lt;1,IF($C92&lt;=AM$4,1/$E$41,0),0)</f>
        <v>0</v>
      </c>
      <c r="AN92" s="34">
        <f>IF(SUM($I92:AM92)&lt;1,IF($C92&lt;=AN$4,1/$E$41,0),0)</f>
        <v>0</v>
      </c>
      <c r="AO92" s="34">
        <f>IF(SUM($I92:AN92)&lt;1,IF($C92&lt;=AO$4,1/$E$41,0),0)</f>
        <v>0</v>
      </c>
      <c r="AP92" s="34">
        <f>IF(SUM($I92:AO92)&lt;1,IF($C92&lt;=AP$4,1/$E$41,0),0)</f>
        <v>0</v>
      </c>
      <c r="AQ92" s="34">
        <f>IF(SUM($I92:AP92)&lt;1,IF($C92&lt;=AQ$4,1/$E$41,0),0)</f>
        <v>0</v>
      </c>
      <c r="AR92" s="34">
        <f>IF(SUM($I92:AQ92)&lt;1,IF($C92&lt;=AR$4,1/$E$41,0),0)</f>
        <v>0</v>
      </c>
      <c r="AS92" s="34">
        <f>IF(SUM($I92:AR92)&lt;1,IF($C92&lt;=AS$4,1/$E$41,0),0)</f>
        <v>0</v>
      </c>
      <c r="AT92" s="34">
        <f>IF(SUM($I92:AS92)&lt;1,IF($C92&lt;=AT$4,1/$E$41,0),0)</f>
        <v>0</v>
      </c>
      <c r="AU92" s="34">
        <f>IF(SUM($I92:AT92)&lt;1,IF($C92&lt;=AU$4,1/$E$41,0),0)</f>
        <v>0</v>
      </c>
      <c r="AV92" s="34">
        <f>IF(SUM($I92:AU92)&lt;1,IF($C92&lt;=AV$4,1/$E$41,0),0)</f>
        <v>0</v>
      </c>
      <c r="AW92" s="34">
        <f>IF(SUM($I92:AV92)&lt;1,IF($C92&lt;=AW$4,1/$E$41,0),0)</f>
        <v>0</v>
      </c>
      <c r="AX92" s="34">
        <f>IF(SUM($I92:AW92)&lt;1,IF($C92&lt;=AX$4,1/$E$41,0),0)</f>
        <v>0</v>
      </c>
      <c r="AY92" s="34">
        <f>IF(SUM($I92:AX92)&lt;1,IF($C92&lt;=AY$4,1/$E$41,0),0)</f>
        <v>0</v>
      </c>
      <c r="AZ92" s="34">
        <f>IF(SUM($I92:AY92)&lt;1,IF($C92&lt;=AZ$4,1/$E$41,0),0)</f>
        <v>0</v>
      </c>
      <c r="BA92" s="34">
        <f>IF(SUM($I92:AZ92)&lt;1,IF($C92&lt;=BA$4,1/$E$41,0),0)</f>
        <v>0</v>
      </c>
      <c r="BB92" s="34">
        <f>IF(SUM($I92:BA92)&lt;1,IF($C92&lt;=BB$4,1/$E$41,0),0)</f>
        <v>0</v>
      </c>
      <c r="BC92" s="34">
        <f>IF(SUM($I92:BB92)&lt;1,IF($C92&lt;=BC$4,1/$E$41,0),0)</f>
        <v>0</v>
      </c>
      <c r="BD92" s="34">
        <f>IF(SUM($I92:BC92)&lt;1,IF($C92&lt;=BD$4,1/$E$41,0),0)</f>
        <v>0</v>
      </c>
      <c r="BE92" s="34">
        <f>IF(SUM($I92:BD92)&lt;1,IF($C92&lt;=BE$4,1/$E$41,0),0)</f>
        <v>0.25</v>
      </c>
      <c r="BF92" s="34">
        <f>IF(SUM($I92:BE92)&lt;1,IF($C92&lt;=BF$4,1/$E$41,0),0)</f>
        <v>0.25</v>
      </c>
      <c r="BG92" s="34">
        <f>IF(SUM($I92:BF92)&lt;1,IF($C92&lt;=BG$4,1/$E$41,0),0)</f>
        <v>0.25</v>
      </c>
      <c r="BH92" s="34">
        <f>IF(SUM($I92:BG92)&lt;1,IF($C92&lt;=BH$4,1/$E$41,0),0)</f>
        <v>0.25</v>
      </c>
      <c r="BI92" s="34">
        <f>IF(SUM($I92:BH92)&lt;1,IF($C92&lt;=BI$4,1/$E$41,0),0)</f>
        <v>0</v>
      </c>
      <c r="BJ92" s="34">
        <f>IF(SUM($I92:BI92)&lt;1,IF($C92&lt;=BJ$4,1/$E$41,0),0)</f>
        <v>0</v>
      </c>
      <c r="BK92" s="34">
        <f>IF(SUM($I92:BJ92)&lt;1,IF($C92&lt;=BK$4,1/$E$41,0),0)</f>
        <v>0</v>
      </c>
      <c r="BL92" s="34">
        <f>IF(SUM($I92:BK92)&lt;1,IF($C92&lt;=BL$4,1/$E$41,0),0)</f>
        <v>0</v>
      </c>
      <c r="BM92" s="34">
        <f>IF(SUM($I92:BL92)&lt;1,IF($C92&lt;=BM$4,1/$E$41,0),0)</f>
        <v>0</v>
      </c>
      <c r="BN92" s="34">
        <f>IF(SUM($I92:BM92)&lt;1,IF($C92&lt;=BN$4,1/$E$41,0),0)</f>
        <v>0</v>
      </c>
      <c r="BO92" s="34">
        <f>IF(SUM($I92:BN92)&lt;1,IF($C92&lt;=BO$4,1/$E$41,0),0)</f>
        <v>0</v>
      </c>
      <c r="BP92" s="34">
        <f>IF(SUM($I92:BO92)&lt;1,IF($C92&lt;=BP$4,1/$E$41,0),0)</f>
        <v>0</v>
      </c>
      <c r="BQ92" s="34">
        <f>IF(SUM($I92:BP92)&lt;1,IF($C92&lt;=BQ$4,1/$E$41,0),0)</f>
        <v>0</v>
      </c>
      <c r="BR92" s="34">
        <f>IF(SUM($I92:BQ92)&lt;1,IF($C92&lt;=BR$4,1/$E$41,0),0)</f>
        <v>0</v>
      </c>
      <c r="BS92" s="34">
        <f>IF(SUM($I92:BR92)&lt;1,IF($C92&lt;=BS$4,1/$E$41,0),0)</f>
        <v>0</v>
      </c>
      <c r="BT92" s="34">
        <f>IF(SUM($I92:BS92)&lt;1,IF($C92&lt;=BT$4,1/$E$41,0),0)</f>
        <v>0</v>
      </c>
      <c r="BU92" s="34">
        <f>IF(SUM($I92:BT92)&lt;1,IF($C92&lt;=BU$4,1/$E$41,0),0)</f>
        <v>0</v>
      </c>
      <c r="BV92" s="34">
        <f>IF(SUM($I92:BU92)&lt;1,IF($C92&lt;=BV$4,1/$E$41,0),0)</f>
        <v>0</v>
      </c>
      <c r="BW92" s="34">
        <f>IF(SUM($I92:BV92)&lt;1,IF($C92&lt;=BW$4,1/$E$41,0),0)</f>
        <v>0</v>
      </c>
      <c r="BX92" s="34">
        <f>IF(SUM($I92:BW92)&lt;1,IF($C92&lt;=BX$4,1/$E$41,0),0)</f>
        <v>0</v>
      </c>
      <c r="BY92" s="34">
        <f>IF(SUM($I92:BX92)&lt;1,IF($C92&lt;=BY$4,1/$E$41,0),0)</f>
        <v>0</v>
      </c>
      <c r="BZ92" s="34">
        <f>IF(SUM($I92:BY92)&lt;1,IF($C92&lt;=BZ$4,1/$E$41,0),0)</f>
        <v>0</v>
      </c>
      <c r="CA92" s="34">
        <f>IF(SUM($I92:BZ92)&lt;1,IF($C92&lt;=CA$4,1/$E$41,0),0)</f>
        <v>0</v>
      </c>
      <c r="CB92" s="34">
        <f>IF(SUM($I92:CA92)&lt;1,IF($C92&lt;=CB$4,1/$E$41,0),0)</f>
        <v>0</v>
      </c>
      <c r="CC92" s="34">
        <f>IF(SUM($I92:CB92)&lt;1,IF($C92&lt;=CC$4,1/$E$41,0),0)</f>
        <v>0</v>
      </c>
      <c r="CD92" s="34">
        <f>IF(SUM($I92:CC92)&lt;1,IF($C92&lt;=CD$4,1/$E$41,0),0)</f>
        <v>0</v>
      </c>
      <c r="CE92" s="34">
        <f>IF(SUM($I92:CD92)&lt;1,IF($C92&lt;=CE$4,1/$E$41,0),0)</f>
        <v>0</v>
      </c>
      <c r="CF92" s="34">
        <f>IF(SUM($I92:CE92)&lt;1,IF($C92&lt;=CF$4,1/$E$41,0),0)</f>
        <v>0</v>
      </c>
      <c r="CG92" s="34">
        <f>IF(SUM($I92:CF92)&lt;1,IF($C92&lt;=CG$4,1/$E$41,0),0)</f>
        <v>0</v>
      </c>
      <c r="CH92" s="34">
        <f>IF(SUM($I92:CG92)&lt;1,IF($C92&lt;=CH$4,1/$E$41,0),0)</f>
        <v>0</v>
      </c>
      <c r="CI92" s="34">
        <f>IF(SUM($I92:CH92)&lt;1,IF($C92&lt;=CI$4,1/$E$41,0),0)</f>
        <v>0</v>
      </c>
      <c r="CJ92" s="34">
        <f>IF(SUM($I92:CI92)&lt;1,IF($C92&lt;=CJ$4,1/$E$41,0),0)</f>
        <v>0</v>
      </c>
      <c r="CK92" s="34">
        <f>IF(SUM($I92:CJ92)&lt;1,IF($C92&lt;=CK$4,1/$E$41,0),0)</f>
        <v>0</v>
      </c>
      <c r="CL92" s="34">
        <f>IF(SUM($I92:CK92)&lt;1,IF($C92&lt;=CL$4,1/$E$41,0),0)</f>
        <v>0</v>
      </c>
      <c r="CM92" s="34">
        <f>IF(SUM($I92:CL92)&lt;1,IF($C92&lt;=CM$4,1/$E$41,0),0)</f>
        <v>0</v>
      </c>
      <c r="CN92" s="34">
        <f>IF(SUM($I92:CM92)&lt;1,IF($C92&lt;=CN$4,1/$E$41,0),0)</f>
        <v>0</v>
      </c>
      <c r="CO92" s="34">
        <f>IF(SUM($I92:CN92)&lt;1,IF($C92&lt;=CO$4,1/$E$41,0),0)</f>
        <v>0</v>
      </c>
      <c r="CP92" s="34">
        <f>IF(SUM($I92:CO92)&lt;1,IF($C92&lt;=CP$4,1/$E$41,0),0)</f>
        <v>0</v>
      </c>
      <c r="CQ92" s="34">
        <f>IF(SUM($I92:CP92)&lt;1,IF($C92&lt;=CQ$4,1/$E$41,0),0)</f>
        <v>0</v>
      </c>
      <c r="CR92" s="34">
        <f>IF(SUM($I92:CQ92)&lt;1,IF($C92&lt;=CR$4,1/$E$41,0),0)</f>
        <v>0</v>
      </c>
      <c r="CS92" s="34">
        <f>IF(SUM($I92:CR92)&lt;1,IF($C92&lt;=CS$4,1/$E$41,0),0)</f>
        <v>0</v>
      </c>
      <c r="CT92" s="34">
        <f>IF(SUM($I92:CS92)&lt;1,IF($C92&lt;=CT$4,1/$E$41,0),0)</f>
        <v>0</v>
      </c>
      <c r="CU92" s="34">
        <f>IF(SUM($I92:CT92)&lt;1,IF($C92&lt;=CU$4,1/$E$41,0),0)</f>
        <v>0</v>
      </c>
      <c r="CV92" s="34">
        <f>IF(SUM($I92:CU92)&lt;1,IF($C92&lt;=CV$4,1/$E$41,0),0)</f>
        <v>0</v>
      </c>
      <c r="CW92" s="34">
        <f>IF(SUM($I92:CV92)&lt;1,IF($C92&lt;=CW$4,1/$E$41,0),0)</f>
        <v>0</v>
      </c>
      <c r="CX92" s="34">
        <f>IF(SUM($I92:CW92)&lt;1,IF($C92&lt;=CX$4,1/$E$41,0),0)</f>
        <v>0</v>
      </c>
      <c r="CY92" s="34">
        <f>IF(SUM($I92:CX92)&lt;1,IF($C92&lt;=CY$4,1/$E$41,0),0)</f>
        <v>0</v>
      </c>
      <c r="CZ92" s="34">
        <f>IF(SUM($I92:CY92)&lt;1,IF($C92&lt;=CZ$4,1/$E$41,0),0)</f>
        <v>0</v>
      </c>
      <c r="DA92" s="34">
        <f>IF(SUM($I92:CZ92)&lt;1,IF($C92&lt;=DA$4,1/$E$41,0),0)</f>
        <v>0</v>
      </c>
      <c r="DB92" s="34">
        <f>IF(SUM($I92:DA92)&lt;1,IF($C92&lt;=DB$4,1/$E$41,0),0)</f>
        <v>0</v>
      </c>
      <c r="DC92" s="34">
        <f>IF(SUM($I92:DB92)&lt;1,IF($C92&lt;=DC$4,1/$E$41,0),0)</f>
        <v>0</v>
      </c>
      <c r="DD92" s="34">
        <f>IF(SUM($I92:DC92)&lt;1,IF($C92&lt;=DD$4,1/$E$41,0),0)</f>
        <v>0</v>
      </c>
      <c r="DE92" s="34">
        <f>IF(SUM($I92:DD92)&lt;1,IF($C92&lt;=DE$4,1/$E$41,0),0)</f>
        <v>0</v>
      </c>
      <c r="DF92" s="34">
        <f>IF(SUM($I92:DE92)&lt;1,IF($C92&lt;=DF$4,1/$E$41,0),0)</f>
        <v>0</v>
      </c>
      <c r="DG92" s="34">
        <f>IF(SUM($I92:DF92)&lt;1,IF($C92&lt;=DG$4,1/$E$41,0),0)</f>
        <v>0</v>
      </c>
      <c r="DH92" s="34">
        <f>IF(SUM($I92:DG92)&lt;1,IF($C92&lt;=DH$4,1/$E$41,0),0)</f>
        <v>0</v>
      </c>
      <c r="DI92" s="34">
        <f>IF(SUM($I92:DH92)&lt;1,IF($C92&lt;=DI$4,1/$E$41,0),0)</f>
        <v>0</v>
      </c>
      <c r="DJ92" s="34">
        <f>IF(SUM($I92:DI92)&lt;1,IF($C92&lt;=DJ$4,1/$E$41,0),0)</f>
        <v>0</v>
      </c>
      <c r="DK92" s="34">
        <f>IF(SUM($I92:DJ92)&lt;1,IF($C92&lt;=DK$4,1/$E$41,0),0)</f>
        <v>0</v>
      </c>
      <c r="DL92" s="34">
        <f>IF(SUM($I92:DK92)&lt;1,IF($C92&lt;=DL$4,1/$E$41,0),0)</f>
        <v>0</v>
      </c>
      <c r="DM92" s="34">
        <f>IF(SUM($I92:DL92)&lt;1,IF($C92&lt;=DM$4,1/$E$41,0),0)</f>
        <v>0</v>
      </c>
    </row>
    <row r="93" spans="3:117" outlineLevel="1" x14ac:dyDescent="0.15">
      <c r="C93" s="50">
        <f t="shared" si="48"/>
        <v>49</v>
      </c>
      <c r="D93" s="5" t="s">
        <v>18</v>
      </c>
      <c r="E93" s="19">
        <f t="shared" si="49"/>
        <v>0</v>
      </c>
      <c r="I93" s="9"/>
      <c r="J93" s="34">
        <f>IF(SUM($I93:I93)&lt;1,IF($C93&lt;=J$4,1/$E$41,0),0)</f>
        <v>0</v>
      </c>
      <c r="K93" s="34">
        <f>IF(SUM($I93:J93)&lt;1,IF($C93&lt;=K$4,1/$E$41,0),0)</f>
        <v>0</v>
      </c>
      <c r="L93" s="34">
        <f>IF(SUM($I93:K93)&lt;1,IF($C93&lt;=L$4,1/$E$41,0),0)</f>
        <v>0</v>
      </c>
      <c r="M93" s="34">
        <f>IF(SUM($I93:L93)&lt;1,IF($C93&lt;=M$4,1/$E$41,0),0)</f>
        <v>0</v>
      </c>
      <c r="N93" s="34">
        <f>IF(SUM($I93:M93)&lt;1,IF($C93&lt;=N$4,1/$E$41,0),0)</f>
        <v>0</v>
      </c>
      <c r="O93" s="34">
        <f>IF(SUM($I93:N93)&lt;1,IF($C93&lt;=O$4,1/$E$41,0),0)</f>
        <v>0</v>
      </c>
      <c r="P93" s="34">
        <f>IF(SUM($I93:O93)&lt;1,IF($C93&lt;=P$4,1/$E$41,0),0)</f>
        <v>0</v>
      </c>
      <c r="Q93" s="34">
        <f>IF(SUM($I93:P93)&lt;1,IF($C93&lt;=Q$4,1/$E$41,0),0)</f>
        <v>0</v>
      </c>
      <c r="R93" s="34">
        <f>IF(SUM($I93:Q93)&lt;1,IF($C93&lt;=R$4,1/$E$41,0),0)</f>
        <v>0</v>
      </c>
      <c r="S93" s="34">
        <f>IF(SUM($I93:R93)&lt;1,IF($C93&lt;=S$4,1/$E$41,0),0)</f>
        <v>0</v>
      </c>
      <c r="T93" s="34">
        <f>IF(SUM($I93:S93)&lt;1,IF($C93&lt;=T$4,1/$E$41,0),0)</f>
        <v>0</v>
      </c>
      <c r="U93" s="34">
        <f>IF(SUM($I93:T93)&lt;1,IF($C93&lt;=U$4,1/$E$41,0),0)</f>
        <v>0</v>
      </c>
      <c r="V93" s="34">
        <f>IF(SUM($I93:U93)&lt;1,IF($C93&lt;=V$4,1/$E$41,0),0)</f>
        <v>0</v>
      </c>
      <c r="W93" s="34">
        <f>IF(SUM($I93:V93)&lt;1,IF($C93&lt;=W$4,1/$E$41,0),0)</f>
        <v>0</v>
      </c>
      <c r="X93" s="34">
        <f>IF(SUM($I93:W93)&lt;1,IF($C93&lt;=X$4,1/$E$41,0),0)</f>
        <v>0</v>
      </c>
      <c r="Y93" s="34">
        <f>IF(SUM($I93:X93)&lt;1,IF($C93&lt;=Y$4,1/$E$41,0),0)</f>
        <v>0</v>
      </c>
      <c r="Z93" s="34">
        <f>IF(SUM($I93:Y93)&lt;1,IF($C93&lt;=Z$4,1/$E$41,0),0)</f>
        <v>0</v>
      </c>
      <c r="AA93" s="34">
        <f>IF(SUM($I93:Z93)&lt;1,IF($C93&lt;=AA$4,1/$E$41,0),0)</f>
        <v>0</v>
      </c>
      <c r="AB93" s="34">
        <f>IF(SUM($I93:AA93)&lt;1,IF($C93&lt;=AB$4,1/$E$41,0),0)</f>
        <v>0</v>
      </c>
      <c r="AC93" s="34">
        <f>IF(SUM($I93:AB93)&lt;1,IF($C93&lt;=AC$4,1/$E$41,0),0)</f>
        <v>0</v>
      </c>
      <c r="AD93" s="34">
        <f>IF(SUM($I93:AC93)&lt;1,IF($C93&lt;=AD$4,1/$E$41,0),0)</f>
        <v>0</v>
      </c>
      <c r="AE93" s="34">
        <f>IF(SUM($I93:AD93)&lt;1,IF($C93&lt;=AE$4,1/$E$41,0),0)</f>
        <v>0</v>
      </c>
      <c r="AF93" s="34">
        <f>IF(SUM($I93:AE93)&lt;1,IF($C93&lt;=AF$4,1/$E$41,0),0)</f>
        <v>0</v>
      </c>
      <c r="AG93" s="34">
        <f>IF(SUM($I93:AF93)&lt;1,IF($C93&lt;=AG$4,1/$E$41,0),0)</f>
        <v>0</v>
      </c>
      <c r="AH93" s="34">
        <f>IF(SUM($I93:AG93)&lt;1,IF($C93&lt;=AH$4,1/$E$41,0),0)</f>
        <v>0</v>
      </c>
      <c r="AI93" s="34">
        <f>IF(SUM($I93:AH93)&lt;1,IF($C93&lt;=AI$4,1/$E$41,0),0)</f>
        <v>0</v>
      </c>
      <c r="AJ93" s="34">
        <f>IF(SUM($I93:AI93)&lt;1,IF($C93&lt;=AJ$4,1/$E$41,0),0)</f>
        <v>0</v>
      </c>
      <c r="AK93" s="34">
        <f>IF(SUM($I93:AJ93)&lt;1,IF($C93&lt;=AK$4,1/$E$41,0),0)</f>
        <v>0</v>
      </c>
      <c r="AL93" s="34">
        <f>IF(SUM($I93:AK93)&lt;1,IF($C93&lt;=AL$4,1/$E$41,0),0)</f>
        <v>0</v>
      </c>
      <c r="AM93" s="34">
        <f>IF(SUM($I93:AL93)&lt;1,IF($C93&lt;=AM$4,1/$E$41,0),0)</f>
        <v>0</v>
      </c>
      <c r="AN93" s="34">
        <f>IF(SUM($I93:AM93)&lt;1,IF($C93&lt;=AN$4,1/$E$41,0),0)</f>
        <v>0</v>
      </c>
      <c r="AO93" s="34">
        <f>IF(SUM($I93:AN93)&lt;1,IF($C93&lt;=AO$4,1/$E$41,0),0)</f>
        <v>0</v>
      </c>
      <c r="AP93" s="34">
        <f>IF(SUM($I93:AO93)&lt;1,IF($C93&lt;=AP$4,1/$E$41,0),0)</f>
        <v>0</v>
      </c>
      <c r="AQ93" s="34">
        <f>IF(SUM($I93:AP93)&lt;1,IF($C93&lt;=AQ$4,1/$E$41,0),0)</f>
        <v>0</v>
      </c>
      <c r="AR93" s="34">
        <f>IF(SUM($I93:AQ93)&lt;1,IF($C93&lt;=AR$4,1/$E$41,0),0)</f>
        <v>0</v>
      </c>
      <c r="AS93" s="34">
        <f>IF(SUM($I93:AR93)&lt;1,IF($C93&lt;=AS$4,1/$E$41,0),0)</f>
        <v>0</v>
      </c>
      <c r="AT93" s="34">
        <f>IF(SUM($I93:AS93)&lt;1,IF($C93&lt;=AT$4,1/$E$41,0),0)</f>
        <v>0</v>
      </c>
      <c r="AU93" s="34">
        <f>IF(SUM($I93:AT93)&lt;1,IF($C93&lt;=AU$4,1/$E$41,0),0)</f>
        <v>0</v>
      </c>
      <c r="AV93" s="34">
        <f>IF(SUM($I93:AU93)&lt;1,IF($C93&lt;=AV$4,1/$E$41,0),0)</f>
        <v>0</v>
      </c>
      <c r="AW93" s="34">
        <f>IF(SUM($I93:AV93)&lt;1,IF($C93&lt;=AW$4,1/$E$41,0),0)</f>
        <v>0</v>
      </c>
      <c r="AX93" s="34">
        <f>IF(SUM($I93:AW93)&lt;1,IF($C93&lt;=AX$4,1/$E$41,0),0)</f>
        <v>0</v>
      </c>
      <c r="AY93" s="34">
        <f>IF(SUM($I93:AX93)&lt;1,IF($C93&lt;=AY$4,1/$E$41,0),0)</f>
        <v>0</v>
      </c>
      <c r="AZ93" s="34">
        <f>IF(SUM($I93:AY93)&lt;1,IF($C93&lt;=AZ$4,1/$E$41,0),0)</f>
        <v>0</v>
      </c>
      <c r="BA93" s="34">
        <f>IF(SUM($I93:AZ93)&lt;1,IF($C93&lt;=BA$4,1/$E$41,0),0)</f>
        <v>0</v>
      </c>
      <c r="BB93" s="34">
        <f>IF(SUM($I93:BA93)&lt;1,IF($C93&lt;=BB$4,1/$E$41,0),0)</f>
        <v>0</v>
      </c>
      <c r="BC93" s="34">
        <f>IF(SUM($I93:BB93)&lt;1,IF($C93&lt;=BC$4,1/$E$41,0),0)</f>
        <v>0</v>
      </c>
      <c r="BD93" s="34">
        <f>IF(SUM($I93:BC93)&lt;1,IF($C93&lt;=BD$4,1/$E$41,0),0)</f>
        <v>0</v>
      </c>
      <c r="BE93" s="34">
        <f>IF(SUM($I93:BD93)&lt;1,IF($C93&lt;=BE$4,1/$E$41,0),0)</f>
        <v>0</v>
      </c>
      <c r="BF93" s="34">
        <f>IF(SUM($I93:BE93)&lt;1,IF($C93&lt;=BF$4,1/$E$41,0),0)</f>
        <v>0.25</v>
      </c>
      <c r="BG93" s="34">
        <f>IF(SUM($I93:BF93)&lt;1,IF($C93&lt;=BG$4,1/$E$41,0),0)</f>
        <v>0.25</v>
      </c>
      <c r="BH93" s="34">
        <f>IF(SUM($I93:BG93)&lt;1,IF($C93&lt;=BH$4,1/$E$41,0),0)</f>
        <v>0.25</v>
      </c>
      <c r="BI93" s="34">
        <f>IF(SUM($I93:BH93)&lt;1,IF($C93&lt;=BI$4,1/$E$41,0),0)</f>
        <v>0.25</v>
      </c>
      <c r="BJ93" s="34">
        <f>IF(SUM($I93:BI93)&lt;1,IF($C93&lt;=BJ$4,1/$E$41,0),0)</f>
        <v>0</v>
      </c>
      <c r="BK93" s="34">
        <f>IF(SUM($I93:BJ93)&lt;1,IF($C93&lt;=BK$4,1/$E$41,0),0)</f>
        <v>0</v>
      </c>
      <c r="BL93" s="34">
        <f>IF(SUM($I93:BK93)&lt;1,IF($C93&lt;=BL$4,1/$E$41,0),0)</f>
        <v>0</v>
      </c>
      <c r="BM93" s="34">
        <f>IF(SUM($I93:BL93)&lt;1,IF($C93&lt;=BM$4,1/$E$41,0),0)</f>
        <v>0</v>
      </c>
      <c r="BN93" s="34">
        <f>IF(SUM($I93:BM93)&lt;1,IF($C93&lt;=BN$4,1/$E$41,0),0)</f>
        <v>0</v>
      </c>
      <c r="BO93" s="34">
        <f>IF(SUM($I93:BN93)&lt;1,IF($C93&lt;=BO$4,1/$E$41,0),0)</f>
        <v>0</v>
      </c>
      <c r="BP93" s="34">
        <f>IF(SUM($I93:BO93)&lt;1,IF($C93&lt;=BP$4,1/$E$41,0),0)</f>
        <v>0</v>
      </c>
      <c r="BQ93" s="34">
        <f>IF(SUM($I93:BP93)&lt;1,IF($C93&lt;=BQ$4,1/$E$41,0),0)</f>
        <v>0</v>
      </c>
      <c r="BR93" s="34">
        <f>IF(SUM($I93:BQ93)&lt;1,IF($C93&lt;=BR$4,1/$E$41,0),0)</f>
        <v>0</v>
      </c>
      <c r="BS93" s="34">
        <f>IF(SUM($I93:BR93)&lt;1,IF($C93&lt;=BS$4,1/$E$41,0),0)</f>
        <v>0</v>
      </c>
      <c r="BT93" s="34">
        <f>IF(SUM($I93:BS93)&lt;1,IF($C93&lt;=BT$4,1/$E$41,0),0)</f>
        <v>0</v>
      </c>
      <c r="BU93" s="34">
        <f>IF(SUM($I93:BT93)&lt;1,IF($C93&lt;=BU$4,1/$E$41,0),0)</f>
        <v>0</v>
      </c>
      <c r="BV93" s="34">
        <f>IF(SUM($I93:BU93)&lt;1,IF($C93&lt;=BV$4,1/$E$41,0),0)</f>
        <v>0</v>
      </c>
      <c r="BW93" s="34">
        <f>IF(SUM($I93:BV93)&lt;1,IF($C93&lt;=BW$4,1/$E$41,0),0)</f>
        <v>0</v>
      </c>
      <c r="BX93" s="34">
        <f>IF(SUM($I93:BW93)&lt;1,IF($C93&lt;=BX$4,1/$E$41,0),0)</f>
        <v>0</v>
      </c>
      <c r="BY93" s="34">
        <f>IF(SUM($I93:BX93)&lt;1,IF($C93&lt;=BY$4,1/$E$41,0),0)</f>
        <v>0</v>
      </c>
      <c r="BZ93" s="34">
        <f>IF(SUM($I93:BY93)&lt;1,IF($C93&lt;=BZ$4,1/$E$41,0),0)</f>
        <v>0</v>
      </c>
      <c r="CA93" s="34">
        <f>IF(SUM($I93:BZ93)&lt;1,IF($C93&lt;=CA$4,1/$E$41,0),0)</f>
        <v>0</v>
      </c>
      <c r="CB93" s="34">
        <f>IF(SUM($I93:CA93)&lt;1,IF($C93&lt;=CB$4,1/$E$41,0),0)</f>
        <v>0</v>
      </c>
      <c r="CC93" s="34">
        <f>IF(SUM($I93:CB93)&lt;1,IF($C93&lt;=CC$4,1/$E$41,0),0)</f>
        <v>0</v>
      </c>
      <c r="CD93" s="34">
        <f>IF(SUM($I93:CC93)&lt;1,IF($C93&lt;=CD$4,1/$E$41,0),0)</f>
        <v>0</v>
      </c>
      <c r="CE93" s="34">
        <f>IF(SUM($I93:CD93)&lt;1,IF($C93&lt;=CE$4,1/$E$41,0),0)</f>
        <v>0</v>
      </c>
      <c r="CF93" s="34">
        <f>IF(SUM($I93:CE93)&lt;1,IF($C93&lt;=CF$4,1/$E$41,0),0)</f>
        <v>0</v>
      </c>
      <c r="CG93" s="34">
        <f>IF(SUM($I93:CF93)&lt;1,IF($C93&lt;=CG$4,1/$E$41,0),0)</f>
        <v>0</v>
      </c>
      <c r="CH93" s="34">
        <f>IF(SUM($I93:CG93)&lt;1,IF($C93&lt;=CH$4,1/$E$41,0),0)</f>
        <v>0</v>
      </c>
      <c r="CI93" s="34">
        <f>IF(SUM($I93:CH93)&lt;1,IF($C93&lt;=CI$4,1/$E$41,0),0)</f>
        <v>0</v>
      </c>
      <c r="CJ93" s="34">
        <f>IF(SUM($I93:CI93)&lt;1,IF($C93&lt;=CJ$4,1/$E$41,0),0)</f>
        <v>0</v>
      </c>
      <c r="CK93" s="34">
        <f>IF(SUM($I93:CJ93)&lt;1,IF($C93&lt;=CK$4,1/$E$41,0),0)</f>
        <v>0</v>
      </c>
      <c r="CL93" s="34">
        <f>IF(SUM($I93:CK93)&lt;1,IF($C93&lt;=CL$4,1/$E$41,0),0)</f>
        <v>0</v>
      </c>
      <c r="CM93" s="34">
        <f>IF(SUM($I93:CL93)&lt;1,IF($C93&lt;=CM$4,1/$E$41,0),0)</f>
        <v>0</v>
      </c>
      <c r="CN93" s="34">
        <f>IF(SUM($I93:CM93)&lt;1,IF($C93&lt;=CN$4,1/$E$41,0),0)</f>
        <v>0</v>
      </c>
      <c r="CO93" s="34">
        <f>IF(SUM($I93:CN93)&lt;1,IF($C93&lt;=CO$4,1/$E$41,0),0)</f>
        <v>0</v>
      </c>
      <c r="CP93" s="34">
        <f>IF(SUM($I93:CO93)&lt;1,IF($C93&lt;=CP$4,1/$E$41,0),0)</f>
        <v>0</v>
      </c>
      <c r="CQ93" s="34">
        <f>IF(SUM($I93:CP93)&lt;1,IF($C93&lt;=CQ$4,1/$E$41,0),0)</f>
        <v>0</v>
      </c>
      <c r="CR93" s="34">
        <f>IF(SUM($I93:CQ93)&lt;1,IF($C93&lt;=CR$4,1/$E$41,0),0)</f>
        <v>0</v>
      </c>
      <c r="CS93" s="34">
        <f>IF(SUM($I93:CR93)&lt;1,IF($C93&lt;=CS$4,1/$E$41,0),0)</f>
        <v>0</v>
      </c>
      <c r="CT93" s="34">
        <f>IF(SUM($I93:CS93)&lt;1,IF($C93&lt;=CT$4,1/$E$41,0),0)</f>
        <v>0</v>
      </c>
      <c r="CU93" s="34">
        <f>IF(SUM($I93:CT93)&lt;1,IF($C93&lt;=CU$4,1/$E$41,0),0)</f>
        <v>0</v>
      </c>
      <c r="CV93" s="34">
        <f>IF(SUM($I93:CU93)&lt;1,IF($C93&lt;=CV$4,1/$E$41,0),0)</f>
        <v>0</v>
      </c>
      <c r="CW93" s="34">
        <f>IF(SUM($I93:CV93)&lt;1,IF($C93&lt;=CW$4,1/$E$41,0),0)</f>
        <v>0</v>
      </c>
      <c r="CX93" s="34">
        <f>IF(SUM($I93:CW93)&lt;1,IF($C93&lt;=CX$4,1/$E$41,0),0)</f>
        <v>0</v>
      </c>
      <c r="CY93" s="34">
        <f>IF(SUM($I93:CX93)&lt;1,IF($C93&lt;=CY$4,1/$E$41,0),0)</f>
        <v>0</v>
      </c>
      <c r="CZ93" s="34">
        <f>IF(SUM($I93:CY93)&lt;1,IF($C93&lt;=CZ$4,1/$E$41,0),0)</f>
        <v>0</v>
      </c>
      <c r="DA93" s="34">
        <f>IF(SUM($I93:CZ93)&lt;1,IF($C93&lt;=DA$4,1/$E$41,0),0)</f>
        <v>0</v>
      </c>
      <c r="DB93" s="34">
        <f>IF(SUM($I93:DA93)&lt;1,IF($C93&lt;=DB$4,1/$E$41,0),0)</f>
        <v>0</v>
      </c>
      <c r="DC93" s="34">
        <f>IF(SUM($I93:DB93)&lt;1,IF($C93&lt;=DC$4,1/$E$41,0),0)</f>
        <v>0</v>
      </c>
      <c r="DD93" s="34">
        <f>IF(SUM($I93:DC93)&lt;1,IF($C93&lt;=DD$4,1/$E$41,0),0)</f>
        <v>0</v>
      </c>
      <c r="DE93" s="34">
        <f>IF(SUM($I93:DD93)&lt;1,IF($C93&lt;=DE$4,1/$E$41,0),0)</f>
        <v>0</v>
      </c>
      <c r="DF93" s="34">
        <f>IF(SUM($I93:DE93)&lt;1,IF($C93&lt;=DF$4,1/$E$41,0),0)</f>
        <v>0</v>
      </c>
      <c r="DG93" s="34">
        <f>IF(SUM($I93:DF93)&lt;1,IF($C93&lt;=DG$4,1/$E$41,0),0)</f>
        <v>0</v>
      </c>
      <c r="DH93" s="34">
        <f>IF(SUM($I93:DG93)&lt;1,IF($C93&lt;=DH$4,1/$E$41,0),0)</f>
        <v>0</v>
      </c>
      <c r="DI93" s="34">
        <f>IF(SUM($I93:DH93)&lt;1,IF($C93&lt;=DI$4,1/$E$41,0),0)</f>
        <v>0</v>
      </c>
      <c r="DJ93" s="34">
        <f>IF(SUM($I93:DI93)&lt;1,IF($C93&lt;=DJ$4,1/$E$41,0),0)</f>
        <v>0</v>
      </c>
      <c r="DK93" s="34">
        <f>IF(SUM($I93:DJ93)&lt;1,IF($C93&lt;=DK$4,1/$E$41,0),0)</f>
        <v>0</v>
      </c>
      <c r="DL93" s="34">
        <f>IF(SUM($I93:DK93)&lt;1,IF($C93&lt;=DL$4,1/$E$41,0),0)</f>
        <v>0</v>
      </c>
      <c r="DM93" s="34">
        <f>IF(SUM($I93:DL93)&lt;1,IF($C93&lt;=DM$4,1/$E$41,0),0)</f>
        <v>0</v>
      </c>
    </row>
    <row r="94" spans="3:117" outlineLevel="1" x14ac:dyDescent="0.15">
      <c r="C94" s="50">
        <f t="shared" si="48"/>
        <v>50</v>
      </c>
      <c r="D94" s="5" t="s">
        <v>18</v>
      </c>
      <c r="E94" s="19">
        <f t="shared" si="49"/>
        <v>0</v>
      </c>
      <c r="I94" s="9"/>
      <c r="J94" s="34">
        <f>IF(SUM($I94:I94)&lt;1,IF($C94&lt;=J$4,1/$E$41,0),0)</f>
        <v>0</v>
      </c>
      <c r="K94" s="34">
        <f>IF(SUM($I94:J94)&lt;1,IF($C94&lt;=K$4,1/$E$41,0),0)</f>
        <v>0</v>
      </c>
      <c r="L94" s="34">
        <f>IF(SUM($I94:K94)&lt;1,IF($C94&lt;=L$4,1/$E$41,0),0)</f>
        <v>0</v>
      </c>
      <c r="M94" s="34">
        <f>IF(SUM($I94:L94)&lt;1,IF($C94&lt;=M$4,1/$E$41,0),0)</f>
        <v>0</v>
      </c>
      <c r="N94" s="34">
        <f>IF(SUM($I94:M94)&lt;1,IF($C94&lt;=N$4,1/$E$41,0),0)</f>
        <v>0</v>
      </c>
      <c r="O94" s="34">
        <f>IF(SUM($I94:N94)&lt;1,IF($C94&lt;=O$4,1/$E$41,0),0)</f>
        <v>0</v>
      </c>
      <c r="P94" s="34">
        <f>IF(SUM($I94:O94)&lt;1,IF($C94&lt;=P$4,1/$E$41,0),0)</f>
        <v>0</v>
      </c>
      <c r="Q94" s="34">
        <f>IF(SUM($I94:P94)&lt;1,IF($C94&lt;=Q$4,1/$E$41,0),0)</f>
        <v>0</v>
      </c>
      <c r="R94" s="34">
        <f>IF(SUM($I94:Q94)&lt;1,IF($C94&lt;=R$4,1/$E$41,0),0)</f>
        <v>0</v>
      </c>
      <c r="S94" s="34">
        <f>IF(SUM($I94:R94)&lt;1,IF($C94&lt;=S$4,1/$E$41,0),0)</f>
        <v>0</v>
      </c>
      <c r="T94" s="34">
        <f>IF(SUM($I94:S94)&lt;1,IF($C94&lt;=T$4,1/$E$41,0),0)</f>
        <v>0</v>
      </c>
      <c r="U94" s="34">
        <f>IF(SUM($I94:T94)&lt;1,IF($C94&lt;=U$4,1/$E$41,0),0)</f>
        <v>0</v>
      </c>
      <c r="V94" s="34">
        <f>IF(SUM($I94:U94)&lt;1,IF($C94&lt;=V$4,1/$E$41,0),0)</f>
        <v>0</v>
      </c>
      <c r="W94" s="34">
        <f>IF(SUM($I94:V94)&lt;1,IF($C94&lt;=W$4,1/$E$41,0),0)</f>
        <v>0</v>
      </c>
      <c r="X94" s="34">
        <f>IF(SUM($I94:W94)&lt;1,IF($C94&lt;=X$4,1/$E$41,0),0)</f>
        <v>0</v>
      </c>
      <c r="Y94" s="34">
        <f>IF(SUM($I94:X94)&lt;1,IF($C94&lt;=Y$4,1/$E$41,0),0)</f>
        <v>0</v>
      </c>
      <c r="Z94" s="34">
        <f>IF(SUM($I94:Y94)&lt;1,IF($C94&lt;=Z$4,1/$E$41,0),0)</f>
        <v>0</v>
      </c>
      <c r="AA94" s="34">
        <f>IF(SUM($I94:Z94)&lt;1,IF($C94&lt;=AA$4,1/$E$41,0),0)</f>
        <v>0</v>
      </c>
      <c r="AB94" s="34">
        <f>IF(SUM($I94:AA94)&lt;1,IF($C94&lt;=AB$4,1/$E$41,0),0)</f>
        <v>0</v>
      </c>
      <c r="AC94" s="34">
        <f>IF(SUM($I94:AB94)&lt;1,IF($C94&lt;=AC$4,1/$E$41,0),0)</f>
        <v>0</v>
      </c>
      <c r="AD94" s="34">
        <f>IF(SUM($I94:AC94)&lt;1,IF($C94&lt;=AD$4,1/$E$41,0),0)</f>
        <v>0</v>
      </c>
      <c r="AE94" s="34">
        <f>IF(SUM($I94:AD94)&lt;1,IF($C94&lt;=AE$4,1/$E$41,0),0)</f>
        <v>0</v>
      </c>
      <c r="AF94" s="34">
        <f>IF(SUM($I94:AE94)&lt;1,IF($C94&lt;=AF$4,1/$E$41,0),0)</f>
        <v>0</v>
      </c>
      <c r="AG94" s="34">
        <f>IF(SUM($I94:AF94)&lt;1,IF($C94&lt;=AG$4,1/$E$41,0),0)</f>
        <v>0</v>
      </c>
      <c r="AH94" s="34">
        <f>IF(SUM($I94:AG94)&lt;1,IF($C94&lt;=AH$4,1/$E$41,0),0)</f>
        <v>0</v>
      </c>
      <c r="AI94" s="34">
        <f>IF(SUM($I94:AH94)&lt;1,IF($C94&lt;=AI$4,1/$E$41,0),0)</f>
        <v>0</v>
      </c>
      <c r="AJ94" s="34">
        <f>IF(SUM($I94:AI94)&lt;1,IF($C94&lt;=AJ$4,1/$E$41,0),0)</f>
        <v>0</v>
      </c>
      <c r="AK94" s="34">
        <f>IF(SUM($I94:AJ94)&lt;1,IF($C94&lt;=AK$4,1/$E$41,0),0)</f>
        <v>0</v>
      </c>
      <c r="AL94" s="34">
        <f>IF(SUM($I94:AK94)&lt;1,IF($C94&lt;=AL$4,1/$E$41,0),0)</f>
        <v>0</v>
      </c>
      <c r="AM94" s="34">
        <f>IF(SUM($I94:AL94)&lt;1,IF($C94&lt;=AM$4,1/$E$41,0),0)</f>
        <v>0</v>
      </c>
      <c r="AN94" s="34">
        <f>IF(SUM($I94:AM94)&lt;1,IF($C94&lt;=AN$4,1/$E$41,0),0)</f>
        <v>0</v>
      </c>
      <c r="AO94" s="34">
        <f>IF(SUM($I94:AN94)&lt;1,IF($C94&lt;=AO$4,1/$E$41,0),0)</f>
        <v>0</v>
      </c>
      <c r="AP94" s="34">
        <f>IF(SUM($I94:AO94)&lt;1,IF($C94&lt;=AP$4,1/$E$41,0),0)</f>
        <v>0</v>
      </c>
      <c r="AQ94" s="34">
        <f>IF(SUM($I94:AP94)&lt;1,IF($C94&lt;=AQ$4,1/$E$41,0),0)</f>
        <v>0</v>
      </c>
      <c r="AR94" s="34">
        <f>IF(SUM($I94:AQ94)&lt;1,IF($C94&lt;=AR$4,1/$E$41,0),0)</f>
        <v>0</v>
      </c>
      <c r="AS94" s="34">
        <f>IF(SUM($I94:AR94)&lt;1,IF($C94&lt;=AS$4,1/$E$41,0),0)</f>
        <v>0</v>
      </c>
      <c r="AT94" s="34">
        <f>IF(SUM($I94:AS94)&lt;1,IF($C94&lt;=AT$4,1/$E$41,0),0)</f>
        <v>0</v>
      </c>
      <c r="AU94" s="34">
        <f>IF(SUM($I94:AT94)&lt;1,IF($C94&lt;=AU$4,1/$E$41,0),0)</f>
        <v>0</v>
      </c>
      <c r="AV94" s="34">
        <f>IF(SUM($I94:AU94)&lt;1,IF($C94&lt;=AV$4,1/$E$41,0),0)</f>
        <v>0</v>
      </c>
      <c r="AW94" s="34">
        <f>IF(SUM($I94:AV94)&lt;1,IF($C94&lt;=AW$4,1/$E$41,0),0)</f>
        <v>0</v>
      </c>
      <c r="AX94" s="34">
        <f>IF(SUM($I94:AW94)&lt;1,IF($C94&lt;=AX$4,1/$E$41,0),0)</f>
        <v>0</v>
      </c>
      <c r="AY94" s="34">
        <f>IF(SUM($I94:AX94)&lt;1,IF($C94&lt;=AY$4,1/$E$41,0),0)</f>
        <v>0</v>
      </c>
      <c r="AZ94" s="34">
        <f>IF(SUM($I94:AY94)&lt;1,IF($C94&lt;=AZ$4,1/$E$41,0),0)</f>
        <v>0</v>
      </c>
      <c r="BA94" s="34">
        <f>IF(SUM($I94:AZ94)&lt;1,IF($C94&lt;=BA$4,1/$E$41,0),0)</f>
        <v>0</v>
      </c>
      <c r="BB94" s="34">
        <f>IF(SUM($I94:BA94)&lt;1,IF($C94&lt;=BB$4,1/$E$41,0),0)</f>
        <v>0</v>
      </c>
      <c r="BC94" s="34">
        <f>IF(SUM($I94:BB94)&lt;1,IF($C94&lt;=BC$4,1/$E$41,0),0)</f>
        <v>0</v>
      </c>
      <c r="BD94" s="34">
        <f>IF(SUM($I94:BC94)&lt;1,IF($C94&lt;=BD$4,1/$E$41,0),0)</f>
        <v>0</v>
      </c>
      <c r="BE94" s="34">
        <f>IF(SUM($I94:BD94)&lt;1,IF($C94&lt;=BE$4,1/$E$41,0),0)</f>
        <v>0</v>
      </c>
      <c r="BF94" s="34">
        <f>IF(SUM($I94:BE94)&lt;1,IF($C94&lt;=BF$4,1/$E$41,0),0)</f>
        <v>0</v>
      </c>
      <c r="BG94" s="34">
        <f>IF(SUM($I94:BF94)&lt;1,IF($C94&lt;=BG$4,1/$E$41,0),0)</f>
        <v>0.25</v>
      </c>
      <c r="BH94" s="34">
        <f>IF(SUM($I94:BG94)&lt;1,IF($C94&lt;=BH$4,1/$E$41,0),0)</f>
        <v>0.25</v>
      </c>
      <c r="BI94" s="34">
        <f>IF(SUM($I94:BH94)&lt;1,IF($C94&lt;=BI$4,1/$E$41,0),0)</f>
        <v>0.25</v>
      </c>
      <c r="BJ94" s="34">
        <f>IF(SUM($I94:BI94)&lt;1,IF($C94&lt;=BJ$4,1/$E$41,0),0)</f>
        <v>0.25</v>
      </c>
      <c r="BK94" s="34">
        <f>IF(SUM($I94:BJ94)&lt;1,IF($C94&lt;=BK$4,1/$E$41,0),0)</f>
        <v>0</v>
      </c>
      <c r="BL94" s="34">
        <f>IF(SUM($I94:BK94)&lt;1,IF($C94&lt;=BL$4,1/$E$41,0),0)</f>
        <v>0</v>
      </c>
      <c r="BM94" s="34">
        <f>IF(SUM($I94:BL94)&lt;1,IF($C94&lt;=BM$4,1/$E$41,0),0)</f>
        <v>0</v>
      </c>
      <c r="BN94" s="34">
        <f>IF(SUM($I94:BM94)&lt;1,IF($C94&lt;=BN$4,1/$E$41,0),0)</f>
        <v>0</v>
      </c>
      <c r="BO94" s="34">
        <f>IF(SUM($I94:BN94)&lt;1,IF($C94&lt;=BO$4,1/$E$41,0),0)</f>
        <v>0</v>
      </c>
      <c r="BP94" s="34">
        <f>IF(SUM($I94:BO94)&lt;1,IF($C94&lt;=BP$4,1/$E$41,0),0)</f>
        <v>0</v>
      </c>
      <c r="BQ94" s="34">
        <f>IF(SUM($I94:BP94)&lt;1,IF($C94&lt;=BQ$4,1/$E$41,0),0)</f>
        <v>0</v>
      </c>
      <c r="BR94" s="34">
        <f>IF(SUM($I94:BQ94)&lt;1,IF($C94&lt;=BR$4,1/$E$41,0),0)</f>
        <v>0</v>
      </c>
      <c r="BS94" s="34">
        <f>IF(SUM($I94:BR94)&lt;1,IF($C94&lt;=BS$4,1/$E$41,0),0)</f>
        <v>0</v>
      </c>
      <c r="BT94" s="34">
        <f>IF(SUM($I94:BS94)&lt;1,IF($C94&lt;=BT$4,1/$E$41,0),0)</f>
        <v>0</v>
      </c>
      <c r="BU94" s="34">
        <f>IF(SUM($I94:BT94)&lt;1,IF($C94&lt;=BU$4,1/$E$41,0),0)</f>
        <v>0</v>
      </c>
      <c r="BV94" s="34">
        <f>IF(SUM($I94:BU94)&lt;1,IF($C94&lt;=BV$4,1/$E$41,0),0)</f>
        <v>0</v>
      </c>
      <c r="BW94" s="34">
        <f>IF(SUM($I94:BV94)&lt;1,IF($C94&lt;=BW$4,1/$E$41,0),0)</f>
        <v>0</v>
      </c>
      <c r="BX94" s="34">
        <f>IF(SUM($I94:BW94)&lt;1,IF($C94&lt;=BX$4,1/$E$41,0),0)</f>
        <v>0</v>
      </c>
      <c r="BY94" s="34">
        <f>IF(SUM($I94:BX94)&lt;1,IF($C94&lt;=BY$4,1/$E$41,0),0)</f>
        <v>0</v>
      </c>
      <c r="BZ94" s="34">
        <f>IF(SUM($I94:BY94)&lt;1,IF($C94&lt;=BZ$4,1/$E$41,0),0)</f>
        <v>0</v>
      </c>
      <c r="CA94" s="34">
        <f>IF(SUM($I94:BZ94)&lt;1,IF($C94&lt;=CA$4,1/$E$41,0),0)</f>
        <v>0</v>
      </c>
      <c r="CB94" s="34">
        <f>IF(SUM($I94:CA94)&lt;1,IF($C94&lt;=CB$4,1/$E$41,0),0)</f>
        <v>0</v>
      </c>
      <c r="CC94" s="34">
        <f>IF(SUM($I94:CB94)&lt;1,IF($C94&lt;=CC$4,1/$E$41,0),0)</f>
        <v>0</v>
      </c>
      <c r="CD94" s="34">
        <f>IF(SUM($I94:CC94)&lt;1,IF($C94&lt;=CD$4,1/$E$41,0),0)</f>
        <v>0</v>
      </c>
      <c r="CE94" s="34">
        <f>IF(SUM($I94:CD94)&lt;1,IF($C94&lt;=CE$4,1/$E$41,0),0)</f>
        <v>0</v>
      </c>
      <c r="CF94" s="34">
        <f>IF(SUM($I94:CE94)&lt;1,IF($C94&lt;=CF$4,1/$E$41,0),0)</f>
        <v>0</v>
      </c>
      <c r="CG94" s="34">
        <f>IF(SUM($I94:CF94)&lt;1,IF($C94&lt;=CG$4,1/$E$41,0),0)</f>
        <v>0</v>
      </c>
      <c r="CH94" s="34">
        <f>IF(SUM($I94:CG94)&lt;1,IF($C94&lt;=CH$4,1/$E$41,0),0)</f>
        <v>0</v>
      </c>
      <c r="CI94" s="34">
        <f>IF(SUM($I94:CH94)&lt;1,IF($C94&lt;=CI$4,1/$E$41,0),0)</f>
        <v>0</v>
      </c>
      <c r="CJ94" s="34">
        <f>IF(SUM($I94:CI94)&lt;1,IF($C94&lt;=CJ$4,1/$E$41,0),0)</f>
        <v>0</v>
      </c>
      <c r="CK94" s="34">
        <f>IF(SUM($I94:CJ94)&lt;1,IF($C94&lt;=CK$4,1/$E$41,0),0)</f>
        <v>0</v>
      </c>
      <c r="CL94" s="34">
        <f>IF(SUM($I94:CK94)&lt;1,IF($C94&lt;=CL$4,1/$E$41,0),0)</f>
        <v>0</v>
      </c>
      <c r="CM94" s="34">
        <f>IF(SUM($I94:CL94)&lt;1,IF($C94&lt;=CM$4,1/$E$41,0),0)</f>
        <v>0</v>
      </c>
      <c r="CN94" s="34">
        <f>IF(SUM($I94:CM94)&lt;1,IF($C94&lt;=CN$4,1/$E$41,0),0)</f>
        <v>0</v>
      </c>
      <c r="CO94" s="34">
        <f>IF(SUM($I94:CN94)&lt;1,IF($C94&lt;=CO$4,1/$E$41,0),0)</f>
        <v>0</v>
      </c>
      <c r="CP94" s="34">
        <f>IF(SUM($I94:CO94)&lt;1,IF($C94&lt;=CP$4,1/$E$41,0),0)</f>
        <v>0</v>
      </c>
      <c r="CQ94" s="34">
        <f>IF(SUM($I94:CP94)&lt;1,IF($C94&lt;=CQ$4,1/$E$41,0),0)</f>
        <v>0</v>
      </c>
      <c r="CR94" s="34">
        <f>IF(SUM($I94:CQ94)&lt;1,IF($C94&lt;=CR$4,1/$E$41,0),0)</f>
        <v>0</v>
      </c>
      <c r="CS94" s="34">
        <f>IF(SUM($I94:CR94)&lt;1,IF($C94&lt;=CS$4,1/$E$41,0),0)</f>
        <v>0</v>
      </c>
      <c r="CT94" s="34">
        <f>IF(SUM($I94:CS94)&lt;1,IF($C94&lt;=CT$4,1/$E$41,0),0)</f>
        <v>0</v>
      </c>
      <c r="CU94" s="34">
        <f>IF(SUM($I94:CT94)&lt;1,IF($C94&lt;=CU$4,1/$E$41,0),0)</f>
        <v>0</v>
      </c>
      <c r="CV94" s="34">
        <f>IF(SUM($I94:CU94)&lt;1,IF($C94&lt;=CV$4,1/$E$41,0),0)</f>
        <v>0</v>
      </c>
      <c r="CW94" s="34">
        <f>IF(SUM($I94:CV94)&lt;1,IF($C94&lt;=CW$4,1/$E$41,0),0)</f>
        <v>0</v>
      </c>
      <c r="CX94" s="34">
        <f>IF(SUM($I94:CW94)&lt;1,IF($C94&lt;=CX$4,1/$E$41,0),0)</f>
        <v>0</v>
      </c>
      <c r="CY94" s="34">
        <f>IF(SUM($I94:CX94)&lt;1,IF($C94&lt;=CY$4,1/$E$41,0),0)</f>
        <v>0</v>
      </c>
      <c r="CZ94" s="34">
        <f>IF(SUM($I94:CY94)&lt;1,IF($C94&lt;=CZ$4,1/$E$41,0),0)</f>
        <v>0</v>
      </c>
      <c r="DA94" s="34">
        <f>IF(SUM($I94:CZ94)&lt;1,IF($C94&lt;=DA$4,1/$E$41,0),0)</f>
        <v>0</v>
      </c>
      <c r="DB94" s="34">
        <f>IF(SUM($I94:DA94)&lt;1,IF($C94&lt;=DB$4,1/$E$41,0),0)</f>
        <v>0</v>
      </c>
      <c r="DC94" s="34">
        <f>IF(SUM($I94:DB94)&lt;1,IF($C94&lt;=DC$4,1/$E$41,0),0)</f>
        <v>0</v>
      </c>
      <c r="DD94" s="34">
        <f>IF(SUM($I94:DC94)&lt;1,IF($C94&lt;=DD$4,1/$E$41,0),0)</f>
        <v>0</v>
      </c>
      <c r="DE94" s="34">
        <f>IF(SUM($I94:DD94)&lt;1,IF($C94&lt;=DE$4,1/$E$41,0),0)</f>
        <v>0</v>
      </c>
      <c r="DF94" s="34">
        <f>IF(SUM($I94:DE94)&lt;1,IF($C94&lt;=DF$4,1/$E$41,0),0)</f>
        <v>0</v>
      </c>
      <c r="DG94" s="34">
        <f>IF(SUM($I94:DF94)&lt;1,IF($C94&lt;=DG$4,1/$E$41,0),0)</f>
        <v>0</v>
      </c>
      <c r="DH94" s="34">
        <f>IF(SUM($I94:DG94)&lt;1,IF($C94&lt;=DH$4,1/$E$41,0),0)</f>
        <v>0</v>
      </c>
      <c r="DI94" s="34">
        <f>IF(SUM($I94:DH94)&lt;1,IF($C94&lt;=DI$4,1/$E$41,0),0)</f>
        <v>0</v>
      </c>
      <c r="DJ94" s="34">
        <f>IF(SUM($I94:DI94)&lt;1,IF($C94&lt;=DJ$4,1/$E$41,0),0)</f>
        <v>0</v>
      </c>
      <c r="DK94" s="34">
        <f>IF(SUM($I94:DJ94)&lt;1,IF($C94&lt;=DK$4,1/$E$41,0),0)</f>
        <v>0</v>
      </c>
      <c r="DL94" s="34">
        <f>IF(SUM($I94:DK94)&lt;1,IF($C94&lt;=DL$4,1/$E$41,0),0)</f>
        <v>0</v>
      </c>
      <c r="DM94" s="34">
        <f>IF(SUM($I94:DL94)&lt;1,IF($C94&lt;=DM$4,1/$E$41,0),0)</f>
        <v>0</v>
      </c>
    </row>
    <row r="95" spans="3:117" outlineLevel="1" x14ac:dyDescent="0.15">
      <c r="C95" s="50">
        <f t="shared" si="48"/>
        <v>51</v>
      </c>
      <c r="D95" s="5" t="s">
        <v>18</v>
      </c>
      <c r="E95" s="19">
        <f t="shared" si="49"/>
        <v>0</v>
      </c>
      <c r="I95" s="9"/>
      <c r="J95" s="34">
        <f>IF(SUM($I95:I95)&lt;1,IF($C95&lt;=J$4,1/$E$41,0),0)</f>
        <v>0</v>
      </c>
      <c r="K95" s="34">
        <f>IF(SUM($I95:J95)&lt;1,IF($C95&lt;=K$4,1/$E$41,0),0)</f>
        <v>0</v>
      </c>
      <c r="L95" s="34">
        <f>IF(SUM($I95:K95)&lt;1,IF($C95&lt;=L$4,1/$E$41,0),0)</f>
        <v>0</v>
      </c>
      <c r="M95" s="34">
        <f>IF(SUM($I95:L95)&lt;1,IF($C95&lt;=M$4,1/$E$41,0),0)</f>
        <v>0</v>
      </c>
      <c r="N95" s="34">
        <f>IF(SUM($I95:M95)&lt;1,IF($C95&lt;=N$4,1/$E$41,0),0)</f>
        <v>0</v>
      </c>
      <c r="O95" s="34">
        <f>IF(SUM($I95:N95)&lt;1,IF($C95&lt;=O$4,1/$E$41,0),0)</f>
        <v>0</v>
      </c>
      <c r="P95" s="34">
        <f>IF(SUM($I95:O95)&lt;1,IF($C95&lt;=P$4,1/$E$41,0),0)</f>
        <v>0</v>
      </c>
      <c r="Q95" s="34">
        <f>IF(SUM($I95:P95)&lt;1,IF($C95&lt;=Q$4,1/$E$41,0),0)</f>
        <v>0</v>
      </c>
      <c r="R95" s="34">
        <f>IF(SUM($I95:Q95)&lt;1,IF($C95&lt;=R$4,1/$E$41,0),0)</f>
        <v>0</v>
      </c>
      <c r="S95" s="34">
        <f>IF(SUM($I95:R95)&lt;1,IF($C95&lt;=S$4,1/$E$41,0),0)</f>
        <v>0</v>
      </c>
      <c r="T95" s="34">
        <f>IF(SUM($I95:S95)&lt;1,IF($C95&lt;=T$4,1/$E$41,0),0)</f>
        <v>0</v>
      </c>
      <c r="U95" s="34">
        <f>IF(SUM($I95:T95)&lt;1,IF($C95&lt;=U$4,1/$E$41,0),0)</f>
        <v>0</v>
      </c>
      <c r="V95" s="34">
        <f>IF(SUM($I95:U95)&lt;1,IF($C95&lt;=V$4,1/$E$41,0),0)</f>
        <v>0</v>
      </c>
      <c r="W95" s="34">
        <f>IF(SUM($I95:V95)&lt;1,IF($C95&lt;=W$4,1/$E$41,0),0)</f>
        <v>0</v>
      </c>
      <c r="X95" s="34">
        <f>IF(SUM($I95:W95)&lt;1,IF($C95&lt;=X$4,1/$E$41,0),0)</f>
        <v>0</v>
      </c>
      <c r="Y95" s="34">
        <f>IF(SUM($I95:X95)&lt;1,IF($C95&lt;=Y$4,1/$E$41,0),0)</f>
        <v>0</v>
      </c>
      <c r="Z95" s="34">
        <f>IF(SUM($I95:Y95)&lt;1,IF($C95&lt;=Z$4,1/$E$41,0),0)</f>
        <v>0</v>
      </c>
      <c r="AA95" s="34">
        <f>IF(SUM($I95:Z95)&lt;1,IF($C95&lt;=AA$4,1/$E$41,0),0)</f>
        <v>0</v>
      </c>
      <c r="AB95" s="34">
        <f>IF(SUM($I95:AA95)&lt;1,IF($C95&lt;=AB$4,1/$E$41,0),0)</f>
        <v>0</v>
      </c>
      <c r="AC95" s="34">
        <f>IF(SUM($I95:AB95)&lt;1,IF($C95&lt;=AC$4,1/$E$41,0),0)</f>
        <v>0</v>
      </c>
      <c r="AD95" s="34">
        <f>IF(SUM($I95:AC95)&lt;1,IF($C95&lt;=AD$4,1/$E$41,0),0)</f>
        <v>0</v>
      </c>
      <c r="AE95" s="34">
        <f>IF(SUM($I95:AD95)&lt;1,IF($C95&lt;=AE$4,1/$E$41,0),0)</f>
        <v>0</v>
      </c>
      <c r="AF95" s="34">
        <f>IF(SUM($I95:AE95)&lt;1,IF($C95&lt;=AF$4,1/$E$41,0),0)</f>
        <v>0</v>
      </c>
      <c r="AG95" s="34">
        <f>IF(SUM($I95:AF95)&lt;1,IF($C95&lt;=AG$4,1/$E$41,0),0)</f>
        <v>0</v>
      </c>
      <c r="AH95" s="34">
        <f>IF(SUM($I95:AG95)&lt;1,IF($C95&lt;=AH$4,1/$E$41,0),0)</f>
        <v>0</v>
      </c>
      <c r="AI95" s="34">
        <f>IF(SUM($I95:AH95)&lt;1,IF($C95&lt;=AI$4,1/$E$41,0),0)</f>
        <v>0</v>
      </c>
      <c r="AJ95" s="34">
        <f>IF(SUM($I95:AI95)&lt;1,IF($C95&lt;=AJ$4,1/$E$41,0),0)</f>
        <v>0</v>
      </c>
      <c r="AK95" s="34">
        <f>IF(SUM($I95:AJ95)&lt;1,IF($C95&lt;=AK$4,1/$E$41,0),0)</f>
        <v>0</v>
      </c>
      <c r="AL95" s="34">
        <f>IF(SUM($I95:AK95)&lt;1,IF($C95&lt;=AL$4,1/$E$41,0),0)</f>
        <v>0</v>
      </c>
      <c r="AM95" s="34">
        <f>IF(SUM($I95:AL95)&lt;1,IF($C95&lt;=AM$4,1/$E$41,0),0)</f>
        <v>0</v>
      </c>
      <c r="AN95" s="34">
        <f>IF(SUM($I95:AM95)&lt;1,IF($C95&lt;=AN$4,1/$E$41,0),0)</f>
        <v>0</v>
      </c>
      <c r="AO95" s="34">
        <f>IF(SUM($I95:AN95)&lt;1,IF($C95&lt;=AO$4,1/$E$41,0),0)</f>
        <v>0</v>
      </c>
      <c r="AP95" s="34">
        <f>IF(SUM($I95:AO95)&lt;1,IF($C95&lt;=AP$4,1/$E$41,0),0)</f>
        <v>0</v>
      </c>
      <c r="AQ95" s="34">
        <f>IF(SUM($I95:AP95)&lt;1,IF($C95&lt;=AQ$4,1/$E$41,0),0)</f>
        <v>0</v>
      </c>
      <c r="AR95" s="34">
        <f>IF(SUM($I95:AQ95)&lt;1,IF($C95&lt;=AR$4,1/$E$41,0),0)</f>
        <v>0</v>
      </c>
      <c r="AS95" s="34">
        <f>IF(SUM($I95:AR95)&lt;1,IF($C95&lt;=AS$4,1/$E$41,0),0)</f>
        <v>0</v>
      </c>
      <c r="AT95" s="34">
        <f>IF(SUM($I95:AS95)&lt;1,IF($C95&lt;=AT$4,1/$E$41,0),0)</f>
        <v>0</v>
      </c>
      <c r="AU95" s="34">
        <f>IF(SUM($I95:AT95)&lt;1,IF($C95&lt;=AU$4,1/$E$41,0),0)</f>
        <v>0</v>
      </c>
      <c r="AV95" s="34">
        <f>IF(SUM($I95:AU95)&lt;1,IF($C95&lt;=AV$4,1/$E$41,0),0)</f>
        <v>0</v>
      </c>
      <c r="AW95" s="34">
        <f>IF(SUM($I95:AV95)&lt;1,IF($C95&lt;=AW$4,1/$E$41,0),0)</f>
        <v>0</v>
      </c>
      <c r="AX95" s="34">
        <f>IF(SUM($I95:AW95)&lt;1,IF($C95&lt;=AX$4,1/$E$41,0),0)</f>
        <v>0</v>
      </c>
      <c r="AY95" s="34">
        <f>IF(SUM($I95:AX95)&lt;1,IF($C95&lt;=AY$4,1/$E$41,0),0)</f>
        <v>0</v>
      </c>
      <c r="AZ95" s="34">
        <f>IF(SUM($I95:AY95)&lt;1,IF($C95&lt;=AZ$4,1/$E$41,0),0)</f>
        <v>0</v>
      </c>
      <c r="BA95" s="34">
        <f>IF(SUM($I95:AZ95)&lt;1,IF($C95&lt;=BA$4,1/$E$41,0),0)</f>
        <v>0</v>
      </c>
      <c r="BB95" s="34">
        <f>IF(SUM($I95:BA95)&lt;1,IF($C95&lt;=BB$4,1/$E$41,0),0)</f>
        <v>0</v>
      </c>
      <c r="BC95" s="34">
        <f>IF(SUM($I95:BB95)&lt;1,IF($C95&lt;=BC$4,1/$E$41,0),0)</f>
        <v>0</v>
      </c>
      <c r="BD95" s="34">
        <f>IF(SUM($I95:BC95)&lt;1,IF($C95&lt;=BD$4,1/$E$41,0),0)</f>
        <v>0</v>
      </c>
      <c r="BE95" s="34">
        <f>IF(SUM($I95:BD95)&lt;1,IF($C95&lt;=BE$4,1/$E$41,0),0)</f>
        <v>0</v>
      </c>
      <c r="BF95" s="34">
        <f>IF(SUM($I95:BE95)&lt;1,IF($C95&lt;=BF$4,1/$E$41,0),0)</f>
        <v>0</v>
      </c>
      <c r="BG95" s="34">
        <f>IF(SUM($I95:BF95)&lt;1,IF($C95&lt;=BG$4,1/$E$41,0),0)</f>
        <v>0</v>
      </c>
      <c r="BH95" s="34">
        <f>IF(SUM($I95:BG95)&lt;1,IF($C95&lt;=BH$4,1/$E$41,0),0)</f>
        <v>0.25</v>
      </c>
      <c r="BI95" s="34">
        <f>IF(SUM($I95:BH95)&lt;1,IF($C95&lt;=BI$4,1/$E$41,0),0)</f>
        <v>0.25</v>
      </c>
      <c r="BJ95" s="34">
        <f>IF(SUM($I95:BI95)&lt;1,IF($C95&lt;=BJ$4,1/$E$41,0),0)</f>
        <v>0.25</v>
      </c>
      <c r="BK95" s="34">
        <f>IF(SUM($I95:BJ95)&lt;1,IF($C95&lt;=BK$4,1/$E$41,0),0)</f>
        <v>0.25</v>
      </c>
      <c r="BL95" s="34">
        <f>IF(SUM($I95:BK95)&lt;1,IF($C95&lt;=BL$4,1/$E$41,0),0)</f>
        <v>0</v>
      </c>
      <c r="BM95" s="34">
        <f>IF(SUM($I95:BL95)&lt;1,IF($C95&lt;=BM$4,1/$E$41,0),0)</f>
        <v>0</v>
      </c>
      <c r="BN95" s="34">
        <f>IF(SUM($I95:BM95)&lt;1,IF($C95&lt;=BN$4,1/$E$41,0),0)</f>
        <v>0</v>
      </c>
      <c r="BO95" s="34">
        <f>IF(SUM($I95:BN95)&lt;1,IF($C95&lt;=BO$4,1/$E$41,0),0)</f>
        <v>0</v>
      </c>
      <c r="BP95" s="34">
        <f>IF(SUM($I95:BO95)&lt;1,IF($C95&lt;=BP$4,1/$E$41,0),0)</f>
        <v>0</v>
      </c>
      <c r="BQ95" s="34">
        <f>IF(SUM($I95:BP95)&lt;1,IF($C95&lt;=BQ$4,1/$E$41,0),0)</f>
        <v>0</v>
      </c>
      <c r="BR95" s="34">
        <f>IF(SUM($I95:BQ95)&lt;1,IF($C95&lt;=BR$4,1/$E$41,0),0)</f>
        <v>0</v>
      </c>
      <c r="BS95" s="34">
        <f>IF(SUM($I95:BR95)&lt;1,IF($C95&lt;=BS$4,1/$E$41,0),0)</f>
        <v>0</v>
      </c>
      <c r="BT95" s="34">
        <f>IF(SUM($I95:BS95)&lt;1,IF($C95&lt;=BT$4,1/$E$41,0),0)</f>
        <v>0</v>
      </c>
      <c r="BU95" s="34">
        <f>IF(SUM($I95:BT95)&lt;1,IF($C95&lt;=BU$4,1/$E$41,0),0)</f>
        <v>0</v>
      </c>
      <c r="BV95" s="34">
        <f>IF(SUM($I95:BU95)&lt;1,IF($C95&lt;=BV$4,1/$E$41,0),0)</f>
        <v>0</v>
      </c>
      <c r="BW95" s="34">
        <f>IF(SUM($I95:BV95)&lt;1,IF($C95&lt;=BW$4,1/$E$41,0),0)</f>
        <v>0</v>
      </c>
      <c r="BX95" s="34">
        <f>IF(SUM($I95:BW95)&lt;1,IF($C95&lt;=BX$4,1/$E$41,0),0)</f>
        <v>0</v>
      </c>
      <c r="BY95" s="34">
        <f>IF(SUM($I95:BX95)&lt;1,IF($C95&lt;=BY$4,1/$E$41,0),0)</f>
        <v>0</v>
      </c>
      <c r="BZ95" s="34">
        <f>IF(SUM($I95:BY95)&lt;1,IF($C95&lt;=BZ$4,1/$E$41,0),0)</f>
        <v>0</v>
      </c>
      <c r="CA95" s="34">
        <f>IF(SUM($I95:BZ95)&lt;1,IF($C95&lt;=CA$4,1/$E$41,0),0)</f>
        <v>0</v>
      </c>
      <c r="CB95" s="34">
        <f>IF(SUM($I95:CA95)&lt;1,IF($C95&lt;=CB$4,1/$E$41,0),0)</f>
        <v>0</v>
      </c>
      <c r="CC95" s="34">
        <f>IF(SUM($I95:CB95)&lt;1,IF($C95&lt;=CC$4,1/$E$41,0),0)</f>
        <v>0</v>
      </c>
      <c r="CD95" s="34">
        <f>IF(SUM($I95:CC95)&lt;1,IF($C95&lt;=CD$4,1/$E$41,0),0)</f>
        <v>0</v>
      </c>
      <c r="CE95" s="34">
        <f>IF(SUM($I95:CD95)&lt;1,IF($C95&lt;=CE$4,1/$E$41,0),0)</f>
        <v>0</v>
      </c>
      <c r="CF95" s="34">
        <f>IF(SUM($I95:CE95)&lt;1,IF($C95&lt;=CF$4,1/$E$41,0),0)</f>
        <v>0</v>
      </c>
      <c r="CG95" s="34">
        <f>IF(SUM($I95:CF95)&lt;1,IF($C95&lt;=CG$4,1/$E$41,0),0)</f>
        <v>0</v>
      </c>
      <c r="CH95" s="34">
        <f>IF(SUM($I95:CG95)&lt;1,IF($C95&lt;=CH$4,1/$E$41,0),0)</f>
        <v>0</v>
      </c>
      <c r="CI95" s="34">
        <f>IF(SUM($I95:CH95)&lt;1,IF($C95&lt;=CI$4,1/$E$41,0),0)</f>
        <v>0</v>
      </c>
      <c r="CJ95" s="34">
        <f>IF(SUM($I95:CI95)&lt;1,IF($C95&lt;=CJ$4,1/$E$41,0),0)</f>
        <v>0</v>
      </c>
      <c r="CK95" s="34">
        <f>IF(SUM($I95:CJ95)&lt;1,IF($C95&lt;=CK$4,1/$E$41,0),0)</f>
        <v>0</v>
      </c>
      <c r="CL95" s="34">
        <f>IF(SUM($I95:CK95)&lt;1,IF($C95&lt;=CL$4,1/$E$41,0),0)</f>
        <v>0</v>
      </c>
      <c r="CM95" s="34">
        <f>IF(SUM($I95:CL95)&lt;1,IF($C95&lt;=CM$4,1/$E$41,0),0)</f>
        <v>0</v>
      </c>
      <c r="CN95" s="34">
        <f>IF(SUM($I95:CM95)&lt;1,IF($C95&lt;=CN$4,1/$E$41,0),0)</f>
        <v>0</v>
      </c>
      <c r="CO95" s="34">
        <f>IF(SUM($I95:CN95)&lt;1,IF($C95&lt;=CO$4,1/$E$41,0),0)</f>
        <v>0</v>
      </c>
      <c r="CP95" s="34">
        <f>IF(SUM($I95:CO95)&lt;1,IF($C95&lt;=CP$4,1/$E$41,0),0)</f>
        <v>0</v>
      </c>
      <c r="CQ95" s="34">
        <f>IF(SUM($I95:CP95)&lt;1,IF($C95&lt;=CQ$4,1/$E$41,0),0)</f>
        <v>0</v>
      </c>
      <c r="CR95" s="34">
        <f>IF(SUM($I95:CQ95)&lt;1,IF($C95&lt;=CR$4,1/$E$41,0),0)</f>
        <v>0</v>
      </c>
      <c r="CS95" s="34">
        <f>IF(SUM($I95:CR95)&lt;1,IF($C95&lt;=CS$4,1/$E$41,0),0)</f>
        <v>0</v>
      </c>
      <c r="CT95" s="34">
        <f>IF(SUM($I95:CS95)&lt;1,IF($C95&lt;=CT$4,1/$E$41,0),0)</f>
        <v>0</v>
      </c>
      <c r="CU95" s="34">
        <f>IF(SUM($I95:CT95)&lt;1,IF($C95&lt;=CU$4,1/$E$41,0),0)</f>
        <v>0</v>
      </c>
      <c r="CV95" s="34">
        <f>IF(SUM($I95:CU95)&lt;1,IF($C95&lt;=CV$4,1/$E$41,0),0)</f>
        <v>0</v>
      </c>
      <c r="CW95" s="34">
        <f>IF(SUM($I95:CV95)&lt;1,IF($C95&lt;=CW$4,1/$E$41,0),0)</f>
        <v>0</v>
      </c>
      <c r="CX95" s="34">
        <f>IF(SUM($I95:CW95)&lt;1,IF($C95&lt;=CX$4,1/$E$41,0),0)</f>
        <v>0</v>
      </c>
      <c r="CY95" s="34">
        <f>IF(SUM($I95:CX95)&lt;1,IF($C95&lt;=CY$4,1/$E$41,0),0)</f>
        <v>0</v>
      </c>
      <c r="CZ95" s="34">
        <f>IF(SUM($I95:CY95)&lt;1,IF($C95&lt;=CZ$4,1/$E$41,0),0)</f>
        <v>0</v>
      </c>
      <c r="DA95" s="34">
        <f>IF(SUM($I95:CZ95)&lt;1,IF($C95&lt;=DA$4,1/$E$41,0),0)</f>
        <v>0</v>
      </c>
      <c r="DB95" s="34">
        <f>IF(SUM($I95:DA95)&lt;1,IF($C95&lt;=DB$4,1/$E$41,0),0)</f>
        <v>0</v>
      </c>
      <c r="DC95" s="34">
        <f>IF(SUM($I95:DB95)&lt;1,IF($C95&lt;=DC$4,1/$E$41,0),0)</f>
        <v>0</v>
      </c>
      <c r="DD95" s="34">
        <f>IF(SUM($I95:DC95)&lt;1,IF($C95&lt;=DD$4,1/$E$41,0),0)</f>
        <v>0</v>
      </c>
      <c r="DE95" s="34">
        <f>IF(SUM($I95:DD95)&lt;1,IF($C95&lt;=DE$4,1/$E$41,0),0)</f>
        <v>0</v>
      </c>
      <c r="DF95" s="34">
        <f>IF(SUM($I95:DE95)&lt;1,IF($C95&lt;=DF$4,1/$E$41,0),0)</f>
        <v>0</v>
      </c>
      <c r="DG95" s="34">
        <f>IF(SUM($I95:DF95)&lt;1,IF($C95&lt;=DG$4,1/$E$41,0),0)</f>
        <v>0</v>
      </c>
      <c r="DH95" s="34">
        <f>IF(SUM($I95:DG95)&lt;1,IF($C95&lt;=DH$4,1/$E$41,0),0)</f>
        <v>0</v>
      </c>
      <c r="DI95" s="34">
        <f>IF(SUM($I95:DH95)&lt;1,IF($C95&lt;=DI$4,1/$E$41,0),0)</f>
        <v>0</v>
      </c>
      <c r="DJ95" s="34">
        <f>IF(SUM($I95:DI95)&lt;1,IF($C95&lt;=DJ$4,1/$E$41,0),0)</f>
        <v>0</v>
      </c>
      <c r="DK95" s="34">
        <f>IF(SUM($I95:DJ95)&lt;1,IF($C95&lt;=DK$4,1/$E$41,0),0)</f>
        <v>0</v>
      </c>
      <c r="DL95" s="34">
        <f>IF(SUM($I95:DK95)&lt;1,IF($C95&lt;=DL$4,1/$E$41,0),0)</f>
        <v>0</v>
      </c>
      <c r="DM95" s="34">
        <f>IF(SUM($I95:DL95)&lt;1,IF($C95&lt;=DM$4,1/$E$41,0),0)</f>
        <v>0</v>
      </c>
    </row>
    <row r="96" spans="3:117" outlineLevel="1" x14ac:dyDescent="0.15">
      <c r="C96" s="50">
        <f t="shared" si="48"/>
        <v>52</v>
      </c>
      <c r="D96" s="5" t="s">
        <v>18</v>
      </c>
      <c r="E96" s="19">
        <f t="shared" si="49"/>
        <v>0</v>
      </c>
      <c r="I96" s="9"/>
      <c r="J96" s="34">
        <f>IF(SUM($I96:I96)&lt;1,IF($C96&lt;=J$4,1/$E$41,0),0)</f>
        <v>0</v>
      </c>
      <c r="K96" s="34">
        <f>IF(SUM($I96:J96)&lt;1,IF($C96&lt;=K$4,1/$E$41,0),0)</f>
        <v>0</v>
      </c>
      <c r="L96" s="34">
        <f>IF(SUM($I96:K96)&lt;1,IF($C96&lt;=L$4,1/$E$41,0),0)</f>
        <v>0</v>
      </c>
      <c r="M96" s="34">
        <f>IF(SUM($I96:L96)&lt;1,IF($C96&lt;=M$4,1/$E$41,0),0)</f>
        <v>0</v>
      </c>
      <c r="N96" s="34">
        <f>IF(SUM($I96:M96)&lt;1,IF($C96&lt;=N$4,1/$E$41,0),0)</f>
        <v>0</v>
      </c>
      <c r="O96" s="34">
        <f>IF(SUM($I96:N96)&lt;1,IF($C96&lt;=O$4,1/$E$41,0),0)</f>
        <v>0</v>
      </c>
      <c r="P96" s="34">
        <f>IF(SUM($I96:O96)&lt;1,IF($C96&lt;=P$4,1/$E$41,0),0)</f>
        <v>0</v>
      </c>
      <c r="Q96" s="34">
        <f>IF(SUM($I96:P96)&lt;1,IF($C96&lt;=Q$4,1/$E$41,0),0)</f>
        <v>0</v>
      </c>
      <c r="R96" s="34">
        <f>IF(SUM($I96:Q96)&lt;1,IF($C96&lt;=R$4,1/$E$41,0),0)</f>
        <v>0</v>
      </c>
      <c r="S96" s="34">
        <f>IF(SUM($I96:R96)&lt;1,IF($C96&lt;=S$4,1/$E$41,0),0)</f>
        <v>0</v>
      </c>
      <c r="T96" s="34">
        <f>IF(SUM($I96:S96)&lt;1,IF($C96&lt;=T$4,1/$E$41,0),0)</f>
        <v>0</v>
      </c>
      <c r="U96" s="34">
        <f>IF(SUM($I96:T96)&lt;1,IF($C96&lt;=U$4,1/$E$41,0),0)</f>
        <v>0</v>
      </c>
      <c r="V96" s="34">
        <f>IF(SUM($I96:U96)&lt;1,IF($C96&lt;=V$4,1/$E$41,0),0)</f>
        <v>0</v>
      </c>
      <c r="W96" s="34">
        <f>IF(SUM($I96:V96)&lt;1,IF($C96&lt;=W$4,1/$E$41,0),0)</f>
        <v>0</v>
      </c>
      <c r="X96" s="34">
        <f>IF(SUM($I96:W96)&lt;1,IF($C96&lt;=X$4,1/$E$41,0),0)</f>
        <v>0</v>
      </c>
      <c r="Y96" s="34">
        <f>IF(SUM($I96:X96)&lt;1,IF($C96&lt;=Y$4,1/$E$41,0),0)</f>
        <v>0</v>
      </c>
      <c r="Z96" s="34">
        <f>IF(SUM($I96:Y96)&lt;1,IF($C96&lt;=Z$4,1/$E$41,0),0)</f>
        <v>0</v>
      </c>
      <c r="AA96" s="34">
        <f>IF(SUM($I96:Z96)&lt;1,IF($C96&lt;=AA$4,1/$E$41,0),0)</f>
        <v>0</v>
      </c>
      <c r="AB96" s="34">
        <f>IF(SUM($I96:AA96)&lt;1,IF($C96&lt;=AB$4,1/$E$41,0),0)</f>
        <v>0</v>
      </c>
      <c r="AC96" s="34">
        <f>IF(SUM($I96:AB96)&lt;1,IF($C96&lt;=AC$4,1/$E$41,0),0)</f>
        <v>0</v>
      </c>
      <c r="AD96" s="34">
        <f>IF(SUM($I96:AC96)&lt;1,IF($C96&lt;=AD$4,1/$E$41,0),0)</f>
        <v>0</v>
      </c>
      <c r="AE96" s="34">
        <f>IF(SUM($I96:AD96)&lt;1,IF($C96&lt;=AE$4,1/$E$41,0),0)</f>
        <v>0</v>
      </c>
      <c r="AF96" s="34">
        <f>IF(SUM($I96:AE96)&lt;1,IF($C96&lt;=AF$4,1/$E$41,0),0)</f>
        <v>0</v>
      </c>
      <c r="AG96" s="34">
        <f>IF(SUM($I96:AF96)&lt;1,IF($C96&lt;=AG$4,1/$E$41,0),0)</f>
        <v>0</v>
      </c>
      <c r="AH96" s="34">
        <f>IF(SUM($I96:AG96)&lt;1,IF($C96&lt;=AH$4,1/$E$41,0),0)</f>
        <v>0</v>
      </c>
      <c r="AI96" s="34">
        <f>IF(SUM($I96:AH96)&lt;1,IF($C96&lt;=AI$4,1/$E$41,0),0)</f>
        <v>0</v>
      </c>
      <c r="AJ96" s="34">
        <f>IF(SUM($I96:AI96)&lt;1,IF($C96&lt;=AJ$4,1/$E$41,0),0)</f>
        <v>0</v>
      </c>
      <c r="AK96" s="34">
        <f>IF(SUM($I96:AJ96)&lt;1,IF($C96&lt;=AK$4,1/$E$41,0),0)</f>
        <v>0</v>
      </c>
      <c r="AL96" s="34">
        <f>IF(SUM($I96:AK96)&lt;1,IF($C96&lt;=AL$4,1/$E$41,0),0)</f>
        <v>0</v>
      </c>
      <c r="AM96" s="34">
        <f>IF(SUM($I96:AL96)&lt;1,IF($C96&lt;=AM$4,1/$E$41,0),0)</f>
        <v>0</v>
      </c>
      <c r="AN96" s="34">
        <f>IF(SUM($I96:AM96)&lt;1,IF($C96&lt;=AN$4,1/$E$41,0),0)</f>
        <v>0</v>
      </c>
      <c r="AO96" s="34">
        <f>IF(SUM($I96:AN96)&lt;1,IF($C96&lt;=AO$4,1/$E$41,0),0)</f>
        <v>0</v>
      </c>
      <c r="AP96" s="34">
        <f>IF(SUM($I96:AO96)&lt;1,IF($C96&lt;=AP$4,1/$E$41,0),0)</f>
        <v>0</v>
      </c>
      <c r="AQ96" s="34">
        <f>IF(SUM($I96:AP96)&lt;1,IF($C96&lt;=AQ$4,1/$E$41,0),0)</f>
        <v>0</v>
      </c>
      <c r="AR96" s="34">
        <f>IF(SUM($I96:AQ96)&lt;1,IF($C96&lt;=AR$4,1/$E$41,0),0)</f>
        <v>0</v>
      </c>
      <c r="AS96" s="34">
        <f>IF(SUM($I96:AR96)&lt;1,IF($C96&lt;=AS$4,1/$E$41,0),0)</f>
        <v>0</v>
      </c>
      <c r="AT96" s="34">
        <f>IF(SUM($I96:AS96)&lt;1,IF($C96&lt;=AT$4,1/$E$41,0),0)</f>
        <v>0</v>
      </c>
      <c r="AU96" s="34">
        <f>IF(SUM($I96:AT96)&lt;1,IF($C96&lt;=AU$4,1/$E$41,0),0)</f>
        <v>0</v>
      </c>
      <c r="AV96" s="34">
        <f>IF(SUM($I96:AU96)&lt;1,IF($C96&lt;=AV$4,1/$E$41,0),0)</f>
        <v>0</v>
      </c>
      <c r="AW96" s="34">
        <f>IF(SUM($I96:AV96)&lt;1,IF($C96&lt;=AW$4,1/$E$41,0),0)</f>
        <v>0</v>
      </c>
      <c r="AX96" s="34">
        <f>IF(SUM($I96:AW96)&lt;1,IF($C96&lt;=AX$4,1/$E$41,0),0)</f>
        <v>0</v>
      </c>
      <c r="AY96" s="34">
        <f>IF(SUM($I96:AX96)&lt;1,IF($C96&lt;=AY$4,1/$E$41,0),0)</f>
        <v>0</v>
      </c>
      <c r="AZ96" s="34">
        <f>IF(SUM($I96:AY96)&lt;1,IF($C96&lt;=AZ$4,1/$E$41,0),0)</f>
        <v>0</v>
      </c>
      <c r="BA96" s="34">
        <f>IF(SUM($I96:AZ96)&lt;1,IF($C96&lt;=BA$4,1/$E$41,0),0)</f>
        <v>0</v>
      </c>
      <c r="BB96" s="34">
        <f>IF(SUM($I96:BA96)&lt;1,IF($C96&lt;=BB$4,1/$E$41,0),0)</f>
        <v>0</v>
      </c>
      <c r="BC96" s="34">
        <f>IF(SUM($I96:BB96)&lt;1,IF($C96&lt;=BC$4,1/$E$41,0),0)</f>
        <v>0</v>
      </c>
      <c r="BD96" s="34">
        <f>IF(SUM($I96:BC96)&lt;1,IF($C96&lt;=BD$4,1/$E$41,0),0)</f>
        <v>0</v>
      </c>
      <c r="BE96" s="34">
        <f>IF(SUM($I96:BD96)&lt;1,IF($C96&lt;=BE$4,1/$E$41,0),0)</f>
        <v>0</v>
      </c>
      <c r="BF96" s="34">
        <f>IF(SUM($I96:BE96)&lt;1,IF($C96&lt;=BF$4,1/$E$41,0),0)</f>
        <v>0</v>
      </c>
      <c r="BG96" s="34">
        <f>IF(SUM($I96:BF96)&lt;1,IF($C96&lt;=BG$4,1/$E$41,0),0)</f>
        <v>0</v>
      </c>
      <c r="BH96" s="34">
        <f>IF(SUM($I96:BG96)&lt;1,IF($C96&lt;=BH$4,1/$E$41,0),0)</f>
        <v>0</v>
      </c>
      <c r="BI96" s="34">
        <f>IF(SUM($I96:BH96)&lt;1,IF($C96&lt;=BI$4,1/$E$41,0),0)</f>
        <v>0.25</v>
      </c>
      <c r="BJ96" s="34">
        <f>IF(SUM($I96:BI96)&lt;1,IF($C96&lt;=BJ$4,1/$E$41,0),0)</f>
        <v>0.25</v>
      </c>
      <c r="BK96" s="34">
        <f>IF(SUM($I96:BJ96)&lt;1,IF($C96&lt;=BK$4,1/$E$41,0),0)</f>
        <v>0.25</v>
      </c>
      <c r="BL96" s="34">
        <f>IF(SUM($I96:BK96)&lt;1,IF($C96&lt;=BL$4,1/$E$41,0),0)</f>
        <v>0.25</v>
      </c>
      <c r="BM96" s="34">
        <f>IF(SUM($I96:BL96)&lt;1,IF($C96&lt;=BM$4,1/$E$41,0),0)</f>
        <v>0</v>
      </c>
      <c r="BN96" s="34">
        <f>IF(SUM($I96:BM96)&lt;1,IF($C96&lt;=BN$4,1/$E$41,0),0)</f>
        <v>0</v>
      </c>
      <c r="BO96" s="34">
        <f>IF(SUM($I96:BN96)&lt;1,IF($C96&lt;=BO$4,1/$E$41,0),0)</f>
        <v>0</v>
      </c>
      <c r="BP96" s="34">
        <f>IF(SUM($I96:BO96)&lt;1,IF($C96&lt;=BP$4,1/$E$41,0),0)</f>
        <v>0</v>
      </c>
      <c r="BQ96" s="34">
        <f>IF(SUM($I96:BP96)&lt;1,IF($C96&lt;=BQ$4,1/$E$41,0),0)</f>
        <v>0</v>
      </c>
      <c r="BR96" s="34">
        <f>IF(SUM($I96:BQ96)&lt;1,IF($C96&lt;=BR$4,1/$E$41,0),0)</f>
        <v>0</v>
      </c>
      <c r="BS96" s="34">
        <f>IF(SUM($I96:BR96)&lt;1,IF($C96&lt;=BS$4,1/$E$41,0),0)</f>
        <v>0</v>
      </c>
      <c r="BT96" s="34">
        <f>IF(SUM($I96:BS96)&lt;1,IF($C96&lt;=BT$4,1/$E$41,0),0)</f>
        <v>0</v>
      </c>
      <c r="BU96" s="34">
        <f>IF(SUM($I96:BT96)&lt;1,IF($C96&lt;=BU$4,1/$E$41,0),0)</f>
        <v>0</v>
      </c>
      <c r="BV96" s="34">
        <f>IF(SUM($I96:BU96)&lt;1,IF($C96&lt;=BV$4,1/$E$41,0),0)</f>
        <v>0</v>
      </c>
      <c r="BW96" s="34">
        <f>IF(SUM($I96:BV96)&lt;1,IF($C96&lt;=BW$4,1/$E$41,0),0)</f>
        <v>0</v>
      </c>
      <c r="BX96" s="34">
        <f>IF(SUM($I96:BW96)&lt;1,IF($C96&lt;=BX$4,1/$E$41,0),0)</f>
        <v>0</v>
      </c>
      <c r="BY96" s="34">
        <f>IF(SUM($I96:BX96)&lt;1,IF($C96&lt;=BY$4,1/$E$41,0),0)</f>
        <v>0</v>
      </c>
      <c r="BZ96" s="34">
        <f>IF(SUM($I96:BY96)&lt;1,IF($C96&lt;=BZ$4,1/$E$41,0),0)</f>
        <v>0</v>
      </c>
      <c r="CA96" s="34">
        <f>IF(SUM($I96:BZ96)&lt;1,IF($C96&lt;=CA$4,1/$E$41,0),0)</f>
        <v>0</v>
      </c>
      <c r="CB96" s="34">
        <f>IF(SUM($I96:CA96)&lt;1,IF($C96&lt;=CB$4,1/$E$41,0),0)</f>
        <v>0</v>
      </c>
      <c r="CC96" s="34">
        <f>IF(SUM($I96:CB96)&lt;1,IF($C96&lt;=CC$4,1/$E$41,0),0)</f>
        <v>0</v>
      </c>
      <c r="CD96" s="34">
        <f>IF(SUM($I96:CC96)&lt;1,IF($C96&lt;=CD$4,1/$E$41,0),0)</f>
        <v>0</v>
      </c>
      <c r="CE96" s="34">
        <f>IF(SUM($I96:CD96)&lt;1,IF($C96&lt;=CE$4,1/$E$41,0),0)</f>
        <v>0</v>
      </c>
      <c r="CF96" s="34">
        <f>IF(SUM($I96:CE96)&lt;1,IF($C96&lt;=CF$4,1/$E$41,0),0)</f>
        <v>0</v>
      </c>
      <c r="CG96" s="34">
        <f>IF(SUM($I96:CF96)&lt;1,IF($C96&lt;=CG$4,1/$E$41,0),0)</f>
        <v>0</v>
      </c>
      <c r="CH96" s="34">
        <f>IF(SUM($I96:CG96)&lt;1,IF($C96&lt;=CH$4,1/$E$41,0),0)</f>
        <v>0</v>
      </c>
      <c r="CI96" s="34">
        <f>IF(SUM($I96:CH96)&lt;1,IF($C96&lt;=CI$4,1/$E$41,0),0)</f>
        <v>0</v>
      </c>
      <c r="CJ96" s="34">
        <f>IF(SUM($I96:CI96)&lt;1,IF($C96&lt;=CJ$4,1/$E$41,0),0)</f>
        <v>0</v>
      </c>
      <c r="CK96" s="34">
        <f>IF(SUM($I96:CJ96)&lt;1,IF($C96&lt;=CK$4,1/$E$41,0),0)</f>
        <v>0</v>
      </c>
      <c r="CL96" s="34">
        <f>IF(SUM($I96:CK96)&lt;1,IF($C96&lt;=CL$4,1/$E$41,0),0)</f>
        <v>0</v>
      </c>
      <c r="CM96" s="34">
        <f>IF(SUM($I96:CL96)&lt;1,IF($C96&lt;=CM$4,1/$E$41,0),0)</f>
        <v>0</v>
      </c>
      <c r="CN96" s="34">
        <f>IF(SUM($I96:CM96)&lt;1,IF($C96&lt;=CN$4,1/$E$41,0),0)</f>
        <v>0</v>
      </c>
      <c r="CO96" s="34">
        <f>IF(SUM($I96:CN96)&lt;1,IF($C96&lt;=CO$4,1/$E$41,0),0)</f>
        <v>0</v>
      </c>
      <c r="CP96" s="34">
        <f>IF(SUM($I96:CO96)&lt;1,IF($C96&lt;=CP$4,1/$E$41,0),0)</f>
        <v>0</v>
      </c>
      <c r="CQ96" s="34">
        <f>IF(SUM($I96:CP96)&lt;1,IF($C96&lt;=CQ$4,1/$E$41,0),0)</f>
        <v>0</v>
      </c>
      <c r="CR96" s="34">
        <f>IF(SUM($I96:CQ96)&lt;1,IF($C96&lt;=CR$4,1/$E$41,0),0)</f>
        <v>0</v>
      </c>
      <c r="CS96" s="34">
        <f>IF(SUM($I96:CR96)&lt;1,IF($C96&lt;=CS$4,1/$E$41,0),0)</f>
        <v>0</v>
      </c>
      <c r="CT96" s="34">
        <f>IF(SUM($I96:CS96)&lt;1,IF($C96&lt;=CT$4,1/$E$41,0),0)</f>
        <v>0</v>
      </c>
      <c r="CU96" s="34">
        <f>IF(SUM($I96:CT96)&lt;1,IF($C96&lt;=CU$4,1/$E$41,0),0)</f>
        <v>0</v>
      </c>
      <c r="CV96" s="34">
        <f>IF(SUM($I96:CU96)&lt;1,IF($C96&lt;=CV$4,1/$E$41,0),0)</f>
        <v>0</v>
      </c>
      <c r="CW96" s="34">
        <f>IF(SUM($I96:CV96)&lt;1,IF($C96&lt;=CW$4,1/$E$41,0),0)</f>
        <v>0</v>
      </c>
      <c r="CX96" s="34">
        <f>IF(SUM($I96:CW96)&lt;1,IF($C96&lt;=CX$4,1/$E$41,0),0)</f>
        <v>0</v>
      </c>
      <c r="CY96" s="34">
        <f>IF(SUM($I96:CX96)&lt;1,IF($C96&lt;=CY$4,1/$E$41,0),0)</f>
        <v>0</v>
      </c>
      <c r="CZ96" s="34">
        <f>IF(SUM($I96:CY96)&lt;1,IF($C96&lt;=CZ$4,1/$E$41,0),0)</f>
        <v>0</v>
      </c>
      <c r="DA96" s="34">
        <f>IF(SUM($I96:CZ96)&lt;1,IF($C96&lt;=DA$4,1/$E$41,0),0)</f>
        <v>0</v>
      </c>
      <c r="DB96" s="34">
        <f>IF(SUM($I96:DA96)&lt;1,IF($C96&lt;=DB$4,1/$E$41,0),0)</f>
        <v>0</v>
      </c>
      <c r="DC96" s="34">
        <f>IF(SUM($I96:DB96)&lt;1,IF($C96&lt;=DC$4,1/$E$41,0),0)</f>
        <v>0</v>
      </c>
      <c r="DD96" s="34">
        <f>IF(SUM($I96:DC96)&lt;1,IF($C96&lt;=DD$4,1/$E$41,0),0)</f>
        <v>0</v>
      </c>
      <c r="DE96" s="34">
        <f>IF(SUM($I96:DD96)&lt;1,IF($C96&lt;=DE$4,1/$E$41,0),0)</f>
        <v>0</v>
      </c>
      <c r="DF96" s="34">
        <f>IF(SUM($I96:DE96)&lt;1,IF($C96&lt;=DF$4,1/$E$41,0),0)</f>
        <v>0</v>
      </c>
      <c r="DG96" s="34">
        <f>IF(SUM($I96:DF96)&lt;1,IF($C96&lt;=DG$4,1/$E$41,0),0)</f>
        <v>0</v>
      </c>
      <c r="DH96" s="34">
        <f>IF(SUM($I96:DG96)&lt;1,IF($C96&lt;=DH$4,1/$E$41,0),0)</f>
        <v>0</v>
      </c>
      <c r="DI96" s="34">
        <f>IF(SUM($I96:DH96)&lt;1,IF($C96&lt;=DI$4,1/$E$41,0),0)</f>
        <v>0</v>
      </c>
      <c r="DJ96" s="34">
        <f>IF(SUM($I96:DI96)&lt;1,IF($C96&lt;=DJ$4,1/$E$41,0),0)</f>
        <v>0</v>
      </c>
      <c r="DK96" s="34">
        <f>IF(SUM($I96:DJ96)&lt;1,IF($C96&lt;=DK$4,1/$E$41,0),0)</f>
        <v>0</v>
      </c>
      <c r="DL96" s="34">
        <f>IF(SUM($I96:DK96)&lt;1,IF($C96&lt;=DL$4,1/$E$41,0),0)</f>
        <v>0</v>
      </c>
      <c r="DM96" s="34">
        <f>IF(SUM($I96:DL96)&lt;1,IF($C96&lt;=DM$4,1/$E$41,0),0)</f>
        <v>0</v>
      </c>
    </row>
    <row r="97" spans="3:117" outlineLevel="1" x14ac:dyDescent="0.15">
      <c r="C97" s="50">
        <f t="shared" si="48"/>
        <v>53</v>
      </c>
      <c r="D97" s="5" t="s">
        <v>18</v>
      </c>
      <c r="E97" s="19">
        <f t="shared" si="49"/>
        <v>0</v>
      </c>
      <c r="I97" s="9"/>
      <c r="J97" s="34">
        <f>IF(SUM($I97:I97)&lt;1,IF($C97&lt;=J$4,1/$E$41,0),0)</f>
        <v>0</v>
      </c>
      <c r="K97" s="34">
        <f>IF(SUM($I97:J97)&lt;1,IF($C97&lt;=K$4,1/$E$41,0),0)</f>
        <v>0</v>
      </c>
      <c r="L97" s="34">
        <f>IF(SUM($I97:K97)&lt;1,IF($C97&lt;=L$4,1/$E$41,0),0)</f>
        <v>0</v>
      </c>
      <c r="M97" s="34">
        <f>IF(SUM($I97:L97)&lt;1,IF($C97&lt;=M$4,1/$E$41,0),0)</f>
        <v>0</v>
      </c>
      <c r="N97" s="34">
        <f>IF(SUM($I97:M97)&lt;1,IF($C97&lt;=N$4,1/$E$41,0),0)</f>
        <v>0</v>
      </c>
      <c r="O97" s="34">
        <f>IF(SUM($I97:N97)&lt;1,IF($C97&lt;=O$4,1/$E$41,0),0)</f>
        <v>0</v>
      </c>
      <c r="P97" s="34">
        <f>IF(SUM($I97:O97)&lt;1,IF($C97&lt;=P$4,1/$E$41,0),0)</f>
        <v>0</v>
      </c>
      <c r="Q97" s="34">
        <f>IF(SUM($I97:P97)&lt;1,IF($C97&lt;=Q$4,1/$E$41,0),0)</f>
        <v>0</v>
      </c>
      <c r="R97" s="34">
        <f>IF(SUM($I97:Q97)&lt;1,IF($C97&lt;=R$4,1/$E$41,0),0)</f>
        <v>0</v>
      </c>
      <c r="S97" s="34">
        <f>IF(SUM($I97:R97)&lt;1,IF($C97&lt;=S$4,1/$E$41,0),0)</f>
        <v>0</v>
      </c>
      <c r="T97" s="34">
        <f>IF(SUM($I97:S97)&lt;1,IF($C97&lt;=T$4,1/$E$41,0),0)</f>
        <v>0</v>
      </c>
      <c r="U97" s="34">
        <f>IF(SUM($I97:T97)&lt;1,IF($C97&lt;=U$4,1/$E$41,0),0)</f>
        <v>0</v>
      </c>
      <c r="V97" s="34">
        <f>IF(SUM($I97:U97)&lt;1,IF($C97&lt;=V$4,1/$E$41,0),0)</f>
        <v>0</v>
      </c>
      <c r="W97" s="34">
        <f>IF(SUM($I97:V97)&lt;1,IF($C97&lt;=W$4,1/$E$41,0),0)</f>
        <v>0</v>
      </c>
      <c r="X97" s="34">
        <f>IF(SUM($I97:W97)&lt;1,IF($C97&lt;=X$4,1/$E$41,0),0)</f>
        <v>0</v>
      </c>
      <c r="Y97" s="34">
        <f>IF(SUM($I97:X97)&lt;1,IF($C97&lt;=Y$4,1/$E$41,0),0)</f>
        <v>0</v>
      </c>
      <c r="Z97" s="34">
        <f>IF(SUM($I97:Y97)&lt;1,IF($C97&lt;=Z$4,1/$E$41,0),0)</f>
        <v>0</v>
      </c>
      <c r="AA97" s="34">
        <f>IF(SUM($I97:Z97)&lt;1,IF($C97&lt;=AA$4,1/$E$41,0),0)</f>
        <v>0</v>
      </c>
      <c r="AB97" s="34">
        <f>IF(SUM($I97:AA97)&lt;1,IF($C97&lt;=AB$4,1/$E$41,0),0)</f>
        <v>0</v>
      </c>
      <c r="AC97" s="34">
        <f>IF(SUM($I97:AB97)&lt;1,IF($C97&lt;=AC$4,1/$E$41,0),0)</f>
        <v>0</v>
      </c>
      <c r="AD97" s="34">
        <f>IF(SUM($I97:AC97)&lt;1,IF($C97&lt;=AD$4,1/$E$41,0),0)</f>
        <v>0</v>
      </c>
      <c r="AE97" s="34">
        <f>IF(SUM($I97:AD97)&lt;1,IF($C97&lt;=AE$4,1/$E$41,0),0)</f>
        <v>0</v>
      </c>
      <c r="AF97" s="34">
        <f>IF(SUM($I97:AE97)&lt;1,IF($C97&lt;=AF$4,1/$E$41,0),0)</f>
        <v>0</v>
      </c>
      <c r="AG97" s="34">
        <f>IF(SUM($I97:AF97)&lt;1,IF($C97&lt;=AG$4,1/$E$41,0),0)</f>
        <v>0</v>
      </c>
      <c r="AH97" s="34">
        <f>IF(SUM($I97:AG97)&lt;1,IF($C97&lt;=AH$4,1/$E$41,0),0)</f>
        <v>0</v>
      </c>
      <c r="AI97" s="34">
        <f>IF(SUM($I97:AH97)&lt;1,IF($C97&lt;=AI$4,1/$E$41,0),0)</f>
        <v>0</v>
      </c>
      <c r="AJ97" s="34">
        <f>IF(SUM($I97:AI97)&lt;1,IF($C97&lt;=AJ$4,1/$E$41,0),0)</f>
        <v>0</v>
      </c>
      <c r="AK97" s="34">
        <f>IF(SUM($I97:AJ97)&lt;1,IF($C97&lt;=AK$4,1/$E$41,0),0)</f>
        <v>0</v>
      </c>
      <c r="AL97" s="34">
        <f>IF(SUM($I97:AK97)&lt;1,IF($C97&lt;=AL$4,1/$E$41,0),0)</f>
        <v>0</v>
      </c>
      <c r="AM97" s="34">
        <f>IF(SUM($I97:AL97)&lt;1,IF($C97&lt;=AM$4,1/$E$41,0),0)</f>
        <v>0</v>
      </c>
      <c r="AN97" s="34">
        <f>IF(SUM($I97:AM97)&lt;1,IF($C97&lt;=AN$4,1/$E$41,0),0)</f>
        <v>0</v>
      </c>
      <c r="AO97" s="34">
        <f>IF(SUM($I97:AN97)&lt;1,IF($C97&lt;=AO$4,1/$E$41,0),0)</f>
        <v>0</v>
      </c>
      <c r="AP97" s="34">
        <f>IF(SUM($I97:AO97)&lt;1,IF($C97&lt;=AP$4,1/$E$41,0),0)</f>
        <v>0</v>
      </c>
      <c r="AQ97" s="34">
        <f>IF(SUM($I97:AP97)&lt;1,IF($C97&lt;=AQ$4,1/$E$41,0),0)</f>
        <v>0</v>
      </c>
      <c r="AR97" s="34">
        <f>IF(SUM($I97:AQ97)&lt;1,IF($C97&lt;=AR$4,1/$E$41,0),0)</f>
        <v>0</v>
      </c>
      <c r="AS97" s="34">
        <f>IF(SUM($I97:AR97)&lt;1,IF($C97&lt;=AS$4,1/$E$41,0),0)</f>
        <v>0</v>
      </c>
      <c r="AT97" s="34">
        <f>IF(SUM($I97:AS97)&lt;1,IF($C97&lt;=AT$4,1/$E$41,0),0)</f>
        <v>0</v>
      </c>
      <c r="AU97" s="34">
        <f>IF(SUM($I97:AT97)&lt;1,IF($C97&lt;=AU$4,1/$E$41,0),0)</f>
        <v>0</v>
      </c>
      <c r="AV97" s="34">
        <f>IF(SUM($I97:AU97)&lt;1,IF($C97&lt;=AV$4,1/$E$41,0),0)</f>
        <v>0</v>
      </c>
      <c r="AW97" s="34">
        <f>IF(SUM($I97:AV97)&lt;1,IF($C97&lt;=AW$4,1/$E$41,0),0)</f>
        <v>0</v>
      </c>
      <c r="AX97" s="34">
        <f>IF(SUM($I97:AW97)&lt;1,IF($C97&lt;=AX$4,1/$E$41,0),0)</f>
        <v>0</v>
      </c>
      <c r="AY97" s="34">
        <f>IF(SUM($I97:AX97)&lt;1,IF($C97&lt;=AY$4,1/$E$41,0),0)</f>
        <v>0</v>
      </c>
      <c r="AZ97" s="34">
        <f>IF(SUM($I97:AY97)&lt;1,IF($C97&lt;=AZ$4,1/$E$41,0),0)</f>
        <v>0</v>
      </c>
      <c r="BA97" s="34">
        <f>IF(SUM($I97:AZ97)&lt;1,IF($C97&lt;=BA$4,1/$E$41,0),0)</f>
        <v>0</v>
      </c>
      <c r="BB97" s="34">
        <f>IF(SUM($I97:BA97)&lt;1,IF($C97&lt;=BB$4,1/$E$41,0),0)</f>
        <v>0</v>
      </c>
      <c r="BC97" s="34">
        <f>IF(SUM($I97:BB97)&lt;1,IF($C97&lt;=BC$4,1/$E$41,0),0)</f>
        <v>0</v>
      </c>
      <c r="BD97" s="34">
        <f>IF(SUM($I97:BC97)&lt;1,IF($C97&lt;=BD$4,1/$E$41,0),0)</f>
        <v>0</v>
      </c>
      <c r="BE97" s="34">
        <f>IF(SUM($I97:BD97)&lt;1,IF($C97&lt;=BE$4,1/$E$41,0),0)</f>
        <v>0</v>
      </c>
      <c r="BF97" s="34">
        <f>IF(SUM($I97:BE97)&lt;1,IF($C97&lt;=BF$4,1/$E$41,0),0)</f>
        <v>0</v>
      </c>
      <c r="BG97" s="34">
        <f>IF(SUM($I97:BF97)&lt;1,IF($C97&lt;=BG$4,1/$E$41,0),0)</f>
        <v>0</v>
      </c>
      <c r="BH97" s="34">
        <f>IF(SUM($I97:BG97)&lt;1,IF($C97&lt;=BH$4,1/$E$41,0),0)</f>
        <v>0</v>
      </c>
      <c r="BI97" s="34">
        <f>IF(SUM($I97:BH97)&lt;1,IF($C97&lt;=BI$4,1/$E$41,0),0)</f>
        <v>0</v>
      </c>
      <c r="BJ97" s="34">
        <f>IF(SUM($I97:BI97)&lt;1,IF($C97&lt;=BJ$4,1/$E$41,0),0)</f>
        <v>0.25</v>
      </c>
      <c r="BK97" s="34">
        <f>IF(SUM($I97:BJ97)&lt;1,IF($C97&lt;=BK$4,1/$E$41,0),0)</f>
        <v>0.25</v>
      </c>
      <c r="BL97" s="34">
        <f>IF(SUM($I97:BK97)&lt;1,IF($C97&lt;=BL$4,1/$E$41,0),0)</f>
        <v>0.25</v>
      </c>
      <c r="BM97" s="34">
        <f>IF(SUM($I97:BL97)&lt;1,IF($C97&lt;=BM$4,1/$E$41,0),0)</f>
        <v>0.25</v>
      </c>
      <c r="BN97" s="34">
        <f>IF(SUM($I97:BM97)&lt;1,IF($C97&lt;=BN$4,1/$E$41,0),0)</f>
        <v>0</v>
      </c>
      <c r="BO97" s="34">
        <f>IF(SUM($I97:BN97)&lt;1,IF($C97&lt;=BO$4,1/$E$41,0),0)</f>
        <v>0</v>
      </c>
      <c r="BP97" s="34">
        <f>IF(SUM($I97:BO97)&lt;1,IF($C97&lt;=BP$4,1/$E$41,0),0)</f>
        <v>0</v>
      </c>
      <c r="BQ97" s="34">
        <f>IF(SUM($I97:BP97)&lt;1,IF($C97&lt;=BQ$4,1/$E$41,0),0)</f>
        <v>0</v>
      </c>
      <c r="BR97" s="34">
        <f>IF(SUM($I97:BQ97)&lt;1,IF($C97&lt;=BR$4,1/$E$41,0),0)</f>
        <v>0</v>
      </c>
      <c r="BS97" s="34">
        <f>IF(SUM($I97:BR97)&lt;1,IF($C97&lt;=BS$4,1/$E$41,0),0)</f>
        <v>0</v>
      </c>
      <c r="BT97" s="34">
        <f>IF(SUM($I97:BS97)&lt;1,IF($C97&lt;=BT$4,1/$E$41,0),0)</f>
        <v>0</v>
      </c>
      <c r="BU97" s="34">
        <f>IF(SUM($I97:BT97)&lt;1,IF($C97&lt;=BU$4,1/$E$41,0),0)</f>
        <v>0</v>
      </c>
      <c r="BV97" s="34">
        <f>IF(SUM($I97:BU97)&lt;1,IF($C97&lt;=BV$4,1/$E$41,0),0)</f>
        <v>0</v>
      </c>
      <c r="BW97" s="34">
        <f>IF(SUM($I97:BV97)&lt;1,IF($C97&lt;=BW$4,1/$E$41,0),0)</f>
        <v>0</v>
      </c>
      <c r="BX97" s="34">
        <f>IF(SUM($I97:BW97)&lt;1,IF($C97&lt;=BX$4,1/$E$41,0),0)</f>
        <v>0</v>
      </c>
      <c r="BY97" s="34">
        <f>IF(SUM($I97:BX97)&lt;1,IF($C97&lt;=BY$4,1/$E$41,0),0)</f>
        <v>0</v>
      </c>
      <c r="BZ97" s="34">
        <f>IF(SUM($I97:BY97)&lt;1,IF($C97&lt;=BZ$4,1/$E$41,0),0)</f>
        <v>0</v>
      </c>
      <c r="CA97" s="34">
        <f>IF(SUM($I97:BZ97)&lt;1,IF($C97&lt;=CA$4,1/$E$41,0),0)</f>
        <v>0</v>
      </c>
      <c r="CB97" s="34">
        <f>IF(SUM($I97:CA97)&lt;1,IF($C97&lt;=CB$4,1/$E$41,0),0)</f>
        <v>0</v>
      </c>
      <c r="CC97" s="34">
        <f>IF(SUM($I97:CB97)&lt;1,IF($C97&lt;=CC$4,1/$E$41,0),0)</f>
        <v>0</v>
      </c>
      <c r="CD97" s="34">
        <f>IF(SUM($I97:CC97)&lt;1,IF($C97&lt;=CD$4,1/$E$41,0),0)</f>
        <v>0</v>
      </c>
      <c r="CE97" s="34">
        <f>IF(SUM($I97:CD97)&lt;1,IF($C97&lt;=CE$4,1/$E$41,0),0)</f>
        <v>0</v>
      </c>
      <c r="CF97" s="34">
        <f>IF(SUM($I97:CE97)&lt;1,IF($C97&lt;=CF$4,1/$E$41,0),0)</f>
        <v>0</v>
      </c>
      <c r="CG97" s="34">
        <f>IF(SUM($I97:CF97)&lt;1,IF($C97&lt;=CG$4,1/$E$41,0),0)</f>
        <v>0</v>
      </c>
      <c r="CH97" s="34">
        <f>IF(SUM($I97:CG97)&lt;1,IF($C97&lt;=CH$4,1/$E$41,0),0)</f>
        <v>0</v>
      </c>
      <c r="CI97" s="34">
        <f>IF(SUM($I97:CH97)&lt;1,IF($C97&lt;=CI$4,1/$E$41,0),0)</f>
        <v>0</v>
      </c>
      <c r="CJ97" s="34">
        <f>IF(SUM($I97:CI97)&lt;1,IF($C97&lt;=CJ$4,1/$E$41,0),0)</f>
        <v>0</v>
      </c>
      <c r="CK97" s="34">
        <f>IF(SUM($I97:CJ97)&lt;1,IF($C97&lt;=CK$4,1/$E$41,0),0)</f>
        <v>0</v>
      </c>
      <c r="CL97" s="34">
        <f>IF(SUM($I97:CK97)&lt;1,IF($C97&lt;=CL$4,1/$E$41,0),0)</f>
        <v>0</v>
      </c>
      <c r="CM97" s="34">
        <f>IF(SUM($I97:CL97)&lt;1,IF($C97&lt;=CM$4,1/$E$41,0),0)</f>
        <v>0</v>
      </c>
      <c r="CN97" s="34">
        <f>IF(SUM($I97:CM97)&lt;1,IF($C97&lt;=CN$4,1/$E$41,0),0)</f>
        <v>0</v>
      </c>
      <c r="CO97" s="34">
        <f>IF(SUM($I97:CN97)&lt;1,IF($C97&lt;=CO$4,1/$E$41,0),0)</f>
        <v>0</v>
      </c>
      <c r="CP97" s="34">
        <f>IF(SUM($I97:CO97)&lt;1,IF($C97&lt;=CP$4,1/$E$41,0),0)</f>
        <v>0</v>
      </c>
      <c r="CQ97" s="34">
        <f>IF(SUM($I97:CP97)&lt;1,IF($C97&lt;=CQ$4,1/$E$41,0),0)</f>
        <v>0</v>
      </c>
      <c r="CR97" s="34">
        <f>IF(SUM($I97:CQ97)&lt;1,IF($C97&lt;=CR$4,1/$E$41,0),0)</f>
        <v>0</v>
      </c>
      <c r="CS97" s="34">
        <f>IF(SUM($I97:CR97)&lt;1,IF($C97&lt;=CS$4,1/$E$41,0),0)</f>
        <v>0</v>
      </c>
      <c r="CT97" s="34">
        <f>IF(SUM($I97:CS97)&lt;1,IF($C97&lt;=CT$4,1/$E$41,0),0)</f>
        <v>0</v>
      </c>
      <c r="CU97" s="34">
        <f>IF(SUM($I97:CT97)&lt;1,IF($C97&lt;=CU$4,1/$E$41,0),0)</f>
        <v>0</v>
      </c>
      <c r="CV97" s="34">
        <f>IF(SUM($I97:CU97)&lt;1,IF($C97&lt;=CV$4,1/$E$41,0),0)</f>
        <v>0</v>
      </c>
      <c r="CW97" s="34">
        <f>IF(SUM($I97:CV97)&lt;1,IF($C97&lt;=CW$4,1/$E$41,0),0)</f>
        <v>0</v>
      </c>
      <c r="CX97" s="34">
        <f>IF(SUM($I97:CW97)&lt;1,IF($C97&lt;=CX$4,1/$E$41,0),0)</f>
        <v>0</v>
      </c>
      <c r="CY97" s="34">
        <f>IF(SUM($I97:CX97)&lt;1,IF($C97&lt;=CY$4,1/$E$41,0),0)</f>
        <v>0</v>
      </c>
      <c r="CZ97" s="34">
        <f>IF(SUM($I97:CY97)&lt;1,IF($C97&lt;=CZ$4,1/$E$41,0),0)</f>
        <v>0</v>
      </c>
      <c r="DA97" s="34">
        <f>IF(SUM($I97:CZ97)&lt;1,IF($C97&lt;=DA$4,1/$E$41,0),0)</f>
        <v>0</v>
      </c>
      <c r="DB97" s="34">
        <f>IF(SUM($I97:DA97)&lt;1,IF($C97&lt;=DB$4,1/$E$41,0),0)</f>
        <v>0</v>
      </c>
      <c r="DC97" s="34">
        <f>IF(SUM($I97:DB97)&lt;1,IF($C97&lt;=DC$4,1/$E$41,0),0)</f>
        <v>0</v>
      </c>
      <c r="DD97" s="34">
        <f>IF(SUM($I97:DC97)&lt;1,IF($C97&lt;=DD$4,1/$E$41,0),0)</f>
        <v>0</v>
      </c>
      <c r="DE97" s="34">
        <f>IF(SUM($I97:DD97)&lt;1,IF($C97&lt;=DE$4,1/$E$41,0),0)</f>
        <v>0</v>
      </c>
      <c r="DF97" s="34">
        <f>IF(SUM($I97:DE97)&lt;1,IF($C97&lt;=DF$4,1/$E$41,0),0)</f>
        <v>0</v>
      </c>
      <c r="DG97" s="34">
        <f>IF(SUM($I97:DF97)&lt;1,IF($C97&lt;=DG$4,1/$E$41,0),0)</f>
        <v>0</v>
      </c>
      <c r="DH97" s="34">
        <f>IF(SUM($I97:DG97)&lt;1,IF($C97&lt;=DH$4,1/$E$41,0),0)</f>
        <v>0</v>
      </c>
      <c r="DI97" s="34">
        <f>IF(SUM($I97:DH97)&lt;1,IF($C97&lt;=DI$4,1/$E$41,0),0)</f>
        <v>0</v>
      </c>
      <c r="DJ97" s="34">
        <f>IF(SUM($I97:DI97)&lt;1,IF($C97&lt;=DJ$4,1/$E$41,0),0)</f>
        <v>0</v>
      </c>
      <c r="DK97" s="34">
        <f>IF(SUM($I97:DJ97)&lt;1,IF($C97&lt;=DK$4,1/$E$41,0),0)</f>
        <v>0</v>
      </c>
      <c r="DL97" s="34">
        <f>IF(SUM($I97:DK97)&lt;1,IF($C97&lt;=DL$4,1/$E$41,0),0)</f>
        <v>0</v>
      </c>
      <c r="DM97" s="34">
        <f>IF(SUM($I97:DL97)&lt;1,IF($C97&lt;=DM$4,1/$E$41,0),0)</f>
        <v>0</v>
      </c>
    </row>
    <row r="98" spans="3:117" outlineLevel="1" x14ac:dyDescent="0.15">
      <c r="C98" s="50">
        <f t="shared" si="48"/>
        <v>54</v>
      </c>
      <c r="D98" s="5" t="s">
        <v>18</v>
      </c>
      <c r="E98" s="19">
        <f t="shared" si="49"/>
        <v>0</v>
      </c>
      <c r="I98" s="9"/>
      <c r="J98" s="34">
        <f>IF(SUM($I98:I98)&lt;1,IF($C98&lt;=J$4,1/$E$41,0),0)</f>
        <v>0</v>
      </c>
      <c r="K98" s="34">
        <f>IF(SUM($I98:J98)&lt;1,IF($C98&lt;=K$4,1/$E$41,0),0)</f>
        <v>0</v>
      </c>
      <c r="L98" s="34">
        <f>IF(SUM($I98:K98)&lt;1,IF($C98&lt;=L$4,1/$E$41,0),0)</f>
        <v>0</v>
      </c>
      <c r="M98" s="34">
        <f>IF(SUM($I98:L98)&lt;1,IF($C98&lt;=M$4,1/$E$41,0),0)</f>
        <v>0</v>
      </c>
      <c r="N98" s="34">
        <f>IF(SUM($I98:M98)&lt;1,IF($C98&lt;=N$4,1/$E$41,0),0)</f>
        <v>0</v>
      </c>
      <c r="O98" s="34">
        <f>IF(SUM($I98:N98)&lt;1,IF($C98&lt;=O$4,1/$E$41,0),0)</f>
        <v>0</v>
      </c>
      <c r="P98" s="34">
        <f>IF(SUM($I98:O98)&lt;1,IF($C98&lt;=P$4,1/$E$41,0),0)</f>
        <v>0</v>
      </c>
      <c r="Q98" s="34">
        <f>IF(SUM($I98:P98)&lt;1,IF($C98&lt;=Q$4,1/$E$41,0),0)</f>
        <v>0</v>
      </c>
      <c r="R98" s="34">
        <f>IF(SUM($I98:Q98)&lt;1,IF($C98&lt;=R$4,1/$E$41,0),0)</f>
        <v>0</v>
      </c>
      <c r="S98" s="34">
        <f>IF(SUM($I98:R98)&lt;1,IF($C98&lt;=S$4,1/$E$41,0),0)</f>
        <v>0</v>
      </c>
      <c r="T98" s="34">
        <f>IF(SUM($I98:S98)&lt;1,IF($C98&lt;=T$4,1/$E$41,0),0)</f>
        <v>0</v>
      </c>
      <c r="U98" s="34">
        <f>IF(SUM($I98:T98)&lt;1,IF($C98&lt;=U$4,1/$E$41,0),0)</f>
        <v>0</v>
      </c>
      <c r="V98" s="34">
        <f>IF(SUM($I98:U98)&lt;1,IF($C98&lt;=V$4,1/$E$41,0),0)</f>
        <v>0</v>
      </c>
      <c r="W98" s="34">
        <f>IF(SUM($I98:V98)&lt;1,IF($C98&lt;=W$4,1/$E$41,0),0)</f>
        <v>0</v>
      </c>
      <c r="X98" s="34">
        <f>IF(SUM($I98:W98)&lt;1,IF($C98&lt;=X$4,1/$E$41,0),0)</f>
        <v>0</v>
      </c>
      <c r="Y98" s="34">
        <f>IF(SUM($I98:X98)&lt;1,IF($C98&lt;=Y$4,1/$E$41,0),0)</f>
        <v>0</v>
      </c>
      <c r="Z98" s="34">
        <f>IF(SUM($I98:Y98)&lt;1,IF($C98&lt;=Z$4,1/$E$41,0),0)</f>
        <v>0</v>
      </c>
      <c r="AA98" s="34">
        <f>IF(SUM($I98:Z98)&lt;1,IF($C98&lt;=AA$4,1/$E$41,0),0)</f>
        <v>0</v>
      </c>
      <c r="AB98" s="34">
        <f>IF(SUM($I98:AA98)&lt;1,IF($C98&lt;=AB$4,1/$E$41,0),0)</f>
        <v>0</v>
      </c>
      <c r="AC98" s="34">
        <f>IF(SUM($I98:AB98)&lt;1,IF($C98&lt;=AC$4,1/$E$41,0),0)</f>
        <v>0</v>
      </c>
      <c r="AD98" s="34">
        <f>IF(SUM($I98:AC98)&lt;1,IF($C98&lt;=AD$4,1/$E$41,0),0)</f>
        <v>0</v>
      </c>
      <c r="AE98" s="34">
        <f>IF(SUM($I98:AD98)&lt;1,IF($C98&lt;=AE$4,1/$E$41,0),0)</f>
        <v>0</v>
      </c>
      <c r="AF98" s="34">
        <f>IF(SUM($I98:AE98)&lt;1,IF($C98&lt;=AF$4,1/$E$41,0),0)</f>
        <v>0</v>
      </c>
      <c r="AG98" s="34">
        <f>IF(SUM($I98:AF98)&lt;1,IF($C98&lt;=AG$4,1/$E$41,0),0)</f>
        <v>0</v>
      </c>
      <c r="AH98" s="34">
        <f>IF(SUM($I98:AG98)&lt;1,IF($C98&lt;=AH$4,1/$E$41,0),0)</f>
        <v>0</v>
      </c>
      <c r="AI98" s="34">
        <f>IF(SUM($I98:AH98)&lt;1,IF($C98&lt;=AI$4,1/$E$41,0),0)</f>
        <v>0</v>
      </c>
      <c r="AJ98" s="34">
        <f>IF(SUM($I98:AI98)&lt;1,IF($C98&lt;=AJ$4,1/$E$41,0),0)</f>
        <v>0</v>
      </c>
      <c r="AK98" s="34">
        <f>IF(SUM($I98:AJ98)&lt;1,IF($C98&lt;=AK$4,1/$E$41,0),0)</f>
        <v>0</v>
      </c>
      <c r="AL98" s="34">
        <f>IF(SUM($I98:AK98)&lt;1,IF($C98&lt;=AL$4,1/$E$41,0),0)</f>
        <v>0</v>
      </c>
      <c r="AM98" s="34">
        <f>IF(SUM($I98:AL98)&lt;1,IF($C98&lt;=AM$4,1/$E$41,0),0)</f>
        <v>0</v>
      </c>
      <c r="AN98" s="34">
        <f>IF(SUM($I98:AM98)&lt;1,IF($C98&lt;=AN$4,1/$E$41,0),0)</f>
        <v>0</v>
      </c>
      <c r="AO98" s="34">
        <f>IF(SUM($I98:AN98)&lt;1,IF($C98&lt;=AO$4,1/$E$41,0),0)</f>
        <v>0</v>
      </c>
      <c r="AP98" s="34">
        <f>IF(SUM($I98:AO98)&lt;1,IF($C98&lt;=AP$4,1/$E$41,0),0)</f>
        <v>0</v>
      </c>
      <c r="AQ98" s="34">
        <f>IF(SUM($I98:AP98)&lt;1,IF($C98&lt;=AQ$4,1/$E$41,0),0)</f>
        <v>0</v>
      </c>
      <c r="AR98" s="34">
        <f>IF(SUM($I98:AQ98)&lt;1,IF($C98&lt;=AR$4,1/$E$41,0),0)</f>
        <v>0</v>
      </c>
      <c r="AS98" s="34">
        <f>IF(SUM($I98:AR98)&lt;1,IF($C98&lt;=AS$4,1/$E$41,0),0)</f>
        <v>0</v>
      </c>
      <c r="AT98" s="34">
        <f>IF(SUM($I98:AS98)&lt;1,IF($C98&lt;=AT$4,1/$E$41,0),0)</f>
        <v>0</v>
      </c>
      <c r="AU98" s="34">
        <f>IF(SUM($I98:AT98)&lt;1,IF($C98&lt;=AU$4,1/$E$41,0),0)</f>
        <v>0</v>
      </c>
      <c r="AV98" s="34">
        <f>IF(SUM($I98:AU98)&lt;1,IF($C98&lt;=AV$4,1/$E$41,0),0)</f>
        <v>0</v>
      </c>
      <c r="AW98" s="34">
        <f>IF(SUM($I98:AV98)&lt;1,IF($C98&lt;=AW$4,1/$E$41,0),0)</f>
        <v>0</v>
      </c>
      <c r="AX98" s="34">
        <f>IF(SUM($I98:AW98)&lt;1,IF($C98&lt;=AX$4,1/$E$41,0),0)</f>
        <v>0</v>
      </c>
      <c r="AY98" s="34">
        <f>IF(SUM($I98:AX98)&lt;1,IF($C98&lt;=AY$4,1/$E$41,0),0)</f>
        <v>0</v>
      </c>
      <c r="AZ98" s="34">
        <f>IF(SUM($I98:AY98)&lt;1,IF($C98&lt;=AZ$4,1/$E$41,0),0)</f>
        <v>0</v>
      </c>
      <c r="BA98" s="34">
        <f>IF(SUM($I98:AZ98)&lt;1,IF($C98&lt;=BA$4,1/$E$41,0),0)</f>
        <v>0</v>
      </c>
      <c r="BB98" s="34">
        <f>IF(SUM($I98:BA98)&lt;1,IF($C98&lt;=BB$4,1/$E$41,0),0)</f>
        <v>0</v>
      </c>
      <c r="BC98" s="34">
        <f>IF(SUM($I98:BB98)&lt;1,IF($C98&lt;=BC$4,1/$E$41,0),0)</f>
        <v>0</v>
      </c>
      <c r="BD98" s="34">
        <f>IF(SUM($I98:BC98)&lt;1,IF($C98&lt;=BD$4,1/$E$41,0),0)</f>
        <v>0</v>
      </c>
      <c r="BE98" s="34">
        <f>IF(SUM($I98:BD98)&lt;1,IF($C98&lt;=BE$4,1/$E$41,0),0)</f>
        <v>0</v>
      </c>
      <c r="BF98" s="34">
        <f>IF(SUM($I98:BE98)&lt;1,IF($C98&lt;=BF$4,1/$E$41,0),0)</f>
        <v>0</v>
      </c>
      <c r="BG98" s="34">
        <f>IF(SUM($I98:BF98)&lt;1,IF($C98&lt;=BG$4,1/$E$41,0),0)</f>
        <v>0</v>
      </c>
      <c r="BH98" s="34">
        <f>IF(SUM($I98:BG98)&lt;1,IF($C98&lt;=BH$4,1/$E$41,0),0)</f>
        <v>0</v>
      </c>
      <c r="BI98" s="34">
        <f>IF(SUM($I98:BH98)&lt;1,IF($C98&lt;=BI$4,1/$E$41,0),0)</f>
        <v>0</v>
      </c>
      <c r="BJ98" s="34">
        <f>IF(SUM($I98:BI98)&lt;1,IF($C98&lt;=BJ$4,1/$E$41,0),0)</f>
        <v>0</v>
      </c>
      <c r="BK98" s="34">
        <f>IF(SUM($I98:BJ98)&lt;1,IF($C98&lt;=BK$4,1/$E$41,0),0)</f>
        <v>0.25</v>
      </c>
      <c r="BL98" s="34">
        <f>IF(SUM($I98:BK98)&lt;1,IF($C98&lt;=BL$4,1/$E$41,0),0)</f>
        <v>0.25</v>
      </c>
      <c r="BM98" s="34">
        <f>IF(SUM($I98:BL98)&lt;1,IF($C98&lt;=BM$4,1/$E$41,0),0)</f>
        <v>0.25</v>
      </c>
      <c r="BN98" s="34">
        <f>IF(SUM($I98:BM98)&lt;1,IF($C98&lt;=BN$4,1/$E$41,0),0)</f>
        <v>0.25</v>
      </c>
      <c r="BO98" s="34">
        <f>IF(SUM($I98:BN98)&lt;1,IF($C98&lt;=BO$4,1/$E$41,0),0)</f>
        <v>0</v>
      </c>
      <c r="BP98" s="34">
        <f>IF(SUM($I98:BO98)&lt;1,IF($C98&lt;=BP$4,1/$E$41,0),0)</f>
        <v>0</v>
      </c>
      <c r="BQ98" s="34">
        <f>IF(SUM($I98:BP98)&lt;1,IF($C98&lt;=BQ$4,1/$E$41,0),0)</f>
        <v>0</v>
      </c>
      <c r="BR98" s="34">
        <f>IF(SUM($I98:BQ98)&lt;1,IF($C98&lt;=BR$4,1/$E$41,0),0)</f>
        <v>0</v>
      </c>
      <c r="BS98" s="34">
        <f>IF(SUM($I98:BR98)&lt;1,IF($C98&lt;=BS$4,1/$E$41,0),0)</f>
        <v>0</v>
      </c>
      <c r="BT98" s="34">
        <f>IF(SUM($I98:BS98)&lt;1,IF($C98&lt;=BT$4,1/$E$41,0),0)</f>
        <v>0</v>
      </c>
      <c r="BU98" s="34">
        <f>IF(SUM($I98:BT98)&lt;1,IF($C98&lt;=BU$4,1/$E$41,0),0)</f>
        <v>0</v>
      </c>
      <c r="BV98" s="34">
        <f>IF(SUM($I98:BU98)&lt;1,IF($C98&lt;=BV$4,1/$E$41,0),0)</f>
        <v>0</v>
      </c>
      <c r="BW98" s="34">
        <f>IF(SUM($I98:BV98)&lt;1,IF($C98&lt;=BW$4,1/$E$41,0),0)</f>
        <v>0</v>
      </c>
      <c r="BX98" s="34">
        <f>IF(SUM($I98:BW98)&lt;1,IF($C98&lt;=BX$4,1/$E$41,0),0)</f>
        <v>0</v>
      </c>
      <c r="BY98" s="34">
        <f>IF(SUM($I98:BX98)&lt;1,IF($C98&lt;=BY$4,1/$E$41,0),0)</f>
        <v>0</v>
      </c>
      <c r="BZ98" s="34">
        <f>IF(SUM($I98:BY98)&lt;1,IF($C98&lt;=BZ$4,1/$E$41,0),0)</f>
        <v>0</v>
      </c>
      <c r="CA98" s="34">
        <f>IF(SUM($I98:BZ98)&lt;1,IF($C98&lt;=CA$4,1/$E$41,0),0)</f>
        <v>0</v>
      </c>
      <c r="CB98" s="34">
        <f>IF(SUM($I98:CA98)&lt;1,IF($C98&lt;=CB$4,1/$E$41,0),0)</f>
        <v>0</v>
      </c>
      <c r="CC98" s="34">
        <f>IF(SUM($I98:CB98)&lt;1,IF($C98&lt;=CC$4,1/$E$41,0),0)</f>
        <v>0</v>
      </c>
      <c r="CD98" s="34">
        <f>IF(SUM($I98:CC98)&lt;1,IF($C98&lt;=CD$4,1/$E$41,0),0)</f>
        <v>0</v>
      </c>
      <c r="CE98" s="34">
        <f>IF(SUM($I98:CD98)&lt;1,IF($C98&lt;=CE$4,1/$E$41,0),0)</f>
        <v>0</v>
      </c>
      <c r="CF98" s="34">
        <f>IF(SUM($I98:CE98)&lt;1,IF($C98&lt;=CF$4,1/$E$41,0),0)</f>
        <v>0</v>
      </c>
      <c r="CG98" s="34">
        <f>IF(SUM($I98:CF98)&lt;1,IF($C98&lt;=CG$4,1/$E$41,0),0)</f>
        <v>0</v>
      </c>
      <c r="CH98" s="34">
        <f>IF(SUM($I98:CG98)&lt;1,IF($C98&lt;=CH$4,1/$E$41,0),0)</f>
        <v>0</v>
      </c>
      <c r="CI98" s="34">
        <f>IF(SUM($I98:CH98)&lt;1,IF($C98&lt;=CI$4,1/$E$41,0),0)</f>
        <v>0</v>
      </c>
      <c r="CJ98" s="34">
        <f>IF(SUM($I98:CI98)&lt;1,IF($C98&lt;=CJ$4,1/$E$41,0),0)</f>
        <v>0</v>
      </c>
      <c r="CK98" s="34">
        <f>IF(SUM($I98:CJ98)&lt;1,IF($C98&lt;=CK$4,1/$E$41,0),0)</f>
        <v>0</v>
      </c>
      <c r="CL98" s="34">
        <f>IF(SUM($I98:CK98)&lt;1,IF($C98&lt;=CL$4,1/$E$41,0),0)</f>
        <v>0</v>
      </c>
      <c r="CM98" s="34">
        <f>IF(SUM($I98:CL98)&lt;1,IF($C98&lt;=CM$4,1/$E$41,0),0)</f>
        <v>0</v>
      </c>
      <c r="CN98" s="34">
        <f>IF(SUM($I98:CM98)&lt;1,IF($C98&lt;=CN$4,1/$E$41,0),0)</f>
        <v>0</v>
      </c>
      <c r="CO98" s="34">
        <f>IF(SUM($I98:CN98)&lt;1,IF($C98&lt;=CO$4,1/$E$41,0),0)</f>
        <v>0</v>
      </c>
      <c r="CP98" s="34">
        <f>IF(SUM($I98:CO98)&lt;1,IF($C98&lt;=CP$4,1/$E$41,0),0)</f>
        <v>0</v>
      </c>
      <c r="CQ98" s="34">
        <f>IF(SUM($I98:CP98)&lt;1,IF($C98&lt;=CQ$4,1/$E$41,0),0)</f>
        <v>0</v>
      </c>
      <c r="CR98" s="34">
        <f>IF(SUM($I98:CQ98)&lt;1,IF($C98&lt;=CR$4,1/$E$41,0),0)</f>
        <v>0</v>
      </c>
      <c r="CS98" s="34">
        <f>IF(SUM($I98:CR98)&lt;1,IF($C98&lt;=CS$4,1/$E$41,0),0)</f>
        <v>0</v>
      </c>
      <c r="CT98" s="34">
        <f>IF(SUM($I98:CS98)&lt;1,IF($C98&lt;=CT$4,1/$E$41,0),0)</f>
        <v>0</v>
      </c>
      <c r="CU98" s="34">
        <f>IF(SUM($I98:CT98)&lt;1,IF($C98&lt;=CU$4,1/$E$41,0),0)</f>
        <v>0</v>
      </c>
      <c r="CV98" s="34">
        <f>IF(SUM($I98:CU98)&lt;1,IF($C98&lt;=CV$4,1/$E$41,0),0)</f>
        <v>0</v>
      </c>
      <c r="CW98" s="34">
        <f>IF(SUM($I98:CV98)&lt;1,IF($C98&lt;=CW$4,1/$E$41,0),0)</f>
        <v>0</v>
      </c>
      <c r="CX98" s="34">
        <f>IF(SUM($I98:CW98)&lt;1,IF($C98&lt;=CX$4,1/$E$41,0),0)</f>
        <v>0</v>
      </c>
      <c r="CY98" s="34">
        <f>IF(SUM($I98:CX98)&lt;1,IF($C98&lt;=CY$4,1/$E$41,0),0)</f>
        <v>0</v>
      </c>
      <c r="CZ98" s="34">
        <f>IF(SUM($I98:CY98)&lt;1,IF($C98&lt;=CZ$4,1/$E$41,0),0)</f>
        <v>0</v>
      </c>
      <c r="DA98" s="34">
        <f>IF(SUM($I98:CZ98)&lt;1,IF($C98&lt;=DA$4,1/$E$41,0),0)</f>
        <v>0</v>
      </c>
      <c r="DB98" s="34">
        <f>IF(SUM($I98:DA98)&lt;1,IF($C98&lt;=DB$4,1/$E$41,0),0)</f>
        <v>0</v>
      </c>
      <c r="DC98" s="34">
        <f>IF(SUM($I98:DB98)&lt;1,IF($C98&lt;=DC$4,1/$E$41,0),0)</f>
        <v>0</v>
      </c>
      <c r="DD98" s="34">
        <f>IF(SUM($I98:DC98)&lt;1,IF($C98&lt;=DD$4,1/$E$41,0),0)</f>
        <v>0</v>
      </c>
      <c r="DE98" s="34">
        <f>IF(SUM($I98:DD98)&lt;1,IF($C98&lt;=DE$4,1/$E$41,0),0)</f>
        <v>0</v>
      </c>
      <c r="DF98" s="34">
        <f>IF(SUM($I98:DE98)&lt;1,IF($C98&lt;=DF$4,1/$E$41,0),0)</f>
        <v>0</v>
      </c>
      <c r="DG98" s="34">
        <f>IF(SUM($I98:DF98)&lt;1,IF($C98&lt;=DG$4,1/$E$41,0),0)</f>
        <v>0</v>
      </c>
      <c r="DH98" s="34">
        <f>IF(SUM($I98:DG98)&lt;1,IF($C98&lt;=DH$4,1/$E$41,0),0)</f>
        <v>0</v>
      </c>
      <c r="DI98" s="34">
        <f>IF(SUM($I98:DH98)&lt;1,IF($C98&lt;=DI$4,1/$E$41,0),0)</f>
        <v>0</v>
      </c>
      <c r="DJ98" s="34">
        <f>IF(SUM($I98:DI98)&lt;1,IF($C98&lt;=DJ$4,1/$E$41,0),0)</f>
        <v>0</v>
      </c>
      <c r="DK98" s="34">
        <f>IF(SUM($I98:DJ98)&lt;1,IF($C98&lt;=DK$4,1/$E$41,0),0)</f>
        <v>0</v>
      </c>
      <c r="DL98" s="34">
        <f>IF(SUM($I98:DK98)&lt;1,IF($C98&lt;=DL$4,1/$E$41,0),0)</f>
        <v>0</v>
      </c>
      <c r="DM98" s="34">
        <f>IF(SUM($I98:DL98)&lt;1,IF($C98&lt;=DM$4,1/$E$41,0),0)</f>
        <v>0</v>
      </c>
    </row>
    <row r="99" spans="3:117" outlineLevel="1" x14ac:dyDescent="0.15">
      <c r="C99" s="50">
        <f t="shared" si="48"/>
        <v>55</v>
      </c>
      <c r="D99" s="5" t="s">
        <v>18</v>
      </c>
      <c r="E99" s="19">
        <f t="shared" si="49"/>
        <v>0</v>
      </c>
      <c r="I99" s="9"/>
      <c r="J99" s="34">
        <f>IF(SUM($I99:I99)&lt;1,IF($C99&lt;=J$4,1/$E$41,0),0)</f>
        <v>0</v>
      </c>
      <c r="K99" s="34">
        <f>IF(SUM($I99:J99)&lt;1,IF($C99&lt;=K$4,1/$E$41,0),0)</f>
        <v>0</v>
      </c>
      <c r="L99" s="34">
        <f>IF(SUM($I99:K99)&lt;1,IF($C99&lt;=L$4,1/$E$41,0),0)</f>
        <v>0</v>
      </c>
      <c r="M99" s="34">
        <f>IF(SUM($I99:L99)&lt;1,IF($C99&lt;=M$4,1/$E$41,0),0)</f>
        <v>0</v>
      </c>
      <c r="N99" s="34">
        <f>IF(SUM($I99:M99)&lt;1,IF($C99&lt;=N$4,1/$E$41,0),0)</f>
        <v>0</v>
      </c>
      <c r="O99" s="34">
        <f>IF(SUM($I99:N99)&lt;1,IF($C99&lt;=O$4,1/$E$41,0),0)</f>
        <v>0</v>
      </c>
      <c r="P99" s="34">
        <f>IF(SUM($I99:O99)&lt;1,IF($C99&lt;=P$4,1/$E$41,0),0)</f>
        <v>0</v>
      </c>
      <c r="Q99" s="34">
        <f>IF(SUM($I99:P99)&lt;1,IF($C99&lt;=Q$4,1/$E$41,0),0)</f>
        <v>0</v>
      </c>
      <c r="R99" s="34">
        <f>IF(SUM($I99:Q99)&lt;1,IF($C99&lt;=R$4,1/$E$41,0),0)</f>
        <v>0</v>
      </c>
      <c r="S99" s="34">
        <f>IF(SUM($I99:R99)&lt;1,IF($C99&lt;=S$4,1/$E$41,0),0)</f>
        <v>0</v>
      </c>
      <c r="T99" s="34">
        <f>IF(SUM($I99:S99)&lt;1,IF($C99&lt;=T$4,1/$E$41,0),0)</f>
        <v>0</v>
      </c>
      <c r="U99" s="34">
        <f>IF(SUM($I99:T99)&lt;1,IF($C99&lt;=U$4,1/$E$41,0),0)</f>
        <v>0</v>
      </c>
      <c r="V99" s="34">
        <f>IF(SUM($I99:U99)&lt;1,IF($C99&lt;=V$4,1/$E$41,0),0)</f>
        <v>0</v>
      </c>
      <c r="W99" s="34">
        <f>IF(SUM($I99:V99)&lt;1,IF($C99&lt;=W$4,1/$E$41,0),0)</f>
        <v>0</v>
      </c>
      <c r="X99" s="34">
        <f>IF(SUM($I99:W99)&lt;1,IF($C99&lt;=X$4,1/$E$41,0),0)</f>
        <v>0</v>
      </c>
      <c r="Y99" s="34">
        <f>IF(SUM($I99:X99)&lt;1,IF($C99&lt;=Y$4,1/$E$41,0),0)</f>
        <v>0</v>
      </c>
      <c r="Z99" s="34">
        <f>IF(SUM($I99:Y99)&lt;1,IF($C99&lt;=Z$4,1/$E$41,0),0)</f>
        <v>0</v>
      </c>
      <c r="AA99" s="34">
        <f>IF(SUM($I99:Z99)&lt;1,IF($C99&lt;=AA$4,1/$E$41,0),0)</f>
        <v>0</v>
      </c>
      <c r="AB99" s="34">
        <f>IF(SUM($I99:AA99)&lt;1,IF($C99&lt;=AB$4,1/$E$41,0),0)</f>
        <v>0</v>
      </c>
      <c r="AC99" s="34">
        <f>IF(SUM($I99:AB99)&lt;1,IF($C99&lt;=AC$4,1/$E$41,0),0)</f>
        <v>0</v>
      </c>
      <c r="AD99" s="34">
        <f>IF(SUM($I99:AC99)&lt;1,IF($C99&lt;=AD$4,1/$E$41,0),0)</f>
        <v>0</v>
      </c>
      <c r="AE99" s="34">
        <f>IF(SUM($I99:AD99)&lt;1,IF($C99&lt;=AE$4,1/$E$41,0),0)</f>
        <v>0</v>
      </c>
      <c r="AF99" s="34">
        <f>IF(SUM($I99:AE99)&lt;1,IF($C99&lt;=AF$4,1/$E$41,0),0)</f>
        <v>0</v>
      </c>
      <c r="AG99" s="34">
        <f>IF(SUM($I99:AF99)&lt;1,IF($C99&lt;=AG$4,1/$E$41,0),0)</f>
        <v>0</v>
      </c>
      <c r="AH99" s="34">
        <f>IF(SUM($I99:AG99)&lt;1,IF($C99&lt;=AH$4,1/$E$41,0),0)</f>
        <v>0</v>
      </c>
      <c r="AI99" s="34">
        <f>IF(SUM($I99:AH99)&lt;1,IF($C99&lt;=AI$4,1/$E$41,0),0)</f>
        <v>0</v>
      </c>
      <c r="AJ99" s="34">
        <f>IF(SUM($I99:AI99)&lt;1,IF($C99&lt;=AJ$4,1/$E$41,0),0)</f>
        <v>0</v>
      </c>
      <c r="AK99" s="34">
        <f>IF(SUM($I99:AJ99)&lt;1,IF($C99&lt;=AK$4,1/$E$41,0),0)</f>
        <v>0</v>
      </c>
      <c r="AL99" s="34">
        <f>IF(SUM($I99:AK99)&lt;1,IF($C99&lt;=AL$4,1/$E$41,0),0)</f>
        <v>0</v>
      </c>
      <c r="AM99" s="34">
        <f>IF(SUM($I99:AL99)&lt;1,IF($C99&lt;=AM$4,1/$E$41,0),0)</f>
        <v>0</v>
      </c>
      <c r="AN99" s="34">
        <f>IF(SUM($I99:AM99)&lt;1,IF($C99&lt;=AN$4,1/$E$41,0),0)</f>
        <v>0</v>
      </c>
      <c r="AO99" s="34">
        <f>IF(SUM($I99:AN99)&lt;1,IF($C99&lt;=AO$4,1/$E$41,0),0)</f>
        <v>0</v>
      </c>
      <c r="AP99" s="34">
        <f>IF(SUM($I99:AO99)&lt;1,IF($C99&lt;=AP$4,1/$E$41,0),0)</f>
        <v>0</v>
      </c>
      <c r="AQ99" s="34">
        <f>IF(SUM($I99:AP99)&lt;1,IF($C99&lt;=AQ$4,1/$E$41,0),0)</f>
        <v>0</v>
      </c>
      <c r="AR99" s="34">
        <f>IF(SUM($I99:AQ99)&lt;1,IF($C99&lt;=AR$4,1/$E$41,0),0)</f>
        <v>0</v>
      </c>
      <c r="AS99" s="34">
        <f>IF(SUM($I99:AR99)&lt;1,IF($C99&lt;=AS$4,1/$E$41,0),0)</f>
        <v>0</v>
      </c>
      <c r="AT99" s="34">
        <f>IF(SUM($I99:AS99)&lt;1,IF($C99&lt;=AT$4,1/$E$41,0),0)</f>
        <v>0</v>
      </c>
      <c r="AU99" s="34">
        <f>IF(SUM($I99:AT99)&lt;1,IF($C99&lt;=AU$4,1/$E$41,0),0)</f>
        <v>0</v>
      </c>
      <c r="AV99" s="34">
        <f>IF(SUM($I99:AU99)&lt;1,IF($C99&lt;=AV$4,1/$E$41,0),0)</f>
        <v>0</v>
      </c>
      <c r="AW99" s="34">
        <f>IF(SUM($I99:AV99)&lt;1,IF($C99&lt;=AW$4,1/$E$41,0),0)</f>
        <v>0</v>
      </c>
      <c r="AX99" s="34">
        <f>IF(SUM($I99:AW99)&lt;1,IF($C99&lt;=AX$4,1/$E$41,0),0)</f>
        <v>0</v>
      </c>
      <c r="AY99" s="34">
        <f>IF(SUM($I99:AX99)&lt;1,IF($C99&lt;=AY$4,1/$E$41,0),0)</f>
        <v>0</v>
      </c>
      <c r="AZ99" s="34">
        <f>IF(SUM($I99:AY99)&lt;1,IF($C99&lt;=AZ$4,1/$E$41,0),0)</f>
        <v>0</v>
      </c>
      <c r="BA99" s="34">
        <f>IF(SUM($I99:AZ99)&lt;1,IF($C99&lt;=BA$4,1/$E$41,0),0)</f>
        <v>0</v>
      </c>
      <c r="BB99" s="34">
        <f>IF(SUM($I99:BA99)&lt;1,IF($C99&lt;=BB$4,1/$E$41,0),0)</f>
        <v>0</v>
      </c>
      <c r="BC99" s="34">
        <f>IF(SUM($I99:BB99)&lt;1,IF($C99&lt;=BC$4,1/$E$41,0),0)</f>
        <v>0</v>
      </c>
      <c r="BD99" s="34">
        <f>IF(SUM($I99:BC99)&lt;1,IF($C99&lt;=BD$4,1/$E$41,0),0)</f>
        <v>0</v>
      </c>
      <c r="BE99" s="34">
        <f>IF(SUM($I99:BD99)&lt;1,IF($C99&lt;=BE$4,1/$E$41,0),0)</f>
        <v>0</v>
      </c>
      <c r="BF99" s="34">
        <f>IF(SUM($I99:BE99)&lt;1,IF($C99&lt;=BF$4,1/$E$41,0),0)</f>
        <v>0</v>
      </c>
      <c r="BG99" s="34">
        <f>IF(SUM($I99:BF99)&lt;1,IF($C99&lt;=BG$4,1/$E$41,0),0)</f>
        <v>0</v>
      </c>
      <c r="BH99" s="34">
        <f>IF(SUM($I99:BG99)&lt;1,IF($C99&lt;=BH$4,1/$E$41,0),0)</f>
        <v>0</v>
      </c>
      <c r="BI99" s="34">
        <f>IF(SUM($I99:BH99)&lt;1,IF($C99&lt;=BI$4,1/$E$41,0),0)</f>
        <v>0</v>
      </c>
      <c r="BJ99" s="34">
        <f>IF(SUM($I99:BI99)&lt;1,IF($C99&lt;=BJ$4,1/$E$41,0),0)</f>
        <v>0</v>
      </c>
      <c r="BK99" s="34">
        <f>IF(SUM($I99:BJ99)&lt;1,IF($C99&lt;=BK$4,1/$E$41,0),0)</f>
        <v>0</v>
      </c>
      <c r="BL99" s="34">
        <f>IF(SUM($I99:BK99)&lt;1,IF($C99&lt;=BL$4,1/$E$41,0),0)</f>
        <v>0.25</v>
      </c>
      <c r="BM99" s="34">
        <f>IF(SUM($I99:BL99)&lt;1,IF($C99&lt;=BM$4,1/$E$41,0),0)</f>
        <v>0.25</v>
      </c>
      <c r="BN99" s="34">
        <f>IF(SUM($I99:BM99)&lt;1,IF($C99&lt;=BN$4,1/$E$41,0),0)</f>
        <v>0.25</v>
      </c>
      <c r="BO99" s="34">
        <f>IF(SUM($I99:BN99)&lt;1,IF($C99&lt;=BO$4,1/$E$41,0),0)</f>
        <v>0.25</v>
      </c>
      <c r="BP99" s="34">
        <f>IF(SUM($I99:BO99)&lt;1,IF($C99&lt;=BP$4,1/$E$41,0),0)</f>
        <v>0</v>
      </c>
      <c r="BQ99" s="34">
        <f>IF(SUM($I99:BP99)&lt;1,IF($C99&lt;=BQ$4,1/$E$41,0),0)</f>
        <v>0</v>
      </c>
      <c r="BR99" s="34">
        <f>IF(SUM($I99:BQ99)&lt;1,IF($C99&lt;=BR$4,1/$E$41,0),0)</f>
        <v>0</v>
      </c>
      <c r="BS99" s="34">
        <f>IF(SUM($I99:BR99)&lt;1,IF($C99&lt;=BS$4,1/$E$41,0),0)</f>
        <v>0</v>
      </c>
      <c r="BT99" s="34">
        <f>IF(SUM($I99:BS99)&lt;1,IF($C99&lt;=BT$4,1/$E$41,0),0)</f>
        <v>0</v>
      </c>
      <c r="BU99" s="34">
        <f>IF(SUM($I99:BT99)&lt;1,IF($C99&lt;=BU$4,1/$E$41,0),0)</f>
        <v>0</v>
      </c>
      <c r="BV99" s="34">
        <f>IF(SUM($I99:BU99)&lt;1,IF($C99&lt;=BV$4,1/$E$41,0),0)</f>
        <v>0</v>
      </c>
      <c r="BW99" s="34">
        <f>IF(SUM($I99:BV99)&lt;1,IF($C99&lt;=BW$4,1/$E$41,0),0)</f>
        <v>0</v>
      </c>
      <c r="BX99" s="34">
        <f>IF(SUM($I99:BW99)&lt;1,IF($C99&lt;=BX$4,1/$E$41,0),0)</f>
        <v>0</v>
      </c>
      <c r="BY99" s="34">
        <f>IF(SUM($I99:BX99)&lt;1,IF($C99&lt;=BY$4,1/$E$41,0),0)</f>
        <v>0</v>
      </c>
      <c r="BZ99" s="34">
        <f>IF(SUM($I99:BY99)&lt;1,IF($C99&lt;=BZ$4,1/$E$41,0),0)</f>
        <v>0</v>
      </c>
      <c r="CA99" s="34">
        <f>IF(SUM($I99:BZ99)&lt;1,IF($C99&lt;=CA$4,1/$E$41,0),0)</f>
        <v>0</v>
      </c>
      <c r="CB99" s="34">
        <f>IF(SUM($I99:CA99)&lt;1,IF($C99&lt;=CB$4,1/$E$41,0),0)</f>
        <v>0</v>
      </c>
      <c r="CC99" s="34">
        <f>IF(SUM($I99:CB99)&lt;1,IF($C99&lt;=CC$4,1/$E$41,0),0)</f>
        <v>0</v>
      </c>
      <c r="CD99" s="34">
        <f>IF(SUM($I99:CC99)&lt;1,IF($C99&lt;=CD$4,1/$E$41,0),0)</f>
        <v>0</v>
      </c>
      <c r="CE99" s="34">
        <f>IF(SUM($I99:CD99)&lt;1,IF($C99&lt;=CE$4,1/$E$41,0),0)</f>
        <v>0</v>
      </c>
      <c r="CF99" s="34">
        <f>IF(SUM($I99:CE99)&lt;1,IF($C99&lt;=CF$4,1/$E$41,0),0)</f>
        <v>0</v>
      </c>
      <c r="CG99" s="34">
        <f>IF(SUM($I99:CF99)&lt;1,IF($C99&lt;=CG$4,1/$E$41,0),0)</f>
        <v>0</v>
      </c>
      <c r="CH99" s="34">
        <f>IF(SUM($I99:CG99)&lt;1,IF($C99&lt;=CH$4,1/$E$41,0),0)</f>
        <v>0</v>
      </c>
      <c r="CI99" s="34">
        <f>IF(SUM($I99:CH99)&lt;1,IF($C99&lt;=CI$4,1/$E$41,0),0)</f>
        <v>0</v>
      </c>
      <c r="CJ99" s="34">
        <f>IF(SUM($I99:CI99)&lt;1,IF($C99&lt;=CJ$4,1/$E$41,0),0)</f>
        <v>0</v>
      </c>
      <c r="CK99" s="34">
        <f>IF(SUM($I99:CJ99)&lt;1,IF($C99&lt;=CK$4,1/$E$41,0),0)</f>
        <v>0</v>
      </c>
      <c r="CL99" s="34">
        <f>IF(SUM($I99:CK99)&lt;1,IF($C99&lt;=CL$4,1/$E$41,0),0)</f>
        <v>0</v>
      </c>
      <c r="CM99" s="34">
        <f>IF(SUM($I99:CL99)&lt;1,IF($C99&lt;=CM$4,1/$E$41,0),0)</f>
        <v>0</v>
      </c>
      <c r="CN99" s="34">
        <f>IF(SUM($I99:CM99)&lt;1,IF($C99&lt;=CN$4,1/$E$41,0),0)</f>
        <v>0</v>
      </c>
      <c r="CO99" s="34">
        <f>IF(SUM($I99:CN99)&lt;1,IF($C99&lt;=CO$4,1/$E$41,0),0)</f>
        <v>0</v>
      </c>
      <c r="CP99" s="34">
        <f>IF(SUM($I99:CO99)&lt;1,IF($C99&lt;=CP$4,1/$E$41,0),0)</f>
        <v>0</v>
      </c>
      <c r="CQ99" s="34">
        <f>IF(SUM($I99:CP99)&lt;1,IF($C99&lt;=CQ$4,1/$E$41,0),0)</f>
        <v>0</v>
      </c>
      <c r="CR99" s="34">
        <f>IF(SUM($I99:CQ99)&lt;1,IF($C99&lt;=CR$4,1/$E$41,0),0)</f>
        <v>0</v>
      </c>
      <c r="CS99" s="34">
        <f>IF(SUM($I99:CR99)&lt;1,IF($C99&lt;=CS$4,1/$E$41,0),0)</f>
        <v>0</v>
      </c>
      <c r="CT99" s="34">
        <f>IF(SUM($I99:CS99)&lt;1,IF($C99&lt;=CT$4,1/$E$41,0),0)</f>
        <v>0</v>
      </c>
      <c r="CU99" s="34">
        <f>IF(SUM($I99:CT99)&lt;1,IF($C99&lt;=CU$4,1/$E$41,0),0)</f>
        <v>0</v>
      </c>
      <c r="CV99" s="34">
        <f>IF(SUM($I99:CU99)&lt;1,IF($C99&lt;=CV$4,1/$E$41,0),0)</f>
        <v>0</v>
      </c>
      <c r="CW99" s="34">
        <f>IF(SUM($I99:CV99)&lt;1,IF($C99&lt;=CW$4,1/$E$41,0),0)</f>
        <v>0</v>
      </c>
      <c r="CX99" s="34">
        <f>IF(SUM($I99:CW99)&lt;1,IF($C99&lt;=CX$4,1/$E$41,0),0)</f>
        <v>0</v>
      </c>
      <c r="CY99" s="34">
        <f>IF(SUM($I99:CX99)&lt;1,IF($C99&lt;=CY$4,1/$E$41,0),0)</f>
        <v>0</v>
      </c>
      <c r="CZ99" s="34">
        <f>IF(SUM($I99:CY99)&lt;1,IF($C99&lt;=CZ$4,1/$E$41,0),0)</f>
        <v>0</v>
      </c>
      <c r="DA99" s="34">
        <f>IF(SUM($I99:CZ99)&lt;1,IF($C99&lt;=DA$4,1/$E$41,0),0)</f>
        <v>0</v>
      </c>
      <c r="DB99" s="34">
        <f>IF(SUM($I99:DA99)&lt;1,IF($C99&lt;=DB$4,1/$E$41,0),0)</f>
        <v>0</v>
      </c>
      <c r="DC99" s="34">
        <f>IF(SUM($I99:DB99)&lt;1,IF($C99&lt;=DC$4,1/$E$41,0),0)</f>
        <v>0</v>
      </c>
      <c r="DD99" s="34">
        <f>IF(SUM($I99:DC99)&lt;1,IF($C99&lt;=DD$4,1/$E$41,0),0)</f>
        <v>0</v>
      </c>
      <c r="DE99" s="34">
        <f>IF(SUM($I99:DD99)&lt;1,IF($C99&lt;=DE$4,1/$E$41,0),0)</f>
        <v>0</v>
      </c>
      <c r="DF99" s="34">
        <f>IF(SUM($I99:DE99)&lt;1,IF($C99&lt;=DF$4,1/$E$41,0),0)</f>
        <v>0</v>
      </c>
      <c r="DG99" s="34">
        <f>IF(SUM($I99:DF99)&lt;1,IF($C99&lt;=DG$4,1/$E$41,0),0)</f>
        <v>0</v>
      </c>
      <c r="DH99" s="34">
        <f>IF(SUM($I99:DG99)&lt;1,IF($C99&lt;=DH$4,1/$E$41,0),0)</f>
        <v>0</v>
      </c>
      <c r="DI99" s="34">
        <f>IF(SUM($I99:DH99)&lt;1,IF($C99&lt;=DI$4,1/$E$41,0),0)</f>
        <v>0</v>
      </c>
      <c r="DJ99" s="34">
        <f>IF(SUM($I99:DI99)&lt;1,IF($C99&lt;=DJ$4,1/$E$41,0),0)</f>
        <v>0</v>
      </c>
      <c r="DK99" s="34">
        <f>IF(SUM($I99:DJ99)&lt;1,IF($C99&lt;=DK$4,1/$E$41,0),0)</f>
        <v>0</v>
      </c>
      <c r="DL99" s="34">
        <f>IF(SUM($I99:DK99)&lt;1,IF($C99&lt;=DL$4,1/$E$41,0),0)</f>
        <v>0</v>
      </c>
      <c r="DM99" s="34">
        <f>IF(SUM($I99:DL99)&lt;1,IF($C99&lt;=DM$4,1/$E$41,0),0)</f>
        <v>0</v>
      </c>
    </row>
    <row r="100" spans="3:117" outlineLevel="1" x14ac:dyDescent="0.15">
      <c r="C100" s="50">
        <f t="shared" si="48"/>
        <v>56</v>
      </c>
      <c r="D100" s="5" t="s">
        <v>18</v>
      </c>
      <c r="E100" s="19">
        <f t="shared" si="49"/>
        <v>0</v>
      </c>
      <c r="I100" s="9"/>
      <c r="J100" s="34">
        <f>IF(SUM($I100:I100)&lt;1,IF($C100&lt;=J$4,1/$E$41,0),0)</f>
        <v>0</v>
      </c>
      <c r="K100" s="34">
        <f>IF(SUM($I100:J100)&lt;1,IF($C100&lt;=K$4,1/$E$41,0),0)</f>
        <v>0</v>
      </c>
      <c r="L100" s="34">
        <f>IF(SUM($I100:K100)&lt;1,IF($C100&lt;=L$4,1/$E$41,0),0)</f>
        <v>0</v>
      </c>
      <c r="M100" s="34">
        <f>IF(SUM($I100:L100)&lt;1,IF($C100&lt;=M$4,1/$E$41,0),0)</f>
        <v>0</v>
      </c>
      <c r="N100" s="34">
        <f>IF(SUM($I100:M100)&lt;1,IF($C100&lt;=N$4,1/$E$41,0),0)</f>
        <v>0</v>
      </c>
      <c r="O100" s="34">
        <f>IF(SUM($I100:N100)&lt;1,IF($C100&lt;=O$4,1/$E$41,0),0)</f>
        <v>0</v>
      </c>
      <c r="P100" s="34">
        <f>IF(SUM($I100:O100)&lt;1,IF($C100&lt;=P$4,1/$E$41,0),0)</f>
        <v>0</v>
      </c>
      <c r="Q100" s="34">
        <f>IF(SUM($I100:P100)&lt;1,IF($C100&lt;=Q$4,1/$E$41,0),0)</f>
        <v>0</v>
      </c>
      <c r="R100" s="34">
        <f>IF(SUM($I100:Q100)&lt;1,IF($C100&lt;=R$4,1/$E$41,0),0)</f>
        <v>0</v>
      </c>
      <c r="S100" s="34">
        <f>IF(SUM($I100:R100)&lt;1,IF($C100&lt;=S$4,1/$E$41,0),0)</f>
        <v>0</v>
      </c>
      <c r="T100" s="34">
        <f>IF(SUM($I100:S100)&lt;1,IF($C100&lt;=T$4,1/$E$41,0),0)</f>
        <v>0</v>
      </c>
      <c r="U100" s="34">
        <f>IF(SUM($I100:T100)&lt;1,IF($C100&lt;=U$4,1/$E$41,0),0)</f>
        <v>0</v>
      </c>
      <c r="V100" s="34">
        <f>IF(SUM($I100:U100)&lt;1,IF($C100&lt;=V$4,1/$E$41,0),0)</f>
        <v>0</v>
      </c>
      <c r="W100" s="34">
        <f>IF(SUM($I100:V100)&lt;1,IF($C100&lt;=W$4,1/$E$41,0),0)</f>
        <v>0</v>
      </c>
      <c r="X100" s="34">
        <f>IF(SUM($I100:W100)&lt;1,IF($C100&lt;=X$4,1/$E$41,0),0)</f>
        <v>0</v>
      </c>
      <c r="Y100" s="34">
        <f>IF(SUM($I100:X100)&lt;1,IF($C100&lt;=Y$4,1/$E$41,0),0)</f>
        <v>0</v>
      </c>
      <c r="Z100" s="34">
        <f>IF(SUM($I100:Y100)&lt;1,IF($C100&lt;=Z$4,1/$E$41,0),0)</f>
        <v>0</v>
      </c>
      <c r="AA100" s="34">
        <f>IF(SUM($I100:Z100)&lt;1,IF($C100&lt;=AA$4,1/$E$41,0),0)</f>
        <v>0</v>
      </c>
      <c r="AB100" s="34">
        <f>IF(SUM($I100:AA100)&lt;1,IF($C100&lt;=AB$4,1/$E$41,0),0)</f>
        <v>0</v>
      </c>
      <c r="AC100" s="34">
        <f>IF(SUM($I100:AB100)&lt;1,IF($C100&lt;=AC$4,1/$E$41,0),0)</f>
        <v>0</v>
      </c>
      <c r="AD100" s="34">
        <f>IF(SUM($I100:AC100)&lt;1,IF($C100&lt;=AD$4,1/$E$41,0),0)</f>
        <v>0</v>
      </c>
      <c r="AE100" s="34">
        <f>IF(SUM($I100:AD100)&lt;1,IF($C100&lt;=AE$4,1/$E$41,0),0)</f>
        <v>0</v>
      </c>
      <c r="AF100" s="34">
        <f>IF(SUM($I100:AE100)&lt;1,IF($C100&lt;=AF$4,1/$E$41,0),0)</f>
        <v>0</v>
      </c>
      <c r="AG100" s="34">
        <f>IF(SUM($I100:AF100)&lt;1,IF($C100&lt;=AG$4,1/$E$41,0),0)</f>
        <v>0</v>
      </c>
      <c r="AH100" s="34">
        <f>IF(SUM($I100:AG100)&lt;1,IF($C100&lt;=AH$4,1/$E$41,0),0)</f>
        <v>0</v>
      </c>
      <c r="AI100" s="34">
        <f>IF(SUM($I100:AH100)&lt;1,IF($C100&lt;=AI$4,1/$E$41,0),0)</f>
        <v>0</v>
      </c>
      <c r="AJ100" s="34">
        <f>IF(SUM($I100:AI100)&lt;1,IF($C100&lt;=AJ$4,1/$E$41,0),0)</f>
        <v>0</v>
      </c>
      <c r="AK100" s="34">
        <f>IF(SUM($I100:AJ100)&lt;1,IF($C100&lt;=AK$4,1/$E$41,0),0)</f>
        <v>0</v>
      </c>
      <c r="AL100" s="34">
        <f>IF(SUM($I100:AK100)&lt;1,IF($C100&lt;=AL$4,1/$E$41,0),0)</f>
        <v>0</v>
      </c>
      <c r="AM100" s="34">
        <f>IF(SUM($I100:AL100)&lt;1,IF($C100&lt;=AM$4,1/$E$41,0),0)</f>
        <v>0</v>
      </c>
      <c r="AN100" s="34">
        <f>IF(SUM($I100:AM100)&lt;1,IF($C100&lt;=AN$4,1/$E$41,0),0)</f>
        <v>0</v>
      </c>
      <c r="AO100" s="34">
        <f>IF(SUM($I100:AN100)&lt;1,IF($C100&lt;=AO$4,1/$E$41,0),0)</f>
        <v>0</v>
      </c>
      <c r="AP100" s="34">
        <f>IF(SUM($I100:AO100)&lt;1,IF($C100&lt;=AP$4,1/$E$41,0),0)</f>
        <v>0</v>
      </c>
      <c r="AQ100" s="34">
        <f>IF(SUM($I100:AP100)&lt;1,IF($C100&lt;=AQ$4,1/$E$41,0),0)</f>
        <v>0</v>
      </c>
      <c r="AR100" s="34">
        <f>IF(SUM($I100:AQ100)&lt;1,IF($C100&lt;=AR$4,1/$E$41,0),0)</f>
        <v>0</v>
      </c>
      <c r="AS100" s="34">
        <f>IF(SUM($I100:AR100)&lt;1,IF($C100&lt;=AS$4,1/$E$41,0),0)</f>
        <v>0</v>
      </c>
      <c r="AT100" s="34">
        <f>IF(SUM($I100:AS100)&lt;1,IF($C100&lt;=AT$4,1/$E$41,0),0)</f>
        <v>0</v>
      </c>
      <c r="AU100" s="34">
        <f>IF(SUM($I100:AT100)&lt;1,IF($C100&lt;=AU$4,1/$E$41,0),0)</f>
        <v>0</v>
      </c>
      <c r="AV100" s="34">
        <f>IF(SUM($I100:AU100)&lt;1,IF($C100&lt;=AV$4,1/$E$41,0),0)</f>
        <v>0</v>
      </c>
      <c r="AW100" s="34">
        <f>IF(SUM($I100:AV100)&lt;1,IF($C100&lt;=AW$4,1/$E$41,0),0)</f>
        <v>0</v>
      </c>
      <c r="AX100" s="34">
        <f>IF(SUM($I100:AW100)&lt;1,IF($C100&lt;=AX$4,1/$E$41,0),0)</f>
        <v>0</v>
      </c>
      <c r="AY100" s="34">
        <f>IF(SUM($I100:AX100)&lt;1,IF($C100&lt;=AY$4,1/$E$41,0),0)</f>
        <v>0</v>
      </c>
      <c r="AZ100" s="34">
        <f>IF(SUM($I100:AY100)&lt;1,IF($C100&lt;=AZ$4,1/$E$41,0),0)</f>
        <v>0</v>
      </c>
      <c r="BA100" s="34">
        <f>IF(SUM($I100:AZ100)&lt;1,IF($C100&lt;=BA$4,1/$E$41,0),0)</f>
        <v>0</v>
      </c>
      <c r="BB100" s="34">
        <f>IF(SUM($I100:BA100)&lt;1,IF($C100&lt;=BB$4,1/$E$41,0),0)</f>
        <v>0</v>
      </c>
      <c r="BC100" s="34">
        <f>IF(SUM($I100:BB100)&lt;1,IF($C100&lt;=BC$4,1/$E$41,0),0)</f>
        <v>0</v>
      </c>
      <c r="BD100" s="34">
        <f>IF(SUM($I100:BC100)&lt;1,IF($C100&lt;=BD$4,1/$E$41,0),0)</f>
        <v>0</v>
      </c>
      <c r="BE100" s="34">
        <f>IF(SUM($I100:BD100)&lt;1,IF($C100&lt;=BE$4,1/$E$41,0),0)</f>
        <v>0</v>
      </c>
      <c r="BF100" s="34">
        <f>IF(SUM($I100:BE100)&lt;1,IF($C100&lt;=BF$4,1/$E$41,0),0)</f>
        <v>0</v>
      </c>
      <c r="BG100" s="34">
        <f>IF(SUM($I100:BF100)&lt;1,IF($C100&lt;=BG$4,1/$E$41,0),0)</f>
        <v>0</v>
      </c>
      <c r="BH100" s="34">
        <f>IF(SUM($I100:BG100)&lt;1,IF($C100&lt;=BH$4,1/$E$41,0),0)</f>
        <v>0</v>
      </c>
      <c r="BI100" s="34">
        <f>IF(SUM($I100:BH100)&lt;1,IF($C100&lt;=BI$4,1/$E$41,0),0)</f>
        <v>0</v>
      </c>
      <c r="BJ100" s="34">
        <f>IF(SUM($I100:BI100)&lt;1,IF($C100&lt;=BJ$4,1/$E$41,0),0)</f>
        <v>0</v>
      </c>
      <c r="BK100" s="34">
        <f>IF(SUM($I100:BJ100)&lt;1,IF($C100&lt;=BK$4,1/$E$41,0),0)</f>
        <v>0</v>
      </c>
      <c r="BL100" s="34">
        <f>IF(SUM($I100:BK100)&lt;1,IF($C100&lt;=BL$4,1/$E$41,0),0)</f>
        <v>0</v>
      </c>
      <c r="BM100" s="34">
        <f>IF(SUM($I100:BL100)&lt;1,IF($C100&lt;=BM$4,1/$E$41,0),0)</f>
        <v>0.25</v>
      </c>
      <c r="BN100" s="34">
        <f>IF(SUM($I100:BM100)&lt;1,IF($C100&lt;=BN$4,1/$E$41,0),0)</f>
        <v>0.25</v>
      </c>
      <c r="BO100" s="34">
        <f>IF(SUM($I100:BN100)&lt;1,IF($C100&lt;=BO$4,1/$E$41,0),0)</f>
        <v>0.25</v>
      </c>
      <c r="BP100" s="34">
        <f>IF(SUM($I100:BO100)&lt;1,IF($C100&lt;=BP$4,1/$E$41,0),0)</f>
        <v>0.25</v>
      </c>
      <c r="BQ100" s="34">
        <f>IF(SUM($I100:BP100)&lt;1,IF($C100&lt;=BQ$4,1/$E$41,0),0)</f>
        <v>0</v>
      </c>
      <c r="BR100" s="34">
        <f>IF(SUM($I100:BQ100)&lt;1,IF($C100&lt;=BR$4,1/$E$41,0),0)</f>
        <v>0</v>
      </c>
      <c r="BS100" s="34">
        <f>IF(SUM($I100:BR100)&lt;1,IF($C100&lt;=BS$4,1/$E$41,0),0)</f>
        <v>0</v>
      </c>
      <c r="BT100" s="34">
        <f>IF(SUM($I100:BS100)&lt;1,IF($C100&lt;=BT$4,1/$E$41,0),0)</f>
        <v>0</v>
      </c>
      <c r="BU100" s="34">
        <f>IF(SUM($I100:BT100)&lt;1,IF($C100&lt;=BU$4,1/$E$41,0),0)</f>
        <v>0</v>
      </c>
      <c r="BV100" s="34">
        <f>IF(SUM($I100:BU100)&lt;1,IF($C100&lt;=BV$4,1/$E$41,0),0)</f>
        <v>0</v>
      </c>
      <c r="BW100" s="34">
        <f>IF(SUM($I100:BV100)&lt;1,IF($C100&lt;=BW$4,1/$E$41,0),0)</f>
        <v>0</v>
      </c>
      <c r="BX100" s="34">
        <f>IF(SUM($I100:BW100)&lt;1,IF($C100&lt;=BX$4,1/$E$41,0),0)</f>
        <v>0</v>
      </c>
      <c r="BY100" s="34">
        <f>IF(SUM($I100:BX100)&lt;1,IF($C100&lt;=BY$4,1/$E$41,0),0)</f>
        <v>0</v>
      </c>
      <c r="BZ100" s="34">
        <f>IF(SUM($I100:BY100)&lt;1,IF($C100&lt;=BZ$4,1/$E$41,0),0)</f>
        <v>0</v>
      </c>
      <c r="CA100" s="34">
        <f>IF(SUM($I100:BZ100)&lt;1,IF($C100&lt;=CA$4,1/$E$41,0),0)</f>
        <v>0</v>
      </c>
      <c r="CB100" s="34">
        <f>IF(SUM($I100:CA100)&lt;1,IF($C100&lt;=CB$4,1/$E$41,0),0)</f>
        <v>0</v>
      </c>
      <c r="CC100" s="34">
        <f>IF(SUM($I100:CB100)&lt;1,IF($C100&lt;=CC$4,1/$E$41,0),0)</f>
        <v>0</v>
      </c>
      <c r="CD100" s="34">
        <f>IF(SUM($I100:CC100)&lt;1,IF($C100&lt;=CD$4,1/$E$41,0),0)</f>
        <v>0</v>
      </c>
      <c r="CE100" s="34">
        <f>IF(SUM($I100:CD100)&lt;1,IF($C100&lt;=CE$4,1/$E$41,0),0)</f>
        <v>0</v>
      </c>
      <c r="CF100" s="34">
        <f>IF(SUM($I100:CE100)&lt;1,IF($C100&lt;=CF$4,1/$E$41,0),0)</f>
        <v>0</v>
      </c>
      <c r="CG100" s="34">
        <f>IF(SUM($I100:CF100)&lt;1,IF($C100&lt;=CG$4,1/$E$41,0),0)</f>
        <v>0</v>
      </c>
      <c r="CH100" s="34">
        <f>IF(SUM($I100:CG100)&lt;1,IF($C100&lt;=CH$4,1/$E$41,0),0)</f>
        <v>0</v>
      </c>
      <c r="CI100" s="34">
        <f>IF(SUM($I100:CH100)&lt;1,IF($C100&lt;=CI$4,1/$E$41,0),0)</f>
        <v>0</v>
      </c>
      <c r="CJ100" s="34">
        <f>IF(SUM($I100:CI100)&lt;1,IF($C100&lt;=CJ$4,1/$E$41,0),0)</f>
        <v>0</v>
      </c>
      <c r="CK100" s="34">
        <f>IF(SUM($I100:CJ100)&lt;1,IF($C100&lt;=CK$4,1/$E$41,0),0)</f>
        <v>0</v>
      </c>
      <c r="CL100" s="34">
        <f>IF(SUM($I100:CK100)&lt;1,IF($C100&lt;=CL$4,1/$E$41,0),0)</f>
        <v>0</v>
      </c>
      <c r="CM100" s="34">
        <f>IF(SUM($I100:CL100)&lt;1,IF($C100&lt;=CM$4,1/$E$41,0),0)</f>
        <v>0</v>
      </c>
      <c r="CN100" s="34">
        <f>IF(SUM($I100:CM100)&lt;1,IF($C100&lt;=CN$4,1/$E$41,0),0)</f>
        <v>0</v>
      </c>
      <c r="CO100" s="34">
        <f>IF(SUM($I100:CN100)&lt;1,IF($C100&lt;=CO$4,1/$E$41,0),0)</f>
        <v>0</v>
      </c>
      <c r="CP100" s="34">
        <f>IF(SUM($I100:CO100)&lt;1,IF($C100&lt;=CP$4,1/$E$41,0),0)</f>
        <v>0</v>
      </c>
      <c r="CQ100" s="34">
        <f>IF(SUM($I100:CP100)&lt;1,IF($C100&lt;=CQ$4,1/$E$41,0),0)</f>
        <v>0</v>
      </c>
      <c r="CR100" s="34">
        <f>IF(SUM($I100:CQ100)&lt;1,IF($C100&lt;=CR$4,1/$E$41,0),0)</f>
        <v>0</v>
      </c>
      <c r="CS100" s="34">
        <f>IF(SUM($I100:CR100)&lt;1,IF($C100&lt;=CS$4,1/$E$41,0),0)</f>
        <v>0</v>
      </c>
      <c r="CT100" s="34">
        <f>IF(SUM($I100:CS100)&lt;1,IF($C100&lt;=CT$4,1/$E$41,0),0)</f>
        <v>0</v>
      </c>
      <c r="CU100" s="34">
        <f>IF(SUM($I100:CT100)&lt;1,IF($C100&lt;=CU$4,1/$E$41,0),0)</f>
        <v>0</v>
      </c>
      <c r="CV100" s="34">
        <f>IF(SUM($I100:CU100)&lt;1,IF($C100&lt;=CV$4,1/$E$41,0),0)</f>
        <v>0</v>
      </c>
      <c r="CW100" s="34">
        <f>IF(SUM($I100:CV100)&lt;1,IF($C100&lt;=CW$4,1/$E$41,0),0)</f>
        <v>0</v>
      </c>
      <c r="CX100" s="34">
        <f>IF(SUM($I100:CW100)&lt;1,IF($C100&lt;=CX$4,1/$E$41,0),0)</f>
        <v>0</v>
      </c>
      <c r="CY100" s="34">
        <f>IF(SUM($I100:CX100)&lt;1,IF($C100&lt;=CY$4,1/$E$41,0),0)</f>
        <v>0</v>
      </c>
      <c r="CZ100" s="34">
        <f>IF(SUM($I100:CY100)&lt;1,IF($C100&lt;=CZ$4,1/$E$41,0),0)</f>
        <v>0</v>
      </c>
      <c r="DA100" s="34">
        <f>IF(SUM($I100:CZ100)&lt;1,IF($C100&lt;=DA$4,1/$E$41,0),0)</f>
        <v>0</v>
      </c>
      <c r="DB100" s="34">
        <f>IF(SUM($I100:DA100)&lt;1,IF($C100&lt;=DB$4,1/$E$41,0),0)</f>
        <v>0</v>
      </c>
      <c r="DC100" s="34">
        <f>IF(SUM($I100:DB100)&lt;1,IF($C100&lt;=DC$4,1/$E$41,0),0)</f>
        <v>0</v>
      </c>
      <c r="DD100" s="34">
        <f>IF(SUM($I100:DC100)&lt;1,IF($C100&lt;=DD$4,1/$E$41,0),0)</f>
        <v>0</v>
      </c>
      <c r="DE100" s="34">
        <f>IF(SUM($I100:DD100)&lt;1,IF($C100&lt;=DE$4,1/$E$41,0),0)</f>
        <v>0</v>
      </c>
      <c r="DF100" s="34">
        <f>IF(SUM($I100:DE100)&lt;1,IF($C100&lt;=DF$4,1/$E$41,0),0)</f>
        <v>0</v>
      </c>
      <c r="DG100" s="34">
        <f>IF(SUM($I100:DF100)&lt;1,IF($C100&lt;=DG$4,1/$E$41,0),0)</f>
        <v>0</v>
      </c>
      <c r="DH100" s="34">
        <f>IF(SUM($I100:DG100)&lt;1,IF($C100&lt;=DH$4,1/$E$41,0),0)</f>
        <v>0</v>
      </c>
      <c r="DI100" s="34">
        <f>IF(SUM($I100:DH100)&lt;1,IF($C100&lt;=DI$4,1/$E$41,0),0)</f>
        <v>0</v>
      </c>
      <c r="DJ100" s="34">
        <f>IF(SUM($I100:DI100)&lt;1,IF($C100&lt;=DJ$4,1/$E$41,0),0)</f>
        <v>0</v>
      </c>
      <c r="DK100" s="34">
        <f>IF(SUM($I100:DJ100)&lt;1,IF($C100&lt;=DK$4,1/$E$41,0),0)</f>
        <v>0</v>
      </c>
      <c r="DL100" s="34">
        <f>IF(SUM($I100:DK100)&lt;1,IF($C100&lt;=DL$4,1/$E$41,0),0)</f>
        <v>0</v>
      </c>
      <c r="DM100" s="34">
        <f>IF(SUM($I100:DL100)&lt;1,IF($C100&lt;=DM$4,1/$E$41,0),0)</f>
        <v>0</v>
      </c>
    </row>
    <row r="101" spans="3:117" outlineLevel="1" x14ac:dyDescent="0.15">
      <c r="C101" s="50">
        <f t="shared" si="48"/>
        <v>57</v>
      </c>
      <c r="D101" s="5" t="s">
        <v>18</v>
      </c>
      <c r="E101" s="19">
        <f t="shared" si="49"/>
        <v>0</v>
      </c>
      <c r="I101" s="9"/>
      <c r="J101" s="34">
        <f>IF(SUM($I101:I101)&lt;1,IF($C101&lt;=J$4,1/$E$41,0),0)</f>
        <v>0</v>
      </c>
      <c r="K101" s="34">
        <f>IF(SUM($I101:J101)&lt;1,IF($C101&lt;=K$4,1/$E$41,0),0)</f>
        <v>0</v>
      </c>
      <c r="L101" s="34">
        <f>IF(SUM($I101:K101)&lt;1,IF($C101&lt;=L$4,1/$E$41,0),0)</f>
        <v>0</v>
      </c>
      <c r="M101" s="34">
        <f>IF(SUM($I101:L101)&lt;1,IF($C101&lt;=M$4,1/$E$41,0),0)</f>
        <v>0</v>
      </c>
      <c r="N101" s="34">
        <f>IF(SUM($I101:M101)&lt;1,IF($C101&lt;=N$4,1/$E$41,0),0)</f>
        <v>0</v>
      </c>
      <c r="O101" s="34">
        <f>IF(SUM($I101:N101)&lt;1,IF($C101&lt;=O$4,1/$E$41,0),0)</f>
        <v>0</v>
      </c>
      <c r="P101" s="34">
        <f>IF(SUM($I101:O101)&lt;1,IF($C101&lt;=P$4,1/$E$41,0),0)</f>
        <v>0</v>
      </c>
      <c r="Q101" s="34">
        <f>IF(SUM($I101:P101)&lt;1,IF($C101&lt;=Q$4,1/$E$41,0),0)</f>
        <v>0</v>
      </c>
      <c r="R101" s="34">
        <f>IF(SUM($I101:Q101)&lt;1,IF($C101&lt;=R$4,1/$E$41,0),0)</f>
        <v>0</v>
      </c>
      <c r="S101" s="34">
        <f>IF(SUM($I101:R101)&lt;1,IF($C101&lt;=S$4,1/$E$41,0),0)</f>
        <v>0</v>
      </c>
      <c r="T101" s="34">
        <f>IF(SUM($I101:S101)&lt;1,IF($C101&lt;=T$4,1/$E$41,0),0)</f>
        <v>0</v>
      </c>
      <c r="U101" s="34">
        <f>IF(SUM($I101:T101)&lt;1,IF($C101&lt;=U$4,1/$E$41,0),0)</f>
        <v>0</v>
      </c>
      <c r="V101" s="34">
        <f>IF(SUM($I101:U101)&lt;1,IF($C101&lt;=V$4,1/$E$41,0),0)</f>
        <v>0</v>
      </c>
      <c r="W101" s="34">
        <f>IF(SUM($I101:V101)&lt;1,IF($C101&lt;=W$4,1/$E$41,0),0)</f>
        <v>0</v>
      </c>
      <c r="X101" s="34">
        <f>IF(SUM($I101:W101)&lt;1,IF($C101&lt;=X$4,1/$E$41,0),0)</f>
        <v>0</v>
      </c>
      <c r="Y101" s="34">
        <f>IF(SUM($I101:X101)&lt;1,IF($C101&lt;=Y$4,1/$E$41,0),0)</f>
        <v>0</v>
      </c>
      <c r="Z101" s="34">
        <f>IF(SUM($I101:Y101)&lt;1,IF($C101&lt;=Z$4,1/$E$41,0),0)</f>
        <v>0</v>
      </c>
      <c r="AA101" s="34">
        <f>IF(SUM($I101:Z101)&lt;1,IF($C101&lt;=AA$4,1/$E$41,0),0)</f>
        <v>0</v>
      </c>
      <c r="AB101" s="34">
        <f>IF(SUM($I101:AA101)&lt;1,IF($C101&lt;=AB$4,1/$E$41,0),0)</f>
        <v>0</v>
      </c>
      <c r="AC101" s="34">
        <f>IF(SUM($I101:AB101)&lt;1,IF($C101&lt;=AC$4,1/$E$41,0),0)</f>
        <v>0</v>
      </c>
      <c r="AD101" s="34">
        <f>IF(SUM($I101:AC101)&lt;1,IF($C101&lt;=AD$4,1/$E$41,0),0)</f>
        <v>0</v>
      </c>
      <c r="AE101" s="34">
        <f>IF(SUM($I101:AD101)&lt;1,IF($C101&lt;=AE$4,1/$E$41,0),0)</f>
        <v>0</v>
      </c>
      <c r="AF101" s="34">
        <f>IF(SUM($I101:AE101)&lt;1,IF($C101&lt;=AF$4,1/$E$41,0),0)</f>
        <v>0</v>
      </c>
      <c r="AG101" s="34">
        <f>IF(SUM($I101:AF101)&lt;1,IF($C101&lt;=AG$4,1/$E$41,0),0)</f>
        <v>0</v>
      </c>
      <c r="AH101" s="34">
        <f>IF(SUM($I101:AG101)&lt;1,IF($C101&lt;=AH$4,1/$E$41,0),0)</f>
        <v>0</v>
      </c>
      <c r="AI101" s="34">
        <f>IF(SUM($I101:AH101)&lt;1,IF($C101&lt;=AI$4,1/$E$41,0),0)</f>
        <v>0</v>
      </c>
      <c r="AJ101" s="34">
        <f>IF(SUM($I101:AI101)&lt;1,IF($C101&lt;=AJ$4,1/$E$41,0),0)</f>
        <v>0</v>
      </c>
      <c r="AK101" s="34">
        <f>IF(SUM($I101:AJ101)&lt;1,IF($C101&lt;=AK$4,1/$E$41,0),0)</f>
        <v>0</v>
      </c>
      <c r="AL101" s="34">
        <f>IF(SUM($I101:AK101)&lt;1,IF($C101&lt;=AL$4,1/$E$41,0),0)</f>
        <v>0</v>
      </c>
      <c r="AM101" s="34">
        <f>IF(SUM($I101:AL101)&lt;1,IF($C101&lt;=AM$4,1/$E$41,0),0)</f>
        <v>0</v>
      </c>
      <c r="AN101" s="34">
        <f>IF(SUM($I101:AM101)&lt;1,IF($C101&lt;=AN$4,1/$E$41,0),0)</f>
        <v>0</v>
      </c>
      <c r="AO101" s="34">
        <f>IF(SUM($I101:AN101)&lt;1,IF($C101&lt;=AO$4,1/$E$41,0),0)</f>
        <v>0</v>
      </c>
      <c r="AP101" s="34">
        <f>IF(SUM($I101:AO101)&lt;1,IF($C101&lt;=AP$4,1/$E$41,0),0)</f>
        <v>0</v>
      </c>
      <c r="AQ101" s="34">
        <f>IF(SUM($I101:AP101)&lt;1,IF($C101&lt;=AQ$4,1/$E$41,0),0)</f>
        <v>0</v>
      </c>
      <c r="AR101" s="34">
        <f>IF(SUM($I101:AQ101)&lt;1,IF($C101&lt;=AR$4,1/$E$41,0),0)</f>
        <v>0</v>
      </c>
      <c r="AS101" s="34">
        <f>IF(SUM($I101:AR101)&lt;1,IF($C101&lt;=AS$4,1/$E$41,0),0)</f>
        <v>0</v>
      </c>
      <c r="AT101" s="34">
        <f>IF(SUM($I101:AS101)&lt;1,IF($C101&lt;=AT$4,1/$E$41,0),0)</f>
        <v>0</v>
      </c>
      <c r="AU101" s="34">
        <f>IF(SUM($I101:AT101)&lt;1,IF($C101&lt;=AU$4,1/$E$41,0),0)</f>
        <v>0</v>
      </c>
      <c r="AV101" s="34">
        <f>IF(SUM($I101:AU101)&lt;1,IF($C101&lt;=AV$4,1/$E$41,0),0)</f>
        <v>0</v>
      </c>
      <c r="AW101" s="34">
        <f>IF(SUM($I101:AV101)&lt;1,IF($C101&lt;=AW$4,1/$E$41,0),0)</f>
        <v>0</v>
      </c>
      <c r="AX101" s="34">
        <f>IF(SUM($I101:AW101)&lt;1,IF($C101&lt;=AX$4,1/$E$41,0),0)</f>
        <v>0</v>
      </c>
      <c r="AY101" s="34">
        <f>IF(SUM($I101:AX101)&lt;1,IF($C101&lt;=AY$4,1/$E$41,0),0)</f>
        <v>0</v>
      </c>
      <c r="AZ101" s="34">
        <f>IF(SUM($I101:AY101)&lt;1,IF($C101&lt;=AZ$4,1/$E$41,0),0)</f>
        <v>0</v>
      </c>
      <c r="BA101" s="34">
        <f>IF(SUM($I101:AZ101)&lt;1,IF($C101&lt;=BA$4,1/$E$41,0),0)</f>
        <v>0</v>
      </c>
      <c r="BB101" s="34">
        <f>IF(SUM($I101:BA101)&lt;1,IF($C101&lt;=BB$4,1/$E$41,0),0)</f>
        <v>0</v>
      </c>
      <c r="BC101" s="34">
        <f>IF(SUM($I101:BB101)&lt;1,IF($C101&lt;=BC$4,1/$E$41,0),0)</f>
        <v>0</v>
      </c>
      <c r="BD101" s="34">
        <f>IF(SUM($I101:BC101)&lt;1,IF($C101&lt;=BD$4,1/$E$41,0),0)</f>
        <v>0</v>
      </c>
      <c r="BE101" s="34">
        <f>IF(SUM($I101:BD101)&lt;1,IF($C101&lt;=BE$4,1/$E$41,0),0)</f>
        <v>0</v>
      </c>
      <c r="BF101" s="34">
        <f>IF(SUM($I101:BE101)&lt;1,IF($C101&lt;=BF$4,1/$E$41,0),0)</f>
        <v>0</v>
      </c>
      <c r="BG101" s="34">
        <f>IF(SUM($I101:BF101)&lt;1,IF($C101&lt;=BG$4,1/$E$41,0),0)</f>
        <v>0</v>
      </c>
      <c r="BH101" s="34">
        <f>IF(SUM($I101:BG101)&lt;1,IF($C101&lt;=BH$4,1/$E$41,0),0)</f>
        <v>0</v>
      </c>
      <c r="BI101" s="34">
        <f>IF(SUM($I101:BH101)&lt;1,IF($C101&lt;=BI$4,1/$E$41,0),0)</f>
        <v>0</v>
      </c>
      <c r="BJ101" s="34">
        <f>IF(SUM($I101:BI101)&lt;1,IF($C101&lt;=BJ$4,1/$E$41,0),0)</f>
        <v>0</v>
      </c>
      <c r="BK101" s="34">
        <f>IF(SUM($I101:BJ101)&lt;1,IF($C101&lt;=BK$4,1/$E$41,0),0)</f>
        <v>0</v>
      </c>
      <c r="BL101" s="34">
        <f>IF(SUM($I101:BK101)&lt;1,IF($C101&lt;=BL$4,1/$E$41,0),0)</f>
        <v>0</v>
      </c>
      <c r="BM101" s="34">
        <f>IF(SUM($I101:BL101)&lt;1,IF($C101&lt;=BM$4,1/$E$41,0),0)</f>
        <v>0</v>
      </c>
      <c r="BN101" s="34">
        <f>IF(SUM($I101:BM101)&lt;1,IF($C101&lt;=BN$4,1/$E$41,0),0)</f>
        <v>0.25</v>
      </c>
      <c r="BO101" s="34">
        <f>IF(SUM($I101:BN101)&lt;1,IF($C101&lt;=BO$4,1/$E$41,0),0)</f>
        <v>0.25</v>
      </c>
      <c r="BP101" s="34">
        <f>IF(SUM($I101:BO101)&lt;1,IF($C101&lt;=BP$4,1/$E$41,0),0)</f>
        <v>0.25</v>
      </c>
      <c r="BQ101" s="34">
        <f>IF(SUM($I101:BP101)&lt;1,IF($C101&lt;=BQ$4,1/$E$41,0),0)</f>
        <v>0.25</v>
      </c>
      <c r="BR101" s="34">
        <f>IF(SUM($I101:BQ101)&lt;1,IF($C101&lt;=BR$4,1/$E$41,0),0)</f>
        <v>0</v>
      </c>
      <c r="BS101" s="34">
        <f>IF(SUM($I101:BR101)&lt;1,IF($C101&lt;=BS$4,1/$E$41,0),0)</f>
        <v>0</v>
      </c>
      <c r="BT101" s="34">
        <f>IF(SUM($I101:BS101)&lt;1,IF($C101&lt;=BT$4,1/$E$41,0),0)</f>
        <v>0</v>
      </c>
      <c r="BU101" s="34">
        <f>IF(SUM($I101:BT101)&lt;1,IF($C101&lt;=BU$4,1/$E$41,0),0)</f>
        <v>0</v>
      </c>
      <c r="BV101" s="34">
        <f>IF(SUM($I101:BU101)&lt;1,IF($C101&lt;=BV$4,1/$E$41,0),0)</f>
        <v>0</v>
      </c>
      <c r="BW101" s="34">
        <f>IF(SUM($I101:BV101)&lt;1,IF($C101&lt;=BW$4,1/$E$41,0),0)</f>
        <v>0</v>
      </c>
      <c r="BX101" s="34">
        <f>IF(SUM($I101:BW101)&lt;1,IF($C101&lt;=BX$4,1/$E$41,0),0)</f>
        <v>0</v>
      </c>
      <c r="BY101" s="34">
        <f>IF(SUM($I101:BX101)&lt;1,IF($C101&lt;=BY$4,1/$E$41,0),0)</f>
        <v>0</v>
      </c>
      <c r="BZ101" s="34">
        <f>IF(SUM($I101:BY101)&lt;1,IF($C101&lt;=BZ$4,1/$E$41,0),0)</f>
        <v>0</v>
      </c>
      <c r="CA101" s="34">
        <f>IF(SUM($I101:BZ101)&lt;1,IF($C101&lt;=CA$4,1/$E$41,0),0)</f>
        <v>0</v>
      </c>
      <c r="CB101" s="34">
        <f>IF(SUM($I101:CA101)&lt;1,IF($C101&lt;=CB$4,1/$E$41,0),0)</f>
        <v>0</v>
      </c>
      <c r="CC101" s="34">
        <f>IF(SUM($I101:CB101)&lt;1,IF($C101&lt;=CC$4,1/$E$41,0),0)</f>
        <v>0</v>
      </c>
      <c r="CD101" s="34">
        <f>IF(SUM($I101:CC101)&lt;1,IF($C101&lt;=CD$4,1/$E$41,0),0)</f>
        <v>0</v>
      </c>
      <c r="CE101" s="34">
        <f>IF(SUM($I101:CD101)&lt;1,IF($C101&lt;=CE$4,1/$E$41,0),0)</f>
        <v>0</v>
      </c>
      <c r="CF101" s="34">
        <f>IF(SUM($I101:CE101)&lt;1,IF($C101&lt;=CF$4,1/$E$41,0),0)</f>
        <v>0</v>
      </c>
      <c r="CG101" s="34">
        <f>IF(SUM($I101:CF101)&lt;1,IF($C101&lt;=CG$4,1/$E$41,0),0)</f>
        <v>0</v>
      </c>
      <c r="CH101" s="34">
        <f>IF(SUM($I101:CG101)&lt;1,IF($C101&lt;=CH$4,1/$E$41,0),0)</f>
        <v>0</v>
      </c>
      <c r="CI101" s="34">
        <f>IF(SUM($I101:CH101)&lt;1,IF($C101&lt;=CI$4,1/$E$41,0),0)</f>
        <v>0</v>
      </c>
      <c r="CJ101" s="34">
        <f>IF(SUM($I101:CI101)&lt;1,IF($C101&lt;=CJ$4,1/$E$41,0),0)</f>
        <v>0</v>
      </c>
      <c r="CK101" s="34">
        <f>IF(SUM($I101:CJ101)&lt;1,IF($C101&lt;=CK$4,1/$E$41,0),0)</f>
        <v>0</v>
      </c>
      <c r="CL101" s="34">
        <f>IF(SUM($I101:CK101)&lt;1,IF($C101&lt;=CL$4,1/$E$41,0),0)</f>
        <v>0</v>
      </c>
      <c r="CM101" s="34">
        <f>IF(SUM($I101:CL101)&lt;1,IF($C101&lt;=CM$4,1/$E$41,0),0)</f>
        <v>0</v>
      </c>
      <c r="CN101" s="34">
        <f>IF(SUM($I101:CM101)&lt;1,IF($C101&lt;=CN$4,1/$E$41,0),0)</f>
        <v>0</v>
      </c>
      <c r="CO101" s="34">
        <f>IF(SUM($I101:CN101)&lt;1,IF($C101&lt;=CO$4,1/$E$41,0),0)</f>
        <v>0</v>
      </c>
      <c r="CP101" s="34">
        <f>IF(SUM($I101:CO101)&lt;1,IF($C101&lt;=CP$4,1/$E$41,0),0)</f>
        <v>0</v>
      </c>
      <c r="CQ101" s="34">
        <f>IF(SUM($I101:CP101)&lt;1,IF($C101&lt;=CQ$4,1/$E$41,0),0)</f>
        <v>0</v>
      </c>
      <c r="CR101" s="34">
        <f>IF(SUM($I101:CQ101)&lt;1,IF($C101&lt;=CR$4,1/$E$41,0),0)</f>
        <v>0</v>
      </c>
      <c r="CS101" s="34">
        <f>IF(SUM($I101:CR101)&lt;1,IF($C101&lt;=CS$4,1/$E$41,0),0)</f>
        <v>0</v>
      </c>
      <c r="CT101" s="34">
        <f>IF(SUM($I101:CS101)&lt;1,IF($C101&lt;=CT$4,1/$E$41,0),0)</f>
        <v>0</v>
      </c>
      <c r="CU101" s="34">
        <f>IF(SUM($I101:CT101)&lt;1,IF($C101&lt;=CU$4,1/$E$41,0),0)</f>
        <v>0</v>
      </c>
      <c r="CV101" s="34">
        <f>IF(SUM($I101:CU101)&lt;1,IF($C101&lt;=CV$4,1/$E$41,0),0)</f>
        <v>0</v>
      </c>
      <c r="CW101" s="34">
        <f>IF(SUM($I101:CV101)&lt;1,IF($C101&lt;=CW$4,1/$E$41,0),0)</f>
        <v>0</v>
      </c>
      <c r="CX101" s="34">
        <f>IF(SUM($I101:CW101)&lt;1,IF($C101&lt;=CX$4,1/$E$41,0),0)</f>
        <v>0</v>
      </c>
      <c r="CY101" s="34">
        <f>IF(SUM($I101:CX101)&lt;1,IF($C101&lt;=CY$4,1/$E$41,0),0)</f>
        <v>0</v>
      </c>
      <c r="CZ101" s="34">
        <f>IF(SUM($I101:CY101)&lt;1,IF($C101&lt;=CZ$4,1/$E$41,0),0)</f>
        <v>0</v>
      </c>
      <c r="DA101" s="34">
        <f>IF(SUM($I101:CZ101)&lt;1,IF($C101&lt;=DA$4,1/$E$41,0),0)</f>
        <v>0</v>
      </c>
      <c r="DB101" s="34">
        <f>IF(SUM($I101:DA101)&lt;1,IF($C101&lt;=DB$4,1/$E$41,0),0)</f>
        <v>0</v>
      </c>
      <c r="DC101" s="34">
        <f>IF(SUM($I101:DB101)&lt;1,IF($C101&lt;=DC$4,1/$E$41,0),0)</f>
        <v>0</v>
      </c>
      <c r="DD101" s="34">
        <f>IF(SUM($I101:DC101)&lt;1,IF($C101&lt;=DD$4,1/$E$41,0),0)</f>
        <v>0</v>
      </c>
      <c r="DE101" s="34">
        <f>IF(SUM($I101:DD101)&lt;1,IF($C101&lt;=DE$4,1/$E$41,0),0)</f>
        <v>0</v>
      </c>
      <c r="DF101" s="34">
        <f>IF(SUM($I101:DE101)&lt;1,IF($C101&lt;=DF$4,1/$E$41,0),0)</f>
        <v>0</v>
      </c>
      <c r="DG101" s="34">
        <f>IF(SUM($I101:DF101)&lt;1,IF($C101&lt;=DG$4,1/$E$41,0),0)</f>
        <v>0</v>
      </c>
      <c r="DH101" s="34">
        <f>IF(SUM($I101:DG101)&lt;1,IF($C101&lt;=DH$4,1/$E$41,0),0)</f>
        <v>0</v>
      </c>
      <c r="DI101" s="34">
        <f>IF(SUM($I101:DH101)&lt;1,IF($C101&lt;=DI$4,1/$E$41,0),0)</f>
        <v>0</v>
      </c>
      <c r="DJ101" s="34">
        <f>IF(SUM($I101:DI101)&lt;1,IF($C101&lt;=DJ$4,1/$E$41,0),0)</f>
        <v>0</v>
      </c>
      <c r="DK101" s="34">
        <f>IF(SUM($I101:DJ101)&lt;1,IF($C101&lt;=DK$4,1/$E$41,0),0)</f>
        <v>0</v>
      </c>
      <c r="DL101" s="34">
        <f>IF(SUM($I101:DK101)&lt;1,IF($C101&lt;=DL$4,1/$E$41,0),0)</f>
        <v>0</v>
      </c>
      <c r="DM101" s="34">
        <f>IF(SUM($I101:DL101)&lt;1,IF($C101&lt;=DM$4,1/$E$41,0),0)</f>
        <v>0</v>
      </c>
    </row>
    <row r="102" spans="3:117" outlineLevel="1" x14ac:dyDescent="0.15">
      <c r="C102" s="50">
        <f t="shared" si="48"/>
        <v>58</v>
      </c>
      <c r="D102" s="5" t="s">
        <v>18</v>
      </c>
      <c r="E102" s="19">
        <f t="shared" si="49"/>
        <v>0</v>
      </c>
      <c r="I102" s="9"/>
      <c r="J102" s="34">
        <f>IF(SUM($I102:I102)&lt;1,IF($C102&lt;=J$4,1/$E$41,0),0)</f>
        <v>0</v>
      </c>
      <c r="K102" s="34">
        <f>IF(SUM($I102:J102)&lt;1,IF($C102&lt;=K$4,1/$E$41,0),0)</f>
        <v>0</v>
      </c>
      <c r="L102" s="34">
        <f>IF(SUM($I102:K102)&lt;1,IF($C102&lt;=L$4,1/$E$41,0),0)</f>
        <v>0</v>
      </c>
      <c r="M102" s="34">
        <f>IF(SUM($I102:L102)&lt;1,IF($C102&lt;=M$4,1/$E$41,0),0)</f>
        <v>0</v>
      </c>
      <c r="N102" s="34">
        <f>IF(SUM($I102:M102)&lt;1,IF($C102&lt;=N$4,1/$E$41,0),0)</f>
        <v>0</v>
      </c>
      <c r="O102" s="34">
        <f>IF(SUM($I102:N102)&lt;1,IF($C102&lt;=O$4,1/$E$41,0),0)</f>
        <v>0</v>
      </c>
      <c r="P102" s="34">
        <f>IF(SUM($I102:O102)&lt;1,IF($C102&lt;=P$4,1/$E$41,0),0)</f>
        <v>0</v>
      </c>
      <c r="Q102" s="34">
        <f>IF(SUM($I102:P102)&lt;1,IF($C102&lt;=Q$4,1/$E$41,0),0)</f>
        <v>0</v>
      </c>
      <c r="R102" s="34">
        <f>IF(SUM($I102:Q102)&lt;1,IF($C102&lt;=R$4,1/$E$41,0),0)</f>
        <v>0</v>
      </c>
      <c r="S102" s="34">
        <f>IF(SUM($I102:R102)&lt;1,IF($C102&lt;=S$4,1/$E$41,0),0)</f>
        <v>0</v>
      </c>
      <c r="T102" s="34">
        <f>IF(SUM($I102:S102)&lt;1,IF($C102&lt;=T$4,1/$E$41,0),0)</f>
        <v>0</v>
      </c>
      <c r="U102" s="34">
        <f>IF(SUM($I102:T102)&lt;1,IF($C102&lt;=U$4,1/$E$41,0),0)</f>
        <v>0</v>
      </c>
      <c r="V102" s="34">
        <f>IF(SUM($I102:U102)&lt;1,IF($C102&lt;=V$4,1/$E$41,0),0)</f>
        <v>0</v>
      </c>
      <c r="W102" s="34">
        <f>IF(SUM($I102:V102)&lt;1,IF($C102&lt;=W$4,1/$E$41,0),0)</f>
        <v>0</v>
      </c>
      <c r="X102" s="34">
        <f>IF(SUM($I102:W102)&lt;1,IF($C102&lt;=X$4,1/$E$41,0),0)</f>
        <v>0</v>
      </c>
      <c r="Y102" s="34">
        <f>IF(SUM($I102:X102)&lt;1,IF($C102&lt;=Y$4,1/$E$41,0),0)</f>
        <v>0</v>
      </c>
      <c r="Z102" s="34">
        <f>IF(SUM($I102:Y102)&lt;1,IF($C102&lt;=Z$4,1/$E$41,0),0)</f>
        <v>0</v>
      </c>
      <c r="AA102" s="34">
        <f>IF(SUM($I102:Z102)&lt;1,IF($C102&lt;=AA$4,1/$E$41,0),0)</f>
        <v>0</v>
      </c>
      <c r="AB102" s="34">
        <f>IF(SUM($I102:AA102)&lt;1,IF($C102&lt;=AB$4,1/$E$41,0),0)</f>
        <v>0</v>
      </c>
      <c r="AC102" s="34">
        <f>IF(SUM($I102:AB102)&lt;1,IF($C102&lt;=AC$4,1/$E$41,0),0)</f>
        <v>0</v>
      </c>
      <c r="AD102" s="34">
        <f>IF(SUM($I102:AC102)&lt;1,IF($C102&lt;=AD$4,1/$E$41,0),0)</f>
        <v>0</v>
      </c>
      <c r="AE102" s="34">
        <f>IF(SUM($I102:AD102)&lt;1,IF($C102&lt;=AE$4,1/$E$41,0),0)</f>
        <v>0</v>
      </c>
      <c r="AF102" s="34">
        <f>IF(SUM($I102:AE102)&lt;1,IF($C102&lt;=AF$4,1/$E$41,0),0)</f>
        <v>0</v>
      </c>
      <c r="AG102" s="34">
        <f>IF(SUM($I102:AF102)&lt;1,IF($C102&lt;=AG$4,1/$E$41,0),0)</f>
        <v>0</v>
      </c>
      <c r="AH102" s="34">
        <f>IF(SUM($I102:AG102)&lt;1,IF($C102&lt;=AH$4,1/$E$41,0),0)</f>
        <v>0</v>
      </c>
      <c r="AI102" s="34">
        <f>IF(SUM($I102:AH102)&lt;1,IF($C102&lt;=AI$4,1/$E$41,0),0)</f>
        <v>0</v>
      </c>
      <c r="AJ102" s="34">
        <f>IF(SUM($I102:AI102)&lt;1,IF($C102&lt;=AJ$4,1/$E$41,0),0)</f>
        <v>0</v>
      </c>
      <c r="AK102" s="34">
        <f>IF(SUM($I102:AJ102)&lt;1,IF($C102&lt;=AK$4,1/$E$41,0),0)</f>
        <v>0</v>
      </c>
      <c r="AL102" s="34">
        <f>IF(SUM($I102:AK102)&lt;1,IF($C102&lt;=AL$4,1/$E$41,0),0)</f>
        <v>0</v>
      </c>
      <c r="AM102" s="34">
        <f>IF(SUM($I102:AL102)&lt;1,IF($C102&lt;=AM$4,1/$E$41,0),0)</f>
        <v>0</v>
      </c>
      <c r="AN102" s="34">
        <f>IF(SUM($I102:AM102)&lt;1,IF($C102&lt;=AN$4,1/$E$41,0),0)</f>
        <v>0</v>
      </c>
      <c r="AO102" s="34">
        <f>IF(SUM($I102:AN102)&lt;1,IF($C102&lt;=AO$4,1/$E$41,0),0)</f>
        <v>0</v>
      </c>
      <c r="AP102" s="34">
        <f>IF(SUM($I102:AO102)&lt;1,IF($C102&lt;=AP$4,1/$E$41,0),0)</f>
        <v>0</v>
      </c>
      <c r="AQ102" s="34">
        <f>IF(SUM($I102:AP102)&lt;1,IF($C102&lt;=AQ$4,1/$E$41,0),0)</f>
        <v>0</v>
      </c>
      <c r="AR102" s="34">
        <f>IF(SUM($I102:AQ102)&lt;1,IF($C102&lt;=AR$4,1/$E$41,0),0)</f>
        <v>0</v>
      </c>
      <c r="AS102" s="34">
        <f>IF(SUM($I102:AR102)&lt;1,IF($C102&lt;=AS$4,1/$E$41,0),0)</f>
        <v>0</v>
      </c>
      <c r="AT102" s="34">
        <f>IF(SUM($I102:AS102)&lt;1,IF($C102&lt;=AT$4,1/$E$41,0),0)</f>
        <v>0</v>
      </c>
      <c r="AU102" s="34">
        <f>IF(SUM($I102:AT102)&lt;1,IF($C102&lt;=AU$4,1/$E$41,0),0)</f>
        <v>0</v>
      </c>
      <c r="AV102" s="34">
        <f>IF(SUM($I102:AU102)&lt;1,IF($C102&lt;=AV$4,1/$E$41,0),0)</f>
        <v>0</v>
      </c>
      <c r="AW102" s="34">
        <f>IF(SUM($I102:AV102)&lt;1,IF($C102&lt;=AW$4,1/$E$41,0),0)</f>
        <v>0</v>
      </c>
      <c r="AX102" s="34">
        <f>IF(SUM($I102:AW102)&lt;1,IF($C102&lt;=AX$4,1/$E$41,0),0)</f>
        <v>0</v>
      </c>
      <c r="AY102" s="34">
        <f>IF(SUM($I102:AX102)&lt;1,IF($C102&lt;=AY$4,1/$E$41,0),0)</f>
        <v>0</v>
      </c>
      <c r="AZ102" s="34">
        <f>IF(SUM($I102:AY102)&lt;1,IF($C102&lt;=AZ$4,1/$E$41,0),0)</f>
        <v>0</v>
      </c>
      <c r="BA102" s="34">
        <f>IF(SUM($I102:AZ102)&lt;1,IF($C102&lt;=BA$4,1/$E$41,0),0)</f>
        <v>0</v>
      </c>
      <c r="BB102" s="34">
        <f>IF(SUM($I102:BA102)&lt;1,IF($C102&lt;=BB$4,1/$E$41,0),0)</f>
        <v>0</v>
      </c>
      <c r="BC102" s="34">
        <f>IF(SUM($I102:BB102)&lt;1,IF($C102&lt;=BC$4,1/$E$41,0),0)</f>
        <v>0</v>
      </c>
      <c r="BD102" s="34">
        <f>IF(SUM($I102:BC102)&lt;1,IF($C102&lt;=BD$4,1/$E$41,0),0)</f>
        <v>0</v>
      </c>
      <c r="BE102" s="34">
        <f>IF(SUM($I102:BD102)&lt;1,IF($C102&lt;=BE$4,1/$E$41,0),0)</f>
        <v>0</v>
      </c>
      <c r="BF102" s="34">
        <f>IF(SUM($I102:BE102)&lt;1,IF($C102&lt;=BF$4,1/$E$41,0),0)</f>
        <v>0</v>
      </c>
      <c r="BG102" s="34">
        <f>IF(SUM($I102:BF102)&lt;1,IF($C102&lt;=BG$4,1/$E$41,0),0)</f>
        <v>0</v>
      </c>
      <c r="BH102" s="34">
        <f>IF(SUM($I102:BG102)&lt;1,IF($C102&lt;=BH$4,1/$E$41,0),0)</f>
        <v>0</v>
      </c>
      <c r="BI102" s="34">
        <f>IF(SUM($I102:BH102)&lt;1,IF($C102&lt;=BI$4,1/$E$41,0),0)</f>
        <v>0</v>
      </c>
      <c r="BJ102" s="34">
        <f>IF(SUM($I102:BI102)&lt;1,IF($C102&lt;=BJ$4,1/$E$41,0),0)</f>
        <v>0</v>
      </c>
      <c r="BK102" s="34">
        <f>IF(SUM($I102:BJ102)&lt;1,IF($C102&lt;=BK$4,1/$E$41,0),0)</f>
        <v>0</v>
      </c>
      <c r="BL102" s="34">
        <f>IF(SUM($I102:BK102)&lt;1,IF($C102&lt;=BL$4,1/$E$41,0),0)</f>
        <v>0</v>
      </c>
      <c r="BM102" s="34">
        <f>IF(SUM($I102:BL102)&lt;1,IF($C102&lt;=BM$4,1/$E$41,0),0)</f>
        <v>0</v>
      </c>
      <c r="BN102" s="34">
        <f>IF(SUM($I102:BM102)&lt;1,IF($C102&lt;=BN$4,1/$E$41,0),0)</f>
        <v>0</v>
      </c>
      <c r="BO102" s="34">
        <f>IF(SUM($I102:BN102)&lt;1,IF($C102&lt;=BO$4,1/$E$41,0),0)</f>
        <v>0.25</v>
      </c>
      <c r="BP102" s="34">
        <f>IF(SUM($I102:BO102)&lt;1,IF($C102&lt;=BP$4,1/$E$41,0),0)</f>
        <v>0.25</v>
      </c>
      <c r="BQ102" s="34">
        <f>IF(SUM($I102:BP102)&lt;1,IF($C102&lt;=BQ$4,1/$E$41,0),0)</f>
        <v>0.25</v>
      </c>
      <c r="BR102" s="34">
        <f>IF(SUM($I102:BQ102)&lt;1,IF($C102&lt;=BR$4,1/$E$41,0),0)</f>
        <v>0.25</v>
      </c>
      <c r="BS102" s="34">
        <f>IF(SUM($I102:BR102)&lt;1,IF($C102&lt;=BS$4,1/$E$41,0),0)</f>
        <v>0</v>
      </c>
      <c r="BT102" s="34">
        <f>IF(SUM($I102:BS102)&lt;1,IF($C102&lt;=BT$4,1/$E$41,0),0)</f>
        <v>0</v>
      </c>
      <c r="BU102" s="34">
        <f>IF(SUM($I102:BT102)&lt;1,IF($C102&lt;=BU$4,1/$E$41,0),0)</f>
        <v>0</v>
      </c>
      <c r="BV102" s="34">
        <f>IF(SUM($I102:BU102)&lt;1,IF($C102&lt;=BV$4,1/$E$41,0),0)</f>
        <v>0</v>
      </c>
      <c r="BW102" s="34">
        <f>IF(SUM($I102:BV102)&lt;1,IF($C102&lt;=BW$4,1/$E$41,0),0)</f>
        <v>0</v>
      </c>
      <c r="BX102" s="34">
        <f>IF(SUM($I102:BW102)&lt;1,IF($C102&lt;=BX$4,1/$E$41,0),0)</f>
        <v>0</v>
      </c>
      <c r="BY102" s="34">
        <f>IF(SUM($I102:BX102)&lt;1,IF($C102&lt;=BY$4,1/$E$41,0),0)</f>
        <v>0</v>
      </c>
      <c r="BZ102" s="34">
        <f>IF(SUM($I102:BY102)&lt;1,IF($C102&lt;=BZ$4,1/$E$41,0),0)</f>
        <v>0</v>
      </c>
      <c r="CA102" s="34">
        <f>IF(SUM($I102:BZ102)&lt;1,IF($C102&lt;=CA$4,1/$E$41,0),0)</f>
        <v>0</v>
      </c>
      <c r="CB102" s="34">
        <f>IF(SUM($I102:CA102)&lt;1,IF($C102&lt;=CB$4,1/$E$41,0),0)</f>
        <v>0</v>
      </c>
      <c r="CC102" s="34">
        <f>IF(SUM($I102:CB102)&lt;1,IF($C102&lt;=CC$4,1/$E$41,0),0)</f>
        <v>0</v>
      </c>
      <c r="CD102" s="34">
        <f>IF(SUM($I102:CC102)&lt;1,IF($C102&lt;=CD$4,1/$E$41,0),0)</f>
        <v>0</v>
      </c>
      <c r="CE102" s="34">
        <f>IF(SUM($I102:CD102)&lt;1,IF($C102&lt;=CE$4,1/$E$41,0),0)</f>
        <v>0</v>
      </c>
      <c r="CF102" s="34">
        <f>IF(SUM($I102:CE102)&lt;1,IF($C102&lt;=CF$4,1/$E$41,0),0)</f>
        <v>0</v>
      </c>
      <c r="CG102" s="34">
        <f>IF(SUM($I102:CF102)&lt;1,IF($C102&lt;=CG$4,1/$E$41,0),0)</f>
        <v>0</v>
      </c>
      <c r="CH102" s="34">
        <f>IF(SUM($I102:CG102)&lt;1,IF($C102&lt;=CH$4,1/$E$41,0),0)</f>
        <v>0</v>
      </c>
      <c r="CI102" s="34">
        <f>IF(SUM($I102:CH102)&lt;1,IF($C102&lt;=CI$4,1/$E$41,0),0)</f>
        <v>0</v>
      </c>
      <c r="CJ102" s="34">
        <f>IF(SUM($I102:CI102)&lt;1,IF($C102&lt;=CJ$4,1/$E$41,0),0)</f>
        <v>0</v>
      </c>
      <c r="CK102" s="34">
        <f>IF(SUM($I102:CJ102)&lt;1,IF($C102&lt;=CK$4,1/$E$41,0),0)</f>
        <v>0</v>
      </c>
      <c r="CL102" s="34">
        <f>IF(SUM($I102:CK102)&lt;1,IF($C102&lt;=CL$4,1/$E$41,0),0)</f>
        <v>0</v>
      </c>
      <c r="CM102" s="34">
        <f>IF(SUM($I102:CL102)&lt;1,IF($C102&lt;=CM$4,1/$E$41,0),0)</f>
        <v>0</v>
      </c>
      <c r="CN102" s="34">
        <f>IF(SUM($I102:CM102)&lt;1,IF($C102&lt;=CN$4,1/$E$41,0),0)</f>
        <v>0</v>
      </c>
      <c r="CO102" s="34">
        <f>IF(SUM($I102:CN102)&lt;1,IF($C102&lt;=CO$4,1/$E$41,0),0)</f>
        <v>0</v>
      </c>
      <c r="CP102" s="34">
        <f>IF(SUM($I102:CO102)&lt;1,IF($C102&lt;=CP$4,1/$E$41,0),0)</f>
        <v>0</v>
      </c>
      <c r="CQ102" s="34">
        <f>IF(SUM($I102:CP102)&lt;1,IF($C102&lt;=CQ$4,1/$E$41,0),0)</f>
        <v>0</v>
      </c>
      <c r="CR102" s="34">
        <f>IF(SUM($I102:CQ102)&lt;1,IF($C102&lt;=CR$4,1/$E$41,0),0)</f>
        <v>0</v>
      </c>
      <c r="CS102" s="34">
        <f>IF(SUM($I102:CR102)&lt;1,IF($C102&lt;=CS$4,1/$E$41,0),0)</f>
        <v>0</v>
      </c>
      <c r="CT102" s="34">
        <f>IF(SUM($I102:CS102)&lt;1,IF($C102&lt;=CT$4,1/$E$41,0),0)</f>
        <v>0</v>
      </c>
      <c r="CU102" s="34">
        <f>IF(SUM($I102:CT102)&lt;1,IF($C102&lt;=CU$4,1/$E$41,0),0)</f>
        <v>0</v>
      </c>
      <c r="CV102" s="34">
        <f>IF(SUM($I102:CU102)&lt;1,IF($C102&lt;=CV$4,1/$E$41,0),0)</f>
        <v>0</v>
      </c>
      <c r="CW102" s="34">
        <f>IF(SUM($I102:CV102)&lt;1,IF($C102&lt;=CW$4,1/$E$41,0),0)</f>
        <v>0</v>
      </c>
      <c r="CX102" s="34">
        <f>IF(SUM($I102:CW102)&lt;1,IF($C102&lt;=CX$4,1/$E$41,0),0)</f>
        <v>0</v>
      </c>
      <c r="CY102" s="34">
        <f>IF(SUM($I102:CX102)&lt;1,IF($C102&lt;=CY$4,1/$E$41,0),0)</f>
        <v>0</v>
      </c>
      <c r="CZ102" s="34">
        <f>IF(SUM($I102:CY102)&lt;1,IF($C102&lt;=CZ$4,1/$E$41,0),0)</f>
        <v>0</v>
      </c>
      <c r="DA102" s="34">
        <f>IF(SUM($I102:CZ102)&lt;1,IF($C102&lt;=DA$4,1/$E$41,0),0)</f>
        <v>0</v>
      </c>
      <c r="DB102" s="34">
        <f>IF(SUM($I102:DA102)&lt;1,IF($C102&lt;=DB$4,1/$E$41,0),0)</f>
        <v>0</v>
      </c>
      <c r="DC102" s="34">
        <f>IF(SUM($I102:DB102)&lt;1,IF($C102&lt;=DC$4,1/$E$41,0),0)</f>
        <v>0</v>
      </c>
      <c r="DD102" s="34">
        <f>IF(SUM($I102:DC102)&lt;1,IF($C102&lt;=DD$4,1/$E$41,0),0)</f>
        <v>0</v>
      </c>
      <c r="DE102" s="34">
        <f>IF(SUM($I102:DD102)&lt;1,IF($C102&lt;=DE$4,1/$E$41,0),0)</f>
        <v>0</v>
      </c>
      <c r="DF102" s="34">
        <f>IF(SUM($I102:DE102)&lt;1,IF($C102&lt;=DF$4,1/$E$41,0),0)</f>
        <v>0</v>
      </c>
      <c r="DG102" s="34">
        <f>IF(SUM($I102:DF102)&lt;1,IF($C102&lt;=DG$4,1/$E$41,0),0)</f>
        <v>0</v>
      </c>
      <c r="DH102" s="34">
        <f>IF(SUM($I102:DG102)&lt;1,IF($C102&lt;=DH$4,1/$E$41,0),0)</f>
        <v>0</v>
      </c>
      <c r="DI102" s="34">
        <f>IF(SUM($I102:DH102)&lt;1,IF($C102&lt;=DI$4,1/$E$41,0),0)</f>
        <v>0</v>
      </c>
      <c r="DJ102" s="34">
        <f>IF(SUM($I102:DI102)&lt;1,IF($C102&lt;=DJ$4,1/$E$41,0),0)</f>
        <v>0</v>
      </c>
      <c r="DK102" s="34">
        <f>IF(SUM($I102:DJ102)&lt;1,IF($C102&lt;=DK$4,1/$E$41,0),0)</f>
        <v>0</v>
      </c>
      <c r="DL102" s="34">
        <f>IF(SUM($I102:DK102)&lt;1,IF($C102&lt;=DL$4,1/$E$41,0),0)</f>
        <v>0</v>
      </c>
      <c r="DM102" s="34">
        <f>IF(SUM($I102:DL102)&lt;1,IF($C102&lt;=DM$4,1/$E$41,0),0)</f>
        <v>0</v>
      </c>
    </row>
    <row r="103" spans="3:117" outlineLevel="1" x14ac:dyDescent="0.15">
      <c r="C103" s="50">
        <f t="shared" si="48"/>
        <v>59</v>
      </c>
      <c r="D103" s="5" t="s">
        <v>18</v>
      </c>
      <c r="E103" s="19">
        <f t="shared" si="49"/>
        <v>0</v>
      </c>
      <c r="I103" s="9"/>
      <c r="J103" s="34">
        <f>IF(SUM($I103:I103)&lt;1,IF($C103&lt;=J$4,1/$E$41,0),0)</f>
        <v>0</v>
      </c>
      <c r="K103" s="34">
        <f>IF(SUM($I103:J103)&lt;1,IF($C103&lt;=K$4,1/$E$41,0),0)</f>
        <v>0</v>
      </c>
      <c r="L103" s="34">
        <f>IF(SUM($I103:K103)&lt;1,IF($C103&lt;=L$4,1/$E$41,0),0)</f>
        <v>0</v>
      </c>
      <c r="M103" s="34">
        <f>IF(SUM($I103:L103)&lt;1,IF($C103&lt;=M$4,1/$E$41,0),0)</f>
        <v>0</v>
      </c>
      <c r="N103" s="34">
        <f>IF(SUM($I103:M103)&lt;1,IF($C103&lt;=N$4,1/$E$41,0),0)</f>
        <v>0</v>
      </c>
      <c r="O103" s="34">
        <f>IF(SUM($I103:N103)&lt;1,IF($C103&lt;=O$4,1/$E$41,0),0)</f>
        <v>0</v>
      </c>
      <c r="P103" s="34">
        <f>IF(SUM($I103:O103)&lt;1,IF($C103&lt;=P$4,1/$E$41,0),0)</f>
        <v>0</v>
      </c>
      <c r="Q103" s="34">
        <f>IF(SUM($I103:P103)&lt;1,IF($C103&lt;=Q$4,1/$E$41,0),0)</f>
        <v>0</v>
      </c>
      <c r="R103" s="34">
        <f>IF(SUM($I103:Q103)&lt;1,IF($C103&lt;=R$4,1/$E$41,0),0)</f>
        <v>0</v>
      </c>
      <c r="S103" s="34">
        <f>IF(SUM($I103:R103)&lt;1,IF($C103&lt;=S$4,1/$E$41,0),0)</f>
        <v>0</v>
      </c>
      <c r="T103" s="34">
        <f>IF(SUM($I103:S103)&lt;1,IF($C103&lt;=T$4,1/$E$41,0),0)</f>
        <v>0</v>
      </c>
      <c r="U103" s="34">
        <f>IF(SUM($I103:T103)&lt;1,IF($C103&lt;=U$4,1/$E$41,0),0)</f>
        <v>0</v>
      </c>
      <c r="V103" s="34">
        <f>IF(SUM($I103:U103)&lt;1,IF($C103&lt;=V$4,1/$E$41,0),0)</f>
        <v>0</v>
      </c>
      <c r="W103" s="34">
        <f>IF(SUM($I103:V103)&lt;1,IF($C103&lt;=W$4,1/$E$41,0),0)</f>
        <v>0</v>
      </c>
      <c r="X103" s="34">
        <f>IF(SUM($I103:W103)&lt;1,IF($C103&lt;=X$4,1/$E$41,0),0)</f>
        <v>0</v>
      </c>
      <c r="Y103" s="34">
        <f>IF(SUM($I103:X103)&lt;1,IF($C103&lt;=Y$4,1/$E$41,0),0)</f>
        <v>0</v>
      </c>
      <c r="Z103" s="34">
        <f>IF(SUM($I103:Y103)&lt;1,IF($C103&lt;=Z$4,1/$E$41,0),0)</f>
        <v>0</v>
      </c>
      <c r="AA103" s="34">
        <f>IF(SUM($I103:Z103)&lt;1,IF($C103&lt;=AA$4,1/$E$41,0),0)</f>
        <v>0</v>
      </c>
      <c r="AB103" s="34">
        <f>IF(SUM($I103:AA103)&lt;1,IF($C103&lt;=AB$4,1/$E$41,0),0)</f>
        <v>0</v>
      </c>
      <c r="AC103" s="34">
        <f>IF(SUM($I103:AB103)&lt;1,IF($C103&lt;=AC$4,1/$E$41,0),0)</f>
        <v>0</v>
      </c>
      <c r="AD103" s="34">
        <f>IF(SUM($I103:AC103)&lt;1,IF($C103&lt;=AD$4,1/$E$41,0),0)</f>
        <v>0</v>
      </c>
      <c r="AE103" s="34">
        <f>IF(SUM($I103:AD103)&lt;1,IF($C103&lt;=AE$4,1/$E$41,0),0)</f>
        <v>0</v>
      </c>
      <c r="AF103" s="34">
        <f>IF(SUM($I103:AE103)&lt;1,IF($C103&lt;=AF$4,1/$E$41,0),0)</f>
        <v>0</v>
      </c>
      <c r="AG103" s="34">
        <f>IF(SUM($I103:AF103)&lt;1,IF($C103&lt;=AG$4,1/$E$41,0),0)</f>
        <v>0</v>
      </c>
      <c r="AH103" s="34">
        <f>IF(SUM($I103:AG103)&lt;1,IF($C103&lt;=AH$4,1/$E$41,0),0)</f>
        <v>0</v>
      </c>
      <c r="AI103" s="34">
        <f>IF(SUM($I103:AH103)&lt;1,IF($C103&lt;=AI$4,1/$E$41,0),0)</f>
        <v>0</v>
      </c>
      <c r="AJ103" s="34">
        <f>IF(SUM($I103:AI103)&lt;1,IF($C103&lt;=AJ$4,1/$E$41,0),0)</f>
        <v>0</v>
      </c>
      <c r="AK103" s="34">
        <f>IF(SUM($I103:AJ103)&lt;1,IF($C103&lt;=AK$4,1/$E$41,0),0)</f>
        <v>0</v>
      </c>
      <c r="AL103" s="34">
        <f>IF(SUM($I103:AK103)&lt;1,IF($C103&lt;=AL$4,1/$E$41,0),0)</f>
        <v>0</v>
      </c>
      <c r="AM103" s="34">
        <f>IF(SUM($I103:AL103)&lt;1,IF($C103&lt;=AM$4,1/$E$41,0),0)</f>
        <v>0</v>
      </c>
      <c r="AN103" s="34">
        <f>IF(SUM($I103:AM103)&lt;1,IF($C103&lt;=AN$4,1/$E$41,0),0)</f>
        <v>0</v>
      </c>
      <c r="AO103" s="34">
        <f>IF(SUM($I103:AN103)&lt;1,IF($C103&lt;=AO$4,1/$E$41,0),0)</f>
        <v>0</v>
      </c>
      <c r="AP103" s="34">
        <f>IF(SUM($I103:AO103)&lt;1,IF($C103&lt;=AP$4,1/$E$41,0),0)</f>
        <v>0</v>
      </c>
      <c r="AQ103" s="34">
        <f>IF(SUM($I103:AP103)&lt;1,IF($C103&lt;=AQ$4,1/$E$41,0),0)</f>
        <v>0</v>
      </c>
      <c r="AR103" s="34">
        <f>IF(SUM($I103:AQ103)&lt;1,IF($C103&lt;=AR$4,1/$E$41,0),0)</f>
        <v>0</v>
      </c>
      <c r="AS103" s="34">
        <f>IF(SUM($I103:AR103)&lt;1,IF($C103&lt;=AS$4,1/$E$41,0),0)</f>
        <v>0</v>
      </c>
      <c r="AT103" s="34">
        <f>IF(SUM($I103:AS103)&lt;1,IF($C103&lt;=AT$4,1/$E$41,0),0)</f>
        <v>0</v>
      </c>
      <c r="AU103" s="34">
        <f>IF(SUM($I103:AT103)&lt;1,IF($C103&lt;=AU$4,1/$E$41,0),0)</f>
        <v>0</v>
      </c>
      <c r="AV103" s="34">
        <f>IF(SUM($I103:AU103)&lt;1,IF($C103&lt;=AV$4,1/$E$41,0),0)</f>
        <v>0</v>
      </c>
      <c r="AW103" s="34">
        <f>IF(SUM($I103:AV103)&lt;1,IF($C103&lt;=AW$4,1/$E$41,0),0)</f>
        <v>0</v>
      </c>
      <c r="AX103" s="34">
        <f>IF(SUM($I103:AW103)&lt;1,IF($C103&lt;=AX$4,1/$E$41,0),0)</f>
        <v>0</v>
      </c>
      <c r="AY103" s="34">
        <f>IF(SUM($I103:AX103)&lt;1,IF($C103&lt;=AY$4,1/$E$41,0),0)</f>
        <v>0</v>
      </c>
      <c r="AZ103" s="34">
        <f>IF(SUM($I103:AY103)&lt;1,IF($C103&lt;=AZ$4,1/$E$41,0),0)</f>
        <v>0</v>
      </c>
      <c r="BA103" s="34">
        <f>IF(SUM($I103:AZ103)&lt;1,IF($C103&lt;=BA$4,1/$E$41,0),0)</f>
        <v>0</v>
      </c>
      <c r="BB103" s="34">
        <f>IF(SUM($I103:BA103)&lt;1,IF($C103&lt;=BB$4,1/$E$41,0),0)</f>
        <v>0</v>
      </c>
      <c r="BC103" s="34">
        <f>IF(SUM($I103:BB103)&lt;1,IF($C103&lt;=BC$4,1/$E$41,0),0)</f>
        <v>0</v>
      </c>
      <c r="BD103" s="34">
        <f>IF(SUM($I103:BC103)&lt;1,IF($C103&lt;=BD$4,1/$E$41,0),0)</f>
        <v>0</v>
      </c>
      <c r="BE103" s="34">
        <f>IF(SUM($I103:BD103)&lt;1,IF($C103&lt;=BE$4,1/$E$41,0),0)</f>
        <v>0</v>
      </c>
      <c r="BF103" s="34">
        <f>IF(SUM($I103:BE103)&lt;1,IF($C103&lt;=BF$4,1/$E$41,0),0)</f>
        <v>0</v>
      </c>
      <c r="BG103" s="34">
        <f>IF(SUM($I103:BF103)&lt;1,IF($C103&lt;=BG$4,1/$E$41,0),0)</f>
        <v>0</v>
      </c>
      <c r="BH103" s="34">
        <f>IF(SUM($I103:BG103)&lt;1,IF($C103&lt;=BH$4,1/$E$41,0),0)</f>
        <v>0</v>
      </c>
      <c r="BI103" s="34">
        <f>IF(SUM($I103:BH103)&lt;1,IF($C103&lt;=BI$4,1/$E$41,0),0)</f>
        <v>0</v>
      </c>
      <c r="BJ103" s="34">
        <f>IF(SUM($I103:BI103)&lt;1,IF($C103&lt;=BJ$4,1/$E$41,0),0)</f>
        <v>0</v>
      </c>
      <c r="BK103" s="34">
        <f>IF(SUM($I103:BJ103)&lt;1,IF($C103&lt;=BK$4,1/$E$41,0),0)</f>
        <v>0</v>
      </c>
      <c r="BL103" s="34">
        <f>IF(SUM($I103:BK103)&lt;1,IF($C103&lt;=BL$4,1/$E$41,0),0)</f>
        <v>0</v>
      </c>
      <c r="BM103" s="34">
        <f>IF(SUM($I103:BL103)&lt;1,IF($C103&lt;=BM$4,1/$E$41,0),0)</f>
        <v>0</v>
      </c>
      <c r="BN103" s="34">
        <f>IF(SUM($I103:BM103)&lt;1,IF($C103&lt;=BN$4,1/$E$41,0),0)</f>
        <v>0</v>
      </c>
      <c r="BO103" s="34">
        <f>IF(SUM($I103:BN103)&lt;1,IF($C103&lt;=BO$4,1/$E$41,0),0)</f>
        <v>0</v>
      </c>
      <c r="BP103" s="34">
        <f>IF(SUM($I103:BO103)&lt;1,IF($C103&lt;=BP$4,1/$E$41,0),0)</f>
        <v>0.25</v>
      </c>
      <c r="BQ103" s="34">
        <f>IF(SUM($I103:BP103)&lt;1,IF($C103&lt;=BQ$4,1/$E$41,0),0)</f>
        <v>0.25</v>
      </c>
      <c r="BR103" s="34">
        <f>IF(SUM($I103:BQ103)&lt;1,IF($C103&lt;=BR$4,1/$E$41,0),0)</f>
        <v>0.25</v>
      </c>
      <c r="BS103" s="34">
        <f>IF(SUM($I103:BR103)&lt;1,IF($C103&lt;=BS$4,1/$E$41,0),0)</f>
        <v>0.25</v>
      </c>
      <c r="BT103" s="34">
        <f>IF(SUM($I103:BS103)&lt;1,IF($C103&lt;=BT$4,1/$E$41,0),0)</f>
        <v>0</v>
      </c>
      <c r="BU103" s="34">
        <f>IF(SUM($I103:BT103)&lt;1,IF($C103&lt;=BU$4,1/$E$41,0),0)</f>
        <v>0</v>
      </c>
      <c r="BV103" s="34">
        <f>IF(SUM($I103:BU103)&lt;1,IF($C103&lt;=BV$4,1/$E$41,0),0)</f>
        <v>0</v>
      </c>
      <c r="BW103" s="34">
        <f>IF(SUM($I103:BV103)&lt;1,IF($C103&lt;=BW$4,1/$E$41,0),0)</f>
        <v>0</v>
      </c>
      <c r="BX103" s="34">
        <f>IF(SUM($I103:BW103)&lt;1,IF($C103&lt;=BX$4,1/$E$41,0),0)</f>
        <v>0</v>
      </c>
      <c r="BY103" s="34">
        <f>IF(SUM($I103:BX103)&lt;1,IF($C103&lt;=BY$4,1/$E$41,0),0)</f>
        <v>0</v>
      </c>
      <c r="BZ103" s="34">
        <f>IF(SUM($I103:BY103)&lt;1,IF($C103&lt;=BZ$4,1/$E$41,0),0)</f>
        <v>0</v>
      </c>
      <c r="CA103" s="34">
        <f>IF(SUM($I103:BZ103)&lt;1,IF($C103&lt;=CA$4,1/$E$41,0),0)</f>
        <v>0</v>
      </c>
      <c r="CB103" s="34">
        <f>IF(SUM($I103:CA103)&lt;1,IF($C103&lt;=CB$4,1/$E$41,0),0)</f>
        <v>0</v>
      </c>
      <c r="CC103" s="34">
        <f>IF(SUM($I103:CB103)&lt;1,IF($C103&lt;=CC$4,1/$E$41,0),0)</f>
        <v>0</v>
      </c>
      <c r="CD103" s="34">
        <f>IF(SUM($I103:CC103)&lt;1,IF($C103&lt;=CD$4,1/$E$41,0),0)</f>
        <v>0</v>
      </c>
      <c r="CE103" s="34">
        <f>IF(SUM($I103:CD103)&lt;1,IF($C103&lt;=CE$4,1/$E$41,0),0)</f>
        <v>0</v>
      </c>
      <c r="CF103" s="34">
        <f>IF(SUM($I103:CE103)&lt;1,IF($C103&lt;=CF$4,1/$E$41,0),0)</f>
        <v>0</v>
      </c>
      <c r="CG103" s="34">
        <f>IF(SUM($I103:CF103)&lt;1,IF($C103&lt;=CG$4,1/$E$41,0),0)</f>
        <v>0</v>
      </c>
      <c r="CH103" s="34">
        <f>IF(SUM($I103:CG103)&lt;1,IF($C103&lt;=CH$4,1/$E$41,0),0)</f>
        <v>0</v>
      </c>
      <c r="CI103" s="34">
        <f>IF(SUM($I103:CH103)&lt;1,IF($C103&lt;=CI$4,1/$E$41,0),0)</f>
        <v>0</v>
      </c>
      <c r="CJ103" s="34">
        <f>IF(SUM($I103:CI103)&lt;1,IF($C103&lt;=CJ$4,1/$E$41,0),0)</f>
        <v>0</v>
      </c>
      <c r="CK103" s="34">
        <f>IF(SUM($I103:CJ103)&lt;1,IF($C103&lt;=CK$4,1/$E$41,0),0)</f>
        <v>0</v>
      </c>
      <c r="CL103" s="34">
        <f>IF(SUM($I103:CK103)&lt;1,IF($C103&lt;=CL$4,1/$E$41,0),0)</f>
        <v>0</v>
      </c>
      <c r="CM103" s="34">
        <f>IF(SUM($I103:CL103)&lt;1,IF($C103&lt;=CM$4,1/$E$41,0),0)</f>
        <v>0</v>
      </c>
      <c r="CN103" s="34">
        <f>IF(SUM($I103:CM103)&lt;1,IF($C103&lt;=CN$4,1/$E$41,0),0)</f>
        <v>0</v>
      </c>
      <c r="CO103" s="34">
        <f>IF(SUM($I103:CN103)&lt;1,IF($C103&lt;=CO$4,1/$E$41,0),0)</f>
        <v>0</v>
      </c>
      <c r="CP103" s="34">
        <f>IF(SUM($I103:CO103)&lt;1,IF($C103&lt;=CP$4,1/$E$41,0),0)</f>
        <v>0</v>
      </c>
      <c r="CQ103" s="34">
        <f>IF(SUM($I103:CP103)&lt;1,IF($C103&lt;=CQ$4,1/$E$41,0),0)</f>
        <v>0</v>
      </c>
      <c r="CR103" s="34">
        <f>IF(SUM($I103:CQ103)&lt;1,IF($C103&lt;=CR$4,1/$E$41,0),0)</f>
        <v>0</v>
      </c>
      <c r="CS103" s="34">
        <f>IF(SUM($I103:CR103)&lt;1,IF($C103&lt;=CS$4,1/$E$41,0),0)</f>
        <v>0</v>
      </c>
      <c r="CT103" s="34">
        <f>IF(SUM($I103:CS103)&lt;1,IF($C103&lt;=CT$4,1/$E$41,0),0)</f>
        <v>0</v>
      </c>
      <c r="CU103" s="34">
        <f>IF(SUM($I103:CT103)&lt;1,IF($C103&lt;=CU$4,1/$E$41,0),0)</f>
        <v>0</v>
      </c>
      <c r="CV103" s="34">
        <f>IF(SUM($I103:CU103)&lt;1,IF($C103&lt;=CV$4,1/$E$41,0),0)</f>
        <v>0</v>
      </c>
      <c r="CW103" s="34">
        <f>IF(SUM($I103:CV103)&lt;1,IF($C103&lt;=CW$4,1/$E$41,0),0)</f>
        <v>0</v>
      </c>
      <c r="CX103" s="34">
        <f>IF(SUM($I103:CW103)&lt;1,IF($C103&lt;=CX$4,1/$E$41,0),0)</f>
        <v>0</v>
      </c>
      <c r="CY103" s="34">
        <f>IF(SUM($I103:CX103)&lt;1,IF($C103&lt;=CY$4,1/$E$41,0),0)</f>
        <v>0</v>
      </c>
      <c r="CZ103" s="34">
        <f>IF(SUM($I103:CY103)&lt;1,IF($C103&lt;=CZ$4,1/$E$41,0),0)</f>
        <v>0</v>
      </c>
      <c r="DA103" s="34">
        <f>IF(SUM($I103:CZ103)&lt;1,IF($C103&lt;=DA$4,1/$E$41,0),0)</f>
        <v>0</v>
      </c>
      <c r="DB103" s="34">
        <f>IF(SUM($I103:DA103)&lt;1,IF($C103&lt;=DB$4,1/$E$41,0),0)</f>
        <v>0</v>
      </c>
      <c r="DC103" s="34">
        <f>IF(SUM($I103:DB103)&lt;1,IF($C103&lt;=DC$4,1/$E$41,0),0)</f>
        <v>0</v>
      </c>
      <c r="DD103" s="34">
        <f>IF(SUM($I103:DC103)&lt;1,IF($C103&lt;=DD$4,1/$E$41,0),0)</f>
        <v>0</v>
      </c>
      <c r="DE103" s="34">
        <f>IF(SUM($I103:DD103)&lt;1,IF($C103&lt;=DE$4,1/$E$41,0),0)</f>
        <v>0</v>
      </c>
      <c r="DF103" s="34">
        <f>IF(SUM($I103:DE103)&lt;1,IF($C103&lt;=DF$4,1/$E$41,0),0)</f>
        <v>0</v>
      </c>
      <c r="DG103" s="34">
        <f>IF(SUM($I103:DF103)&lt;1,IF($C103&lt;=DG$4,1/$E$41,0),0)</f>
        <v>0</v>
      </c>
      <c r="DH103" s="34">
        <f>IF(SUM($I103:DG103)&lt;1,IF($C103&lt;=DH$4,1/$E$41,0),0)</f>
        <v>0</v>
      </c>
      <c r="DI103" s="34">
        <f>IF(SUM($I103:DH103)&lt;1,IF($C103&lt;=DI$4,1/$E$41,0),0)</f>
        <v>0</v>
      </c>
      <c r="DJ103" s="34">
        <f>IF(SUM($I103:DI103)&lt;1,IF($C103&lt;=DJ$4,1/$E$41,0),0)</f>
        <v>0</v>
      </c>
      <c r="DK103" s="34">
        <f>IF(SUM($I103:DJ103)&lt;1,IF($C103&lt;=DK$4,1/$E$41,0),0)</f>
        <v>0</v>
      </c>
      <c r="DL103" s="34">
        <f>IF(SUM($I103:DK103)&lt;1,IF($C103&lt;=DL$4,1/$E$41,0),0)</f>
        <v>0</v>
      </c>
      <c r="DM103" s="34">
        <f>IF(SUM($I103:DL103)&lt;1,IF($C103&lt;=DM$4,1/$E$41,0),0)</f>
        <v>0</v>
      </c>
    </row>
    <row r="104" spans="3:117" outlineLevel="1" x14ac:dyDescent="0.15">
      <c r="C104" s="50">
        <f t="shared" si="48"/>
        <v>60</v>
      </c>
      <c r="D104" s="5" t="s">
        <v>18</v>
      </c>
      <c r="E104" s="19">
        <f t="shared" si="49"/>
        <v>0</v>
      </c>
      <c r="I104" s="9"/>
      <c r="J104" s="34">
        <f>IF(SUM($I104:I104)&lt;1,IF($C104&lt;=J$4,1/$E$41,0),0)</f>
        <v>0</v>
      </c>
      <c r="K104" s="34">
        <f>IF(SUM($I104:J104)&lt;1,IF($C104&lt;=K$4,1/$E$41,0),0)</f>
        <v>0</v>
      </c>
      <c r="L104" s="34">
        <f>IF(SUM($I104:K104)&lt;1,IF($C104&lt;=L$4,1/$E$41,0),0)</f>
        <v>0</v>
      </c>
      <c r="M104" s="34">
        <f>IF(SUM($I104:L104)&lt;1,IF($C104&lt;=M$4,1/$E$41,0),0)</f>
        <v>0</v>
      </c>
      <c r="N104" s="34">
        <f>IF(SUM($I104:M104)&lt;1,IF($C104&lt;=N$4,1/$E$41,0),0)</f>
        <v>0</v>
      </c>
      <c r="O104" s="34">
        <f>IF(SUM($I104:N104)&lt;1,IF($C104&lt;=O$4,1/$E$41,0),0)</f>
        <v>0</v>
      </c>
      <c r="P104" s="34">
        <f>IF(SUM($I104:O104)&lt;1,IF($C104&lt;=P$4,1/$E$41,0),0)</f>
        <v>0</v>
      </c>
      <c r="Q104" s="34">
        <f>IF(SUM($I104:P104)&lt;1,IF($C104&lt;=Q$4,1/$E$41,0),0)</f>
        <v>0</v>
      </c>
      <c r="R104" s="34">
        <f>IF(SUM($I104:Q104)&lt;1,IF($C104&lt;=R$4,1/$E$41,0),0)</f>
        <v>0</v>
      </c>
      <c r="S104" s="34">
        <f>IF(SUM($I104:R104)&lt;1,IF($C104&lt;=S$4,1/$E$41,0),0)</f>
        <v>0</v>
      </c>
      <c r="T104" s="34">
        <f>IF(SUM($I104:S104)&lt;1,IF($C104&lt;=T$4,1/$E$41,0),0)</f>
        <v>0</v>
      </c>
      <c r="U104" s="34">
        <f>IF(SUM($I104:T104)&lt;1,IF($C104&lt;=U$4,1/$E$41,0),0)</f>
        <v>0</v>
      </c>
      <c r="V104" s="34">
        <f>IF(SUM($I104:U104)&lt;1,IF($C104&lt;=V$4,1/$E$41,0),0)</f>
        <v>0</v>
      </c>
      <c r="W104" s="34">
        <f>IF(SUM($I104:V104)&lt;1,IF($C104&lt;=W$4,1/$E$41,0),0)</f>
        <v>0</v>
      </c>
      <c r="X104" s="34">
        <f>IF(SUM($I104:W104)&lt;1,IF($C104&lt;=X$4,1/$E$41,0),0)</f>
        <v>0</v>
      </c>
      <c r="Y104" s="34">
        <f>IF(SUM($I104:X104)&lt;1,IF($C104&lt;=Y$4,1/$E$41,0),0)</f>
        <v>0</v>
      </c>
      <c r="Z104" s="34">
        <f>IF(SUM($I104:Y104)&lt;1,IF($C104&lt;=Z$4,1/$E$41,0),0)</f>
        <v>0</v>
      </c>
      <c r="AA104" s="34">
        <f>IF(SUM($I104:Z104)&lt;1,IF($C104&lt;=AA$4,1/$E$41,0),0)</f>
        <v>0</v>
      </c>
      <c r="AB104" s="34">
        <f>IF(SUM($I104:AA104)&lt;1,IF($C104&lt;=AB$4,1/$E$41,0),0)</f>
        <v>0</v>
      </c>
      <c r="AC104" s="34">
        <f>IF(SUM($I104:AB104)&lt;1,IF($C104&lt;=AC$4,1/$E$41,0),0)</f>
        <v>0</v>
      </c>
      <c r="AD104" s="34">
        <f>IF(SUM($I104:AC104)&lt;1,IF($C104&lt;=AD$4,1/$E$41,0),0)</f>
        <v>0</v>
      </c>
      <c r="AE104" s="34">
        <f>IF(SUM($I104:AD104)&lt;1,IF($C104&lt;=AE$4,1/$E$41,0),0)</f>
        <v>0</v>
      </c>
      <c r="AF104" s="34">
        <f>IF(SUM($I104:AE104)&lt;1,IF($C104&lt;=AF$4,1/$E$41,0),0)</f>
        <v>0</v>
      </c>
      <c r="AG104" s="34">
        <f>IF(SUM($I104:AF104)&lt;1,IF($C104&lt;=AG$4,1/$E$41,0),0)</f>
        <v>0</v>
      </c>
      <c r="AH104" s="34">
        <f>IF(SUM($I104:AG104)&lt;1,IF($C104&lt;=AH$4,1/$E$41,0),0)</f>
        <v>0</v>
      </c>
      <c r="AI104" s="34">
        <f>IF(SUM($I104:AH104)&lt;1,IF($C104&lt;=AI$4,1/$E$41,0),0)</f>
        <v>0</v>
      </c>
      <c r="AJ104" s="34">
        <f>IF(SUM($I104:AI104)&lt;1,IF($C104&lt;=AJ$4,1/$E$41,0),0)</f>
        <v>0</v>
      </c>
      <c r="AK104" s="34">
        <f>IF(SUM($I104:AJ104)&lt;1,IF($C104&lt;=AK$4,1/$E$41,0),0)</f>
        <v>0</v>
      </c>
      <c r="AL104" s="34">
        <f>IF(SUM($I104:AK104)&lt;1,IF($C104&lt;=AL$4,1/$E$41,0),0)</f>
        <v>0</v>
      </c>
      <c r="AM104" s="34">
        <f>IF(SUM($I104:AL104)&lt;1,IF($C104&lt;=AM$4,1/$E$41,0),0)</f>
        <v>0</v>
      </c>
      <c r="AN104" s="34">
        <f>IF(SUM($I104:AM104)&lt;1,IF($C104&lt;=AN$4,1/$E$41,0),0)</f>
        <v>0</v>
      </c>
      <c r="AO104" s="34">
        <f>IF(SUM($I104:AN104)&lt;1,IF($C104&lt;=AO$4,1/$E$41,0),0)</f>
        <v>0</v>
      </c>
      <c r="AP104" s="34">
        <f>IF(SUM($I104:AO104)&lt;1,IF($C104&lt;=AP$4,1/$E$41,0),0)</f>
        <v>0</v>
      </c>
      <c r="AQ104" s="34">
        <f>IF(SUM($I104:AP104)&lt;1,IF($C104&lt;=AQ$4,1/$E$41,0),0)</f>
        <v>0</v>
      </c>
      <c r="AR104" s="34">
        <f>IF(SUM($I104:AQ104)&lt;1,IF($C104&lt;=AR$4,1/$E$41,0),0)</f>
        <v>0</v>
      </c>
      <c r="AS104" s="34">
        <f>IF(SUM($I104:AR104)&lt;1,IF($C104&lt;=AS$4,1/$E$41,0),0)</f>
        <v>0</v>
      </c>
      <c r="AT104" s="34">
        <f>IF(SUM($I104:AS104)&lt;1,IF($C104&lt;=AT$4,1/$E$41,0),0)</f>
        <v>0</v>
      </c>
      <c r="AU104" s="34">
        <f>IF(SUM($I104:AT104)&lt;1,IF($C104&lt;=AU$4,1/$E$41,0),0)</f>
        <v>0</v>
      </c>
      <c r="AV104" s="34">
        <f>IF(SUM($I104:AU104)&lt;1,IF($C104&lt;=AV$4,1/$E$41,0),0)</f>
        <v>0</v>
      </c>
      <c r="AW104" s="34">
        <f>IF(SUM($I104:AV104)&lt;1,IF($C104&lt;=AW$4,1/$E$41,0),0)</f>
        <v>0</v>
      </c>
      <c r="AX104" s="34">
        <f>IF(SUM($I104:AW104)&lt;1,IF($C104&lt;=AX$4,1/$E$41,0),0)</f>
        <v>0</v>
      </c>
      <c r="AY104" s="34">
        <f>IF(SUM($I104:AX104)&lt;1,IF($C104&lt;=AY$4,1/$E$41,0),0)</f>
        <v>0</v>
      </c>
      <c r="AZ104" s="34">
        <f>IF(SUM($I104:AY104)&lt;1,IF($C104&lt;=AZ$4,1/$E$41,0),0)</f>
        <v>0</v>
      </c>
      <c r="BA104" s="34">
        <f>IF(SUM($I104:AZ104)&lt;1,IF($C104&lt;=BA$4,1/$E$41,0),0)</f>
        <v>0</v>
      </c>
      <c r="BB104" s="34">
        <f>IF(SUM($I104:BA104)&lt;1,IF($C104&lt;=BB$4,1/$E$41,0),0)</f>
        <v>0</v>
      </c>
      <c r="BC104" s="34">
        <f>IF(SUM($I104:BB104)&lt;1,IF($C104&lt;=BC$4,1/$E$41,0),0)</f>
        <v>0</v>
      </c>
      <c r="BD104" s="34">
        <f>IF(SUM($I104:BC104)&lt;1,IF($C104&lt;=BD$4,1/$E$41,0),0)</f>
        <v>0</v>
      </c>
      <c r="BE104" s="34">
        <f>IF(SUM($I104:BD104)&lt;1,IF($C104&lt;=BE$4,1/$E$41,0),0)</f>
        <v>0</v>
      </c>
      <c r="BF104" s="34">
        <f>IF(SUM($I104:BE104)&lt;1,IF($C104&lt;=BF$4,1/$E$41,0),0)</f>
        <v>0</v>
      </c>
      <c r="BG104" s="34">
        <f>IF(SUM($I104:BF104)&lt;1,IF($C104&lt;=BG$4,1/$E$41,0),0)</f>
        <v>0</v>
      </c>
      <c r="BH104" s="34">
        <f>IF(SUM($I104:BG104)&lt;1,IF($C104&lt;=BH$4,1/$E$41,0),0)</f>
        <v>0</v>
      </c>
      <c r="BI104" s="34">
        <f>IF(SUM($I104:BH104)&lt;1,IF($C104&lt;=BI$4,1/$E$41,0),0)</f>
        <v>0</v>
      </c>
      <c r="BJ104" s="34">
        <f>IF(SUM($I104:BI104)&lt;1,IF($C104&lt;=BJ$4,1/$E$41,0),0)</f>
        <v>0</v>
      </c>
      <c r="BK104" s="34">
        <f>IF(SUM($I104:BJ104)&lt;1,IF($C104&lt;=BK$4,1/$E$41,0),0)</f>
        <v>0</v>
      </c>
      <c r="BL104" s="34">
        <f>IF(SUM($I104:BK104)&lt;1,IF($C104&lt;=BL$4,1/$E$41,0),0)</f>
        <v>0</v>
      </c>
      <c r="BM104" s="34">
        <f>IF(SUM($I104:BL104)&lt;1,IF($C104&lt;=BM$4,1/$E$41,0),0)</f>
        <v>0</v>
      </c>
      <c r="BN104" s="34">
        <f>IF(SUM($I104:BM104)&lt;1,IF($C104&lt;=BN$4,1/$E$41,0),0)</f>
        <v>0</v>
      </c>
      <c r="BO104" s="34">
        <f>IF(SUM($I104:BN104)&lt;1,IF($C104&lt;=BO$4,1/$E$41,0),0)</f>
        <v>0</v>
      </c>
      <c r="BP104" s="34">
        <f>IF(SUM($I104:BO104)&lt;1,IF($C104&lt;=BP$4,1/$E$41,0),0)</f>
        <v>0</v>
      </c>
      <c r="BQ104" s="34">
        <f>IF(SUM($I104:BP104)&lt;1,IF($C104&lt;=BQ$4,1/$E$41,0),0)</f>
        <v>0.25</v>
      </c>
      <c r="BR104" s="34">
        <f>IF(SUM($I104:BQ104)&lt;1,IF($C104&lt;=BR$4,1/$E$41,0),0)</f>
        <v>0.25</v>
      </c>
      <c r="BS104" s="34">
        <f>IF(SUM($I104:BR104)&lt;1,IF($C104&lt;=BS$4,1/$E$41,0),0)</f>
        <v>0.25</v>
      </c>
      <c r="BT104" s="34">
        <f>IF(SUM($I104:BS104)&lt;1,IF($C104&lt;=BT$4,1/$E$41,0),0)</f>
        <v>0.25</v>
      </c>
      <c r="BU104" s="34">
        <f>IF(SUM($I104:BT104)&lt;1,IF($C104&lt;=BU$4,1/$E$41,0),0)</f>
        <v>0</v>
      </c>
      <c r="BV104" s="34">
        <f>IF(SUM($I104:BU104)&lt;1,IF($C104&lt;=BV$4,1/$E$41,0),0)</f>
        <v>0</v>
      </c>
      <c r="BW104" s="34">
        <f>IF(SUM($I104:BV104)&lt;1,IF($C104&lt;=BW$4,1/$E$41,0),0)</f>
        <v>0</v>
      </c>
      <c r="BX104" s="34">
        <f>IF(SUM($I104:BW104)&lt;1,IF($C104&lt;=BX$4,1/$E$41,0),0)</f>
        <v>0</v>
      </c>
      <c r="BY104" s="34">
        <f>IF(SUM($I104:BX104)&lt;1,IF($C104&lt;=BY$4,1/$E$41,0),0)</f>
        <v>0</v>
      </c>
      <c r="BZ104" s="34">
        <f>IF(SUM($I104:BY104)&lt;1,IF($C104&lt;=BZ$4,1/$E$41,0),0)</f>
        <v>0</v>
      </c>
      <c r="CA104" s="34">
        <f>IF(SUM($I104:BZ104)&lt;1,IF($C104&lt;=CA$4,1/$E$41,0),0)</f>
        <v>0</v>
      </c>
      <c r="CB104" s="34">
        <f>IF(SUM($I104:CA104)&lt;1,IF($C104&lt;=CB$4,1/$E$41,0),0)</f>
        <v>0</v>
      </c>
      <c r="CC104" s="34">
        <f>IF(SUM($I104:CB104)&lt;1,IF($C104&lt;=CC$4,1/$E$41,0),0)</f>
        <v>0</v>
      </c>
      <c r="CD104" s="34">
        <f>IF(SUM($I104:CC104)&lt;1,IF($C104&lt;=CD$4,1/$E$41,0),0)</f>
        <v>0</v>
      </c>
      <c r="CE104" s="34">
        <f>IF(SUM($I104:CD104)&lt;1,IF($C104&lt;=CE$4,1/$E$41,0),0)</f>
        <v>0</v>
      </c>
      <c r="CF104" s="34">
        <f>IF(SUM($I104:CE104)&lt;1,IF($C104&lt;=CF$4,1/$E$41,0),0)</f>
        <v>0</v>
      </c>
      <c r="CG104" s="34">
        <f>IF(SUM($I104:CF104)&lt;1,IF($C104&lt;=CG$4,1/$E$41,0),0)</f>
        <v>0</v>
      </c>
      <c r="CH104" s="34">
        <f>IF(SUM($I104:CG104)&lt;1,IF($C104&lt;=CH$4,1/$E$41,0),0)</f>
        <v>0</v>
      </c>
      <c r="CI104" s="34">
        <f>IF(SUM($I104:CH104)&lt;1,IF($C104&lt;=CI$4,1/$E$41,0),0)</f>
        <v>0</v>
      </c>
      <c r="CJ104" s="34">
        <f>IF(SUM($I104:CI104)&lt;1,IF($C104&lt;=CJ$4,1/$E$41,0),0)</f>
        <v>0</v>
      </c>
      <c r="CK104" s="34">
        <f>IF(SUM($I104:CJ104)&lt;1,IF($C104&lt;=CK$4,1/$E$41,0),0)</f>
        <v>0</v>
      </c>
      <c r="CL104" s="34">
        <f>IF(SUM($I104:CK104)&lt;1,IF($C104&lt;=CL$4,1/$E$41,0),0)</f>
        <v>0</v>
      </c>
      <c r="CM104" s="34">
        <f>IF(SUM($I104:CL104)&lt;1,IF($C104&lt;=CM$4,1/$E$41,0),0)</f>
        <v>0</v>
      </c>
      <c r="CN104" s="34">
        <f>IF(SUM($I104:CM104)&lt;1,IF($C104&lt;=CN$4,1/$E$41,0),0)</f>
        <v>0</v>
      </c>
      <c r="CO104" s="34">
        <f>IF(SUM($I104:CN104)&lt;1,IF($C104&lt;=CO$4,1/$E$41,0),0)</f>
        <v>0</v>
      </c>
      <c r="CP104" s="34">
        <f>IF(SUM($I104:CO104)&lt;1,IF($C104&lt;=CP$4,1/$E$41,0),0)</f>
        <v>0</v>
      </c>
      <c r="CQ104" s="34">
        <f>IF(SUM($I104:CP104)&lt;1,IF($C104&lt;=CQ$4,1/$E$41,0),0)</f>
        <v>0</v>
      </c>
      <c r="CR104" s="34">
        <f>IF(SUM($I104:CQ104)&lt;1,IF($C104&lt;=CR$4,1/$E$41,0),0)</f>
        <v>0</v>
      </c>
      <c r="CS104" s="34">
        <f>IF(SUM($I104:CR104)&lt;1,IF($C104&lt;=CS$4,1/$E$41,0),0)</f>
        <v>0</v>
      </c>
      <c r="CT104" s="34">
        <f>IF(SUM($I104:CS104)&lt;1,IF($C104&lt;=CT$4,1/$E$41,0),0)</f>
        <v>0</v>
      </c>
      <c r="CU104" s="34">
        <f>IF(SUM($I104:CT104)&lt;1,IF($C104&lt;=CU$4,1/$E$41,0),0)</f>
        <v>0</v>
      </c>
      <c r="CV104" s="34">
        <f>IF(SUM($I104:CU104)&lt;1,IF($C104&lt;=CV$4,1/$E$41,0),0)</f>
        <v>0</v>
      </c>
      <c r="CW104" s="34">
        <f>IF(SUM($I104:CV104)&lt;1,IF($C104&lt;=CW$4,1/$E$41,0),0)</f>
        <v>0</v>
      </c>
      <c r="CX104" s="34">
        <f>IF(SUM($I104:CW104)&lt;1,IF($C104&lt;=CX$4,1/$E$41,0),0)</f>
        <v>0</v>
      </c>
      <c r="CY104" s="34">
        <f>IF(SUM($I104:CX104)&lt;1,IF($C104&lt;=CY$4,1/$E$41,0),0)</f>
        <v>0</v>
      </c>
      <c r="CZ104" s="34">
        <f>IF(SUM($I104:CY104)&lt;1,IF($C104&lt;=CZ$4,1/$E$41,0),0)</f>
        <v>0</v>
      </c>
      <c r="DA104" s="34">
        <f>IF(SUM($I104:CZ104)&lt;1,IF($C104&lt;=DA$4,1/$E$41,0),0)</f>
        <v>0</v>
      </c>
      <c r="DB104" s="34">
        <f>IF(SUM($I104:DA104)&lt;1,IF($C104&lt;=DB$4,1/$E$41,0),0)</f>
        <v>0</v>
      </c>
      <c r="DC104" s="34">
        <f>IF(SUM($I104:DB104)&lt;1,IF($C104&lt;=DC$4,1/$E$41,0),0)</f>
        <v>0</v>
      </c>
      <c r="DD104" s="34">
        <f>IF(SUM($I104:DC104)&lt;1,IF($C104&lt;=DD$4,1/$E$41,0),0)</f>
        <v>0</v>
      </c>
      <c r="DE104" s="34">
        <f>IF(SUM($I104:DD104)&lt;1,IF($C104&lt;=DE$4,1/$E$41,0),0)</f>
        <v>0</v>
      </c>
      <c r="DF104" s="34">
        <f>IF(SUM($I104:DE104)&lt;1,IF($C104&lt;=DF$4,1/$E$41,0),0)</f>
        <v>0</v>
      </c>
      <c r="DG104" s="34">
        <f>IF(SUM($I104:DF104)&lt;1,IF($C104&lt;=DG$4,1/$E$41,0),0)</f>
        <v>0</v>
      </c>
      <c r="DH104" s="34">
        <f>IF(SUM($I104:DG104)&lt;1,IF($C104&lt;=DH$4,1/$E$41,0),0)</f>
        <v>0</v>
      </c>
      <c r="DI104" s="34">
        <f>IF(SUM($I104:DH104)&lt;1,IF($C104&lt;=DI$4,1/$E$41,0),0)</f>
        <v>0</v>
      </c>
      <c r="DJ104" s="34">
        <f>IF(SUM($I104:DI104)&lt;1,IF($C104&lt;=DJ$4,1/$E$41,0),0)</f>
        <v>0</v>
      </c>
      <c r="DK104" s="34">
        <f>IF(SUM($I104:DJ104)&lt;1,IF($C104&lt;=DK$4,1/$E$41,0),0)</f>
        <v>0</v>
      </c>
      <c r="DL104" s="34">
        <f>IF(SUM($I104:DK104)&lt;1,IF($C104&lt;=DL$4,1/$E$41,0),0)</f>
        <v>0</v>
      </c>
      <c r="DM104" s="34">
        <f>IF(SUM($I104:DL104)&lt;1,IF($C104&lt;=DM$4,1/$E$41,0),0)</f>
        <v>0</v>
      </c>
    </row>
    <row r="105" spans="3:117" outlineLevel="1" x14ac:dyDescent="0.15">
      <c r="C105" s="50">
        <f t="shared" si="48"/>
        <v>61</v>
      </c>
      <c r="D105" s="5" t="s">
        <v>18</v>
      </c>
      <c r="E105" s="19">
        <f t="shared" si="49"/>
        <v>0</v>
      </c>
      <c r="I105" s="9"/>
      <c r="J105" s="34">
        <f>IF(SUM($I105:I105)&lt;1,IF($C105&lt;=J$4,1/$E$41,0),0)</f>
        <v>0</v>
      </c>
      <c r="K105" s="34">
        <f>IF(SUM($I105:J105)&lt;1,IF($C105&lt;=K$4,1/$E$41,0),0)</f>
        <v>0</v>
      </c>
      <c r="L105" s="34">
        <f>IF(SUM($I105:K105)&lt;1,IF($C105&lt;=L$4,1/$E$41,0),0)</f>
        <v>0</v>
      </c>
      <c r="M105" s="34">
        <f>IF(SUM($I105:L105)&lt;1,IF($C105&lt;=M$4,1/$E$41,0),0)</f>
        <v>0</v>
      </c>
      <c r="N105" s="34">
        <f>IF(SUM($I105:M105)&lt;1,IF($C105&lt;=N$4,1/$E$41,0),0)</f>
        <v>0</v>
      </c>
      <c r="O105" s="34">
        <f>IF(SUM($I105:N105)&lt;1,IF($C105&lt;=O$4,1/$E$41,0),0)</f>
        <v>0</v>
      </c>
      <c r="P105" s="34">
        <f>IF(SUM($I105:O105)&lt;1,IF($C105&lt;=P$4,1/$E$41,0),0)</f>
        <v>0</v>
      </c>
      <c r="Q105" s="34">
        <f>IF(SUM($I105:P105)&lt;1,IF($C105&lt;=Q$4,1/$E$41,0),0)</f>
        <v>0</v>
      </c>
      <c r="R105" s="34">
        <f>IF(SUM($I105:Q105)&lt;1,IF($C105&lt;=R$4,1/$E$41,0),0)</f>
        <v>0</v>
      </c>
      <c r="S105" s="34">
        <f>IF(SUM($I105:R105)&lt;1,IF($C105&lt;=S$4,1/$E$41,0),0)</f>
        <v>0</v>
      </c>
      <c r="T105" s="34">
        <f>IF(SUM($I105:S105)&lt;1,IF($C105&lt;=T$4,1/$E$41,0),0)</f>
        <v>0</v>
      </c>
      <c r="U105" s="34">
        <f>IF(SUM($I105:T105)&lt;1,IF($C105&lt;=U$4,1/$E$41,0),0)</f>
        <v>0</v>
      </c>
      <c r="V105" s="34">
        <f>IF(SUM($I105:U105)&lt;1,IF($C105&lt;=V$4,1/$E$41,0),0)</f>
        <v>0</v>
      </c>
      <c r="W105" s="34">
        <f>IF(SUM($I105:V105)&lt;1,IF($C105&lt;=W$4,1/$E$41,0),0)</f>
        <v>0</v>
      </c>
      <c r="X105" s="34">
        <f>IF(SUM($I105:W105)&lt;1,IF($C105&lt;=X$4,1/$E$41,0),0)</f>
        <v>0</v>
      </c>
      <c r="Y105" s="34">
        <f>IF(SUM($I105:X105)&lt;1,IF($C105&lt;=Y$4,1/$E$41,0),0)</f>
        <v>0</v>
      </c>
      <c r="Z105" s="34">
        <f>IF(SUM($I105:Y105)&lt;1,IF($C105&lt;=Z$4,1/$E$41,0),0)</f>
        <v>0</v>
      </c>
      <c r="AA105" s="34">
        <f>IF(SUM($I105:Z105)&lt;1,IF($C105&lt;=AA$4,1/$E$41,0),0)</f>
        <v>0</v>
      </c>
      <c r="AB105" s="34">
        <f>IF(SUM($I105:AA105)&lt;1,IF($C105&lt;=AB$4,1/$E$41,0),0)</f>
        <v>0</v>
      </c>
      <c r="AC105" s="34">
        <f>IF(SUM($I105:AB105)&lt;1,IF($C105&lt;=AC$4,1/$E$41,0),0)</f>
        <v>0</v>
      </c>
      <c r="AD105" s="34">
        <f>IF(SUM($I105:AC105)&lt;1,IF($C105&lt;=AD$4,1/$E$41,0),0)</f>
        <v>0</v>
      </c>
      <c r="AE105" s="34">
        <f>IF(SUM($I105:AD105)&lt;1,IF($C105&lt;=AE$4,1/$E$41,0),0)</f>
        <v>0</v>
      </c>
      <c r="AF105" s="34">
        <f>IF(SUM($I105:AE105)&lt;1,IF($C105&lt;=AF$4,1/$E$41,0),0)</f>
        <v>0</v>
      </c>
      <c r="AG105" s="34">
        <f>IF(SUM($I105:AF105)&lt;1,IF($C105&lt;=AG$4,1/$E$41,0),0)</f>
        <v>0</v>
      </c>
      <c r="AH105" s="34">
        <f>IF(SUM($I105:AG105)&lt;1,IF($C105&lt;=AH$4,1/$E$41,0),0)</f>
        <v>0</v>
      </c>
      <c r="AI105" s="34">
        <f>IF(SUM($I105:AH105)&lt;1,IF($C105&lt;=AI$4,1/$E$41,0),0)</f>
        <v>0</v>
      </c>
      <c r="AJ105" s="34">
        <f>IF(SUM($I105:AI105)&lt;1,IF($C105&lt;=AJ$4,1/$E$41,0),0)</f>
        <v>0</v>
      </c>
      <c r="AK105" s="34">
        <f>IF(SUM($I105:AJ105)&lt;1,IF($C105&lt;=AK$4,1/$E$41,0),0)</f>
        <v>0</v>
      </c>
      <c r="AL105" s="34">
        <f>IF(SUM($I105:AK105)&lt;1,IF($C105&lt;=AL$4,1/$E$41,0),0)</f>
        <v>0</v>
      </c>
      <c r="AM105" s="34">
        <f>IF(SUM($I105:AL105)&lt;1,IF($C105&lt;=AM$4,1/$E$41,0),0)</f>
        <v>0</v>
      </c>
      <c r="AN105" s="34">
        <f>IF(SUM($I105:AM105)&lt;1,IF($C105&lt;=AN$4,1/$E$41,0),0)</f>
        <v>0</v>
      </c>
      <c r="AO105" s="34">
        <f>IF(SUM($I105:AN105)&lt;1,IF($C105&lt;=AO$4,1/$E$41,0),0)</f>
        <v>0</v>
      </c>
      <c r="AP105" s="34">
        <f>IF(SUM($I105:AO105)&lt;1,IF($C105&lt;=AP$4,1/$E$41,0),0)</f>
        <v>0</v>
      </c>
      <c r="AQ105" s="34">
        <f>IF(SUM($I105:AP105)&lt;1,IF($C105&lt;=AQ$4,1/$E$41,0),0)</f>
        <v>0</v>
      </c>
      <c r="AR105" s="34">
        <f>IF(SUM($I105:AQ105)&lt;1,IF($C105&lt;=AR$4,1/$E$41,0),0)</f>
        <v>0</v>
      </c>
      <c r="AS105" s="34">
        <f>IF(SUM($I105:AR105)&lt;1,IF($C105&lt;=AS$4,1/$E$41,0),0)</f>
        <v>0</v>
      </c>
      <c r="AT105" s="34">
        <f>IF(SUM($I105:AS105)&lt;1,IF($C105&lt;=AT$4,1/$E$41,0),0)</f>
        <v>0</v>
      </c>
      <c r="AU105" s="34">
        <f>IF(SUM($I105:AT105)&lt;1,IF($C105&lt;=AU$4,1/$E$41,0),0)</f>
        <v>0</v>
      </c>
      <c r="AV105" s="34">
        <f>IF(SUM($I105:AU105)&lt;1,IF($C105&lt;=AV$4,1/$E$41,0),0)</f>
        <v>0</v>
      </c>
      <c r="AW105" s="34">
        <f>IF(SUM($I105:AV105)&lt;1,IF($C105&lt;=AW$4,1/$E$41,0),0)</f>
        <v>0</v>
      </c>
      <c r="AX105" s="34">
        <f>IF(SUM($I105:AW105)&lt;1,IF($C105&lt;=AX$4,1/$E$41,0),0)</f>
        <v>0</v>
      </c>
      <c r="AY105" s="34">
        <f>IF(SUM($I105:AX105)&lt;1,IF($C105&lt;=AY$4,1/$E$41,0),0)</f>
        <v>0</v>
      </c>
      <c r="AZ105" s="34">
        <f>IF(SUM($I105:AY105)&lt;1,IF($C105&lt;=AZ$4,1/$E$41,0),0)</f>
        <v>0</v>
      </c>
      <c r="BA105" s="34">
        <f>IF(SUM($I105:AZ105)&lt;1,IF($C105&lt;=BA$4,1/$E$41,0),0)</f>
        <v>0</v>
      </c>
      <c r="BB105" s="34">
        <f>IF(SUM($I105:BA105)&lt;1,IF($C105&lt;=BB$4,1/$E$41,0),0)</f>
        <v>0</v>
      </c>
      <c r="BC105" s="34">
        <f>IF(SUM($I105:BB105)&lt;1,IF($C105&lt;=BC$4,1/$E$41,0),0)</f>
        <v>0</v>
      </c>
      <c r="BD105" s="34">
        <f>IF(SUM($I105:BC105)&lt;1,IF($C105&lt;=BD$4,1/$E$41,0),0)</f>
        <v>0</v>
      </c>
      <c r="BE105" s="34">
        <f>IF(SUM($I105:BD105)&lt;1,IF($C105&lt;=BE$4,1/$E$41,0),0)</f>
        <v>0</v>
      </c>
      <c r="BF105" s="34">
        <f>IF(SUM($I105:BE105)&lt;1,IF($C105&lt;=BF$4,1/$E$41,0),0)</f>
        <v>0</v>
      </c>
      <c r="BG105" s="34">
        <f>IF(SUM($I105:BF105)&lt;1,IF($C105&lt;=BG$4,1/$E$41,0),0)</f>
        <v>0</v>
      </c>
      <c r="BH105" s="34">
        <f>IF(SUM($I105:BG105)&lt;1,IF($C105&lt;=BH$4,1/$E$41,0),0)</f>
        <v>0</v>
      </c>
      <c r="BI105" s="34">
        <f>IF(SUM($I105:BH105)&lt;1,IF($C105&lt;=BI$4,1/$E$41,0),0)</f>
        <v>0</v>
      </c>
      <c r="BJ105" s="34">
        <f>IF(SUM($I105:BI105)&lt;1,IF($C105&lt;=BJ$4,1/$E$41,0),0)</f>
        <v>0</v>
      </c>
      <c r="BK105" s="34">
        <f>IF(SUM($I105:BJ105)&lt;1,IF($C105&lt;=BK$4,1/$E$41,0),0)</f>
        <v>0</v>
      </c>
      <c r="BL105" s="34">
        <f>IF(SUM($I105:BK105)&lt;1,IF($C105&lt;=BL$4,1/$E$41,0),0)</f>
        <v>0</v>
      </c>
      <c r="BM105" s="34">
        <f>IF(SUM($I105:BL105)&lt;1,IF($C105&lt;=BM$4,1/$E$41,0),0)</f>
        <v>0</v>
      </c>
      <c r="BN105" s="34">
        <f>IF(SUM($I105:BM105)&lt;1,IF($C105&lt;=BN$4,1/$E$41,0),0)</f>
        <v>0</v>
      </c>
      <c r="BO105" s="34">
        <f>IF(SUM($I105:BN105)&lt;1,IF($C105&lt;=BO$4,1/$E$41,0),0)</f>
        <v>0</v>
      </c>
      <c r="BP105" s="34">
        <f>IF(SUM($I105:BO105)&lt;1,IF($C105&lt;=BP$4,1/$E$41,0),0)</f>
        <v>0</v>
      </c>
      <c r="BQ105" s="34">
        <f>IF(SUM($I105:BP105)&lt;1,IF($C105&lt;=BQ$4,1/$E$41,0),0)</f>
        <v>0</v>
      </c>
      <c r="BR105" s="34">
        <f>IF(SUM($I105:BQ105)&lt;1,IF($C105&lt;=BR$4,1/$E$41,0),0)</f>
        <v>0.25</v>
      </c>
      <c r="BS105" s="34">
        <f>IF(SUM($I105:BR105)&lt;1,IF($C105&lt;=BS$4,1/$E$41,0),0)</f>
        <v>0.25</v>
      </c>
      <c r="BT105" s="34">
        <f>IF(SUM($I105:BS105)&lt;1,IF($C105&lt;=BT$4,1/$E$41,0),0)</f>
        <v>0.25</v>
      </c>
      <c r="BU105" s="34">
        <f>IF(SUM($I105:BT105)&lt;1,IF($C105&lt;=BU$4,1/$E$41,0),0)</f>
        <v>0.25</v>
      </c>
      <c r="BV105" s="34">
        <f>IF(SUM($I105:BU105)&lt;1,IF($C105&lt;=BV$4,1/$E$41,0),0)</f>
        <v>0</v>
      </c>
      <c r="BW105" s="34">
        <f>IF(SUM($I105:BV105)&lt;1,IF($C105&lt;=BW$4,1/$E$41,0),0)</f>
        <v>0</v>
      </c>
      <c r="BX105" s="34">
        <f>IF(SUM($I105:BW105)&lt;1,IF($C105&lt;=BX$4,1/$E$41,0),0)</f>
        <v>0</v>
      </c>
      <c r="BY105" s="34">
        <f>IF(SUM($I105:BX105)&lt;1,IF($C105&lt;=BY$4,1/$E$41,0),0)</f>
        <v>0</v>
      </c>
      <c r="BZ105" s="34">
        <f>IF(SUM($I105:BY105)&lt;1,IF($C105&lt;=BZ$4,1/$E$41,0),0)</f>
        <v>0</v>
      </c>
      <c r="CA105" s="34">
        <f>IF(SUM($I105:BZ105)&lt;1,IF($C105&lt;=CA$4,1/$E$41,0),0)</f>
        <v>0</v>
      </c>
      <c r="CB105" s="34">
        <f>IF(SUM($I105:CA105)&lt;1,IF($C105&lt;=CB$4,1/$E$41,0),0)</f>
        <v>0</v>
      </c>
      <c r="CC105" s="34">
        <f>IF(SUM($I105:CB105)&lt;1,IF($C105&lt;=CC$4,1/$E$41,0),0)</f>
        <v>0</v>
      </c>
      <c r="CD105" s="34">
        <f>IF(SUM($I105:CC105)&lt;1,IF($C105&lt;=CD$4,1/$E$41,0),0)</f>
        <v>0</v>
      </c>
      <c r="CE105" s="34">
        <f>IF(SUM($I105:CD105)&lt;1,IF($C105&lt;=CE$4,1/$E$41,0),0)</f>
        <v>0</v>
      </c>
      <c r="CF105" s="34">
        <f>IF(SUM($I105:CE105)&lt;1,IF($C105&lt;=CF$4,1/$E$41,0),0)</f>
        <v>0</v>
      </c>
      <c r="CG105" s="34">
        <f>IF(SUM($I105:CF105)&lt;1,IF($C105&lt;=CG$4,1/$E$41,0),0)</f>
        <v>0</v>
      </c>
      <c r="CH105" s="34">
        <f>IF(SUM($I105:CG105)&lt;1,IF($C105&lt;=CH$4,1/$E$41,0),0)</f>
        <v>0</v>
      </c>
      <c r="CI105" s="34">
        <f>IF(SUM($I105:CH105)&lt;1,IF($C105&lt;=CI$4,1/$E$41,0),0)</f>
        <v>0</v>
      </c>
      <c r="CJ105" s="34">
        <f>IF(SUM($I105:CI105)&lt;1,IF($C105&lt;=CJ$4,1/$E$41,0),0)</f>
        <v>0</v>
      </c>
      <c r="CK105" s="34">
        <f>IF(SUM($I105:CJ105)&lt;1,IF($C105&lt;=CK$4,1/$E$41,0),0)</f>
        <v>0</v>
      </c>
      <c r="CL105" s="34">
        <f>IF(SUM($I105:CK105)&lt;1,IF($C105&lt;=CL$4,1/$E$41,0),0)</f>
        <v>0</v>
      </c>
      <c r="CM105" s="34">
        <f>IF(SUM($I105:CL105)&lt;1,IF($C105&lt;=CM$4,1/$E$41,0),0)</f>
        <v>0</v>
      </c>
      <c r="CN105" s="34">
        <f>IF(SUM($I105:CM105)&lt;1,IF($C105&lt;=CN$4,1/$E$41,0),0)</f>
        <v>0</v>
      </c>
      <c r="CO105" s="34">
        <f>IF(SUM($I105:CN105)&lt;1,IF($C105&lt;=CO$4,1/$E$41,0),0)</f>
        <v>0</v>
      </c>
      <c r="CP105" s="34">
        <f>IF(SUM($I105:CO105)&lt;1,IF($C105&lt;=CP$4,1/$E$41,0),0)</f>
        <v>0</v>
      </c>
      <c r="CQ105" s="34">
        <f>IF(SUM($I105:CP105)&lt;1,IF($C105&lt;=CQ$4,1/$E$41,0),0)</f>
        <v>0</v>
      </c>
      <c r="CR105" s="34">
        <f>IF(SUM($I105:CQ105)&lt;1,IF($C105&lt;=CR$4,1/$E$41,0),0)</f>
        <v>0</v>
      </c>
      <c r="CS105" s="34">
        <f>IF(SUM($I105:CR105)&lt;1,IF($C105&lt;=CS$4,1/$E$41,0),0)</f>
        <v>0</v>
      </c>
      <c r="CT105" s="34">
        <f>IF(SUM($I105:CS105)&lt;1,IF($C105&lt;=CT$4,1/$E$41,0),0)</f>
        <v>0</v>
      </c>
      <c r="CU105" s="34">
        <f>IF(SUM($I105:CT105)&lt;1,IF($C105&lt;=CU$4,1/$E$41,0),0)</f>
        <v>0</v>
      </c>
      <c r="CV105" s="34">
        <f>IF(SUM($I105:CU105)&lt;1,IF($C105&lt;=CV$4,1/$E$41,0),0)</f>
        <v>0</v>
      </c>
      <c r="CW105" s="34">
        <f>IF(SUM($I105:CV105)&lt;1,IF($C105&lt;=CW$4,1/$E$41,0),0)</f>
        <v>0</v>
      </c>
      <c r="CX105" s="34">
        <f>IF(SUM($I105:CW105)&lt;1,IF($C105&lt;=CX$4,1/$E$41,0),0)</f>
        <v>0</v>
      </c>
      <c r="CY105" s="34">
        <f>IF(SUM($I105:CX105)&lt;1,IF($C105&lt;=CY$4,1/$E$41,0),0)</f>
        <v>0</v>
      </c>
      <c r="CZ105" s="34">
        <f>IF(SUM($I105:CY105)&lt;1,IF($C105&lt;=CZ$4,1/$E$41,0),0)</f>
        <v>0</v>
      </c>
      <c r="DA105" s="34">
        <f>IF(SUM($I105:CZ105)&lt;1,IF($C105&lt;=DA$4,1/$E$41,0),0)</f>
        <v>0</v>
      </c>
      <c r="DB105" s="34">
        <f>IF(SUM($I105:DA105)&lt;1,IF($C105&lt;=DB$4,1/$E$41,0),0)</f>
        <v>0</v>
      </c>
      <c r="DC105" s="34">
        <f>IF(SUM($I105:DB105)&lt;1,IF($C105&lt;=DC$4,1/$E$41,0),0)</f>
        <v>0</v>
      </c>
      <c r="DD105" s="34">
        <f>IF(SUM($I105:DC105)&lt;1,IF($C105&lt;=DD$4,1/$E$41,0),0)</f>
        <v>0</v>
      </c>
      <c r="DE105" s="34">
        <f>IF(SUM($I105:DD105)&lt;1,IF($C105&lt;=DE$4,1/$E$41,0),0)</f>
        <v>0</v>
      </c>
      <c r="DF105" s="34">
        <f>IF(SUM($I105:DE105)&lt;1,IF($C105&lt;=DF$4,1/$E$41,0),0)</f>
        <v>0</v>
      </c>
      <c r="DG105" s="34">
        <f>IF(SUM($I105:DF105)&lt;1,IF($C105&lt;=DG$4,1/$E$41,0),0)</f>
        <v>0</v>
      </c>
      <c r="DH105" s="34">
        <f>IF(SUM($I105:DG105)&lt;1,IF($C105&lt;=DH$4,1/$E$41,0),0)</f>
        <v>0</v>
      </c>
      <c r="DI105" s="34">
        <f>IF(SUM($I105:DH105)&lt;1,IF($C105&lt;=DI$4,1/$E$41,0),0)</f>
        <v>0</v>
      </c>
      <c r="DJ105" s="34">
        <f>IF(SUM($I105:DI105)&lt;1,IF($C105&lt;=DJ$4,1/$E$41,0),0)</f>
        <v>0</v>
      </c>
      <c r="DK105" s="34">
        <f>IF(SUM($I105:DJ105)&lt;1,IF($C105&lt;=DK$4,1/$E$41,0),0)</f>
        <v>0</v>
      </c>
      <c r="DL105" s="34">
        <f>IF(SUM($I105:DK105)&lt;1,IF($C105&lt;=DL$4,1/$E$41,0),0)</f>
        <v>0</v>
      </c>
      <c r="DM105" s="34">
        <f>IF(SUM($I105:DL105)&lt;1,IF($C105&lt;=DM$4,1/$E$41,0),0)</f>
        <v>0</v>
      </c>
    </row>
    <row r="106" spans="3:117" outlineLevel="1" x14ac:dyDescent="0.15">
      <c r="C106" s="50">
        <f t="shared" si="48"/>
        <v>62</v>
      </c>
      <c r="D106" s="5" t="s">
        <v>18</v>
      </c>
      <c r="E106" s="19">
        <f t="shared" si="49"/>
        <v>0</v>
      </c>
      <c r="I106" s="9"/>
      <c r="J106" s="34">
        <f>IF(SUM($I106:I106)&lt;1,IF($C106&lt;=J$4,1/$E$41,0),0)</f>
        <v>0</v>
      </c>
      <c r="K106" s="34">
        <f>IF(SUM($I106:J106)&lt;1,IF($C106&lt;=K$4,1/$E$41,0),0)</f>
        <v>0</v>
      </c>
      <c r="L106" s="34">
        <f>IF(SUM($I106:K106)&lt;1,IF($C106&lt;=L$4,1/$E$41,0),0)</f>
        <v>0</v>
      </c>
      <c r="M106" s="34">
        <f>IF(SUM($I106:L106)&lt;1,IF($C106&lt;=M$4,1/$E$41,0),0)</f>
        <v>0</v>
      </c>
      <c r="N106" s="34">
        <f>IF(SUM($I106:M106)&lt;1,IF($C106&lt;=N$4,1/$E$41,0),0)</f>
        <v>0</v>
      </c>
      <c r="O106" s="34">
        <f>IF(SUM($I106:N106)&lt;1,IF($C106&lt;=O$4,1/$E$41,0),0)</f>
        <v>0</v>
      </c>
      <c r="P106" s="34">
        <f>IF(SUM($I106:O106)&lt;1,IF($C106&lt;=P$4,1/$E$41,0),0)</f>
        <v>0</v>
      </c>
      <c r="Q106" s="34">
        <f>IF(SUM($I106:P106)&lt;1,IF($C106&lt;=Q$4,1/$E$41,0),0)</f>
        <v>0</v>
      </c>
      <c r="R106" s="34">
        <f>IF(SUM($I106:Q106)&lt;1,IF($C106&lt;=R$4,1/$E$41,0),0)</f>
        <v>0</v>
      </c>
      <c r="S106" s="34">
        <f>IF(SUM($I106:R106)&lt;1,IF($C106&lt;=S$4,1/$E$41,0),0)</f>
        <v>0</v>
      </c>
      <c r="T106" s="34">
        <f>IF(SUM($I106:S106)&lt;1,IF($C106&lt;=T$4,1/$E$41,0),0)</f>
        <v>0</v>
      </c>
      <c r="U106" s="34">
        <f>IF(SUM($I106:T106)&lt;1,IF($C106&lt;=U$4,1/$E$41,0),0)</f>
        <v>0</v>
      </c>
      <c r="V106" s="34">
        <f>IF(SUM($I106:U106)&lt;1,IF($C106&lt;=V$4,1/$E$41,0),0)</f>
        <v>0</v>
      </c>
      <c r="W106" s="34">
        <f>IF(SUM($I106:V106)&lt;1,IF($C106&lt;=W$4,1/$E$41,0),0)</f>
        <v>0</v>
      </c>
      <c r="X106" s="34">
        <f>IF(SUM($I106:W106)&lt;1,IF($C106&lt;=X$4,1/$E$41,0),0)</f>
        <v>0</v>
      </c>
      <c r="Y106" s="34">
        <f>IF(SUM($I106:X106)&lt;1,IF($C106&lt;=Y$4,1/$E$41,0),0)</f>
        <v>0</v>
      </c>
      <c r="Z106" s="34">
        <f>IF(SUM($I106:Y106)&lt;1,IF($C106&lt;=Z$4,1/$E$41,0),0)</f>
        <v>0</v>
      </c>
      <c r="AA106" s="34">
        <f>IF(SUM($I106:Z106)&lt;1,IF($C106&lt;=AA$4,1/$E$41,0),0)</f>
        <v>0</v>
      </c>
      <c r="AB106" s="34">
        <f>IF(SUM($I106:AA106)&lt;1,IF($C106&lt;=AB$4,1/$E$41,0),0)</f>
        <v>0</v>
      </c>
      <c r="AC106" s="34">
        <f>IF(SUM($I106:AB106)&lt;1,IF($C106&lt;=AC$4,1/$E$41,0),0)</f>
        <v>0</v>
      </c>
      <c r="AD106" s="34">
        <f>IF(SUM($I106:AC106)&lt;1,IF($C106&lt;=AD$4,1/$E$41,0),0)</f>
        <v>0</v>
      </c>
      <c r="AE106" s="34">
        <f>IF(SUM($I106:AD106)&lt;1,IF($C106&lt;=AE$4,1/$E$41,0),0)</f>
        <v>0</v>
      </c>
      <c r="AF106" s="34">
        <f>IF(SUM($I106:AE106)&lt;1,IF($C106&lt;=AF$4,1/$E$41,0),0)</f>
        <v>0</v>
      </c>
      <c r="AG106" s="34">
        <f>IF(SUM($I106:AF106)&lt;1,IF($C106&lt;=AG$4,1/$E$41,0),0)</f>
        <v>0</v>
      </c>
      <c r="AH106" s="34">
        <f>IF(SUM($I106:AG106)&lt;1,IF($C106&lt;=AH$4,1/$E$41,0),0)</f>
        <v>0</v>
      </c>
      <c r="AI106" s="34">
        <f>IF(SUM($I106:AH106)&lt;1,IF($C106&lt;=AI$4,1/$E$41,0),0)</f>
        <v>0</v>
      </c>
      <c r="AJ106" s="34">
        <f>IF(SUM($I106:AI106)&lt;1,IF($C106&lt;=AJ$4,1/$E$41,0),0)</f>
        <v>0</v>
      </c>
      <c r="AK106" s="34">
        <f>IF(SUM($I106:AJ106)&lt;1,IF($C106&lt;=AK$4,1/$E$41,0),0)</f>
        <v>0</v>
      </c>
      <c r="AL106" s="34">
        <f>IF(SUM($I106:AK106)&lt;1,IF($C106&lt;=AL$4,1/$E$41,0),0)</f>
        <v>0</v>
      </c>
      <c r="AM106" s="34">
        <f>IF(SUM($I106:AL106)&lt;1,IF($C106&lt;=AM$4,1/$E$41,0),0)</f>
        <v>0</v>
      </c>
      <c r="AN106" s="34">
        <f>IF(SUM($I106:AM106)&lt;1,IF($C106&lt;=AN$4,1/$E$41,0),0)</f>
        <v>0</v>
      </c>
      <c r="AO106" s="34">
        <f>IF(SUM($I106:AN106)&lt;1,IF($C106&lt;=AO$4,1/$E$41,0),0)</f>
        <v>0</v>
      </c>
      <c r="AP106" s="34">
        <f>IF(SUM($I106:AO106)&lt;1,IF($C106&lt;=AP$4,1/$E$41,0),0)</f>
        <v>0</v>
      </c>
      <c r="AQ106" s="34">
        <f>IF(SUM($I106:AP106)&lt;1,IF($C106&lt;=AQ$4,1/$E$41,0),0)</f>
        <v>0</v>
      </c>
      <c r="AR106" s="34">
        <f>IF(SUM($I106:AQ106)&lt;1,IF($C106&lt;=AR$4,1/$E$41,0),0)</f>
        <v>0</v>
      </c>
      <c r="AS106" s="34">
        <f>IF(SUM($I106:AR106)&lt;1,IF($C106&lt;=AS$4,1/$E$41,0),0)</f>
        <v>0</v>
      </c>
      <c r="AT106" s="34">
        <f>IF(SUM($I106:AS106)&lt;1,IF($C106&lt;=AT$4,1/$E$41,0),0)</f>
        <v>0</v>
      </c>
      <c r="AU106" s="34">
        <f>IF(SUM($I106:AT106)&lt;1,IF($C106&lt;=AU$4,1/$E$41,0),0)</f>
        <v>0</v>
      </c>
      <c r="AV106" s="34">
        <f>IF(SUM($I106:AU106)&lt;1,IF($C106&lt;=AV$4,1/$E$41,0),0)</f>
        <v>0</v>
      </c>
      <c r="AW106" s="34">
        <f>IF(SUM($I106:AV106)&lt;1,IF($C106&lt;=AW$4,1/$E$41,0),0)</f>
        <v>0</v>
      </c>
      <c r="AX106" s="34">
        <f>IF(SUM($I106:AW106)&lt;1,IF($C106&lt;=AX$4,1/$E$41,0),0)</f>
        <v>0</v>
      </c>
      <c r="AY106" s="34">
        <f>IF(SUM($I106:AX106)&lt;1,IF($C106&lt;=AY$4,1/$E$41,0),0)</f>
        <v>0</v>
      </c>
      <c r="AZ106" s="34">
        <f>IF(SUM($I106:AY106)&lt;1,IF($C106&lt;=AZ$4,1/$E$41,0),0)</f>
        <v>0</v>
      </c>
      <c r="BA106" s="34">
        <f>IF(SUM($I106:AZ106)&lt;1,IF($C106&lt;=BA$4,1/$E$41,0),0)</f>
        <v>0</v>
      </c>
      <c r="BB106" s="34">
        <f>IF(SUM($I106:BA106)&lt;1,IF($C106&lt;=BB$4,1/$E$41,0),0)</f>
        <v>0</v>
      </c>
      <c r="BC106" s="34">
        <f>IF(SUM($I106:BB106)&lt;1,IF($C106&lt;=BC$4,1/$E$41,0),0)</f>
        <v>0</v>
      </c>
      <c r="BD106" s="34">
        <f>IF(SUM($I106:BC106)&lt;1,IF($C106&lt;=BD$4,1/$E$41,0),0)</f>
        <v>0</v>
      </c>
      <c r="BE106" s="34">
        <f>IF(SUM($I106:BD106)&lt;1,IF($C106&lt;=BE$4,1/$E$41,0),0)</f>
        <v>0</v>
      </c>
      <c r="BF106" s="34">
        <f>IF(SUM($I106:BE106)&lt;1,IF($C106&lt;=BF$4,1/$E$41,0),0)</f>
        <v>0</v>
      </c>
      <c r="BG106" s="34">
        <f>IF(SUM($I106:BF106)&lt;1,IF($C106&lt;=BG$4,1/$E$41,0),0)</f>
        <v>0</v>
      </c>
      <c r="BH106" s="34">
        <f>IF(SUM($I106:BG106)&lt;1,IF($C106&lt;=BH$4,1/$E$41,0),0)</f>
        <v>0</v>
      </c>
      <c r="BI106" s="34">
        <f>IF(SUM($I106:BH106)&lt;1,IF($C106&lt;=BI$4,1/$E$41,0),0)</f>
        <v>0</v>
      </c>
      <c r="BJ106" s="34">
        <f>IF(SUM($I106:BI106)&lt;1,IF($C106&lt;=BJ$4,1/$E$41,0),0)</f>
        <v>0</v>
      </c>
      <c r="BK106" s="34">
        <f>IF(SUM($I106:BJ106)&lt;1,IF($C106&lt;=BK$4,1/$E$41,0),0)</f>
        <v>0</v>
      </c>
      <c r="BL106" s="34">
        <f>IF(SUM($I106:BK106)&lt;1,IF($C106&lt;=BL$4,1/$E$41,0),0)</f>
        <v>0</v>
      </c>
      <c r="BM106" s="34">
        <f>IF(SUM($I106:BL106)&lt;1,IF($C106&lt;=BM$4,1/$E$41,0),0)</f>
        <v>0</v>
      </c>
      <c r="BN106" s="34">
        <f>IF(SUM($I106:BM106)&lt;1,IF($C106&lt;=BN$4,1/$E$41,0),0)</f>
        <v>0</v>
      </c>
      <c r="BO106" s="34">
        <f>IF(SUM($I106:BN106)&lt;1,IF($C106&lt;=BO$4,1/$E$41,0),0)</f>
        <v>0</v>
      </c>
      <c r="BP106" s="34">
        <f>IF(SUM($I106:BO106)&lt;1,IF($C106&lt;=BP$4,1/$E$41,0),0)</f>
        <v>0</v>
      </c>
      <c r="BQ106" s="34">
        <f>IF(SUM($I106:BP106)&lt;1,IF($C106&lt;=BQ$4,1/$E$41,0),0)</f>
        <v>0</v>
      </c>
      <c r="BR106" s="34">
        <f>IF(SUM($I106:BQ106)&lt;1,IF($C106&lt;=BR$4,1/$E$41,0),0)</f>
        <v>0</v>
      </c>
      <c r="BS106" s="34">
        <f>IF(SUM($I106:BR106)&lt;1,IF($C106&lt;=BS$4,1/$E$41,0),0)</f>
        <v>0.25</v>
      </c>
      <c r="BT106" s="34">
        <f>IF(SUM($I106:BS106)&lt;1,IF($C106&lt;=BT$4,1/$E$41,0),0)</f>
        <v>0.25</v>
      </c>
      <c r="BU106" s="34">
        <f>IF(SUM($I106:BT106)&lt;1,IF($C106&lt;=BU$4,1/$E$41,0),0)</f>
        <v>0.25</v>
      </c>
      <c r="BV106" s="34">
        <f>IF(SUM($I106:BU106)&lt;1,IF($C106&lt;=BV$4,1/$E$41,0),0)</f>
        <v>0.25</v>
      </c>
      <c r="BW106" s="34">
        <f>IF(SUM($I106:BV106)&lt;1,IF($C106&lt;=BW$4,1/$E$41,0),0)</f>
        <v>0</v>
      </c>
      <c r="BX106" s="34">
        <f>IF(SUM($I106:BW106)&lt;1,IF($C106&lt;=BX$4,1/$E$41,0),0)</f>
        <v>0</v>
      </c>
      <c r="BY106" s="34">
        <f>IF(SUM($I106:BX106)&lt;1,IF($C106&lt;=BY$4,1/$E$41,0),0)</f>
        <v>0</v>
      </c>
      <c r="BZ106" s="34">
        <f>IF(SUM($I106:BY106)&lt;1,IF($C106&lt;=BZ$4,1/$E$41,0),0)</f>
        <v>0</v>
      </c>
      <c r="CA106" s="34">
        <f>IF(SUM($I106:BZ106)&lt;1,IF($C106&lt;=CA$4,1/$E$41,0),0)</f>
        <v>0</v>
      </c>
      <c r="CB106" s="34">
        <f>IF(SUM($I106:CA106)&lt;1,IF($C106&lt;=CB$4,1/$E$41,0),0)</f>
        <v>0</v>
      </c>
      <c r="CC106" s="34">
        <f>IF(SUM($I106:CB106)&lt;1,IF($C106&lt;=CC$4,1/$E$41,0),0)</f>
        <v>0</v>
      </c>
      <c r="CD106" s="34">
        <f>IF(SUM($I106:CC106)&lt;1,IF($C106&lt;=CD$4,1/$E$41,0),0)</f>
        <v>0</v>
      </c>
      <c r="CE106" s="34">
        <f>IF(SUM($I106:CD106)&lt;1,IF($C106&lt;=CE$4,1/$E$41,0),0)</f>
        <v>0</v>
      </c>
      <c r="CF106" s="34">
        <f>IF(SUM($I106:CE106)&lt;1,IF($C106&lt;=CF$4,1/$E$41,0),0)</f>
        <v>0</v>
      </c>
      <c r="CG106" s="34">
        <f>IF(SUM($I106:CF106)&lt;1,IF($C106&lt;=CG$4,1/$E$41,0),0)</f>
        <v>0</v>
      </c>
      <c r="CH106" s="34">
        <f>IF(SUM($I106:CG106)&lt;1,IF($C106&lt;=CH$4,1/$E$41,0),0)</f>
        <v>0</v>
      </c>
      <c r="CI106" s="34">
        <f>IF(SUM($I106:CH106)&lt;1,IF($C106&lt;=CI$4,1/$E$41,0),0)</f>
        <v>0</v>
      </c>
      <c r="CJ106" s="34">
        <f>IF(SUM($I106:CI106)&lt;1,IF($C106&lt;=CJ$4,1/$E$41,0),0)</f>
        <v>0</v>
      </c>
      <c r="CK106" s="34">
        <f>IF(SUM($I106:CJ106)&lt;1,IF($C106&lt;=CK$4,1/$E$41,0),0)</f>
        <v>0</v>
      </c>
      <c r="CL106" s="34">
        <f>IF(SUM($I106:CK106)&lt;1,IF($C106&lt;=CL$4,1/$E$41,0),0)</f>
        <v>0</v>
      </c>
      <c r="CM106" s="34">
        <f>IF(SUM($I106:CL106)&lt;1,IF($C106&lt;=CM$4,1/$E$41,0),0)</f>
        <v>0</v>
      </c>
      <c r="CN106" s="34">
        <f>IF(SUM($I106:CM106)&lt;1,IF($C106&lt;=CN$4,1/$E$41,0),0)</f>
        <v>0</v>
      </c>
      <c r="CO106" s="34">
        <f>IF(SUM($I106:CN106)&lt;1,IF($C106&lt;=CO$4,1/$E$41,0),0)</f>
        <v>0</v>
      </c>
      <c r="CP106" s="34">
        <f>IF(SUM($I106:CO106)&lt;1,IF($C106&lt;=CP$4,1/$E$41,0),0)</f>
        <v>0</v>
      </c>
      <c r="CQ106" s="34">
        <f>IF(SUM($I106:CP106)&lt;1,IF($C106&lt;=CQ$4,1/$E$41,0),0)</f>
        <v>0</v>
      </c>
      <c r="CR106" s="34">
        <f>IF(SUM($I106:CQ106)&lt;1,IF($C106&lt;=CR$4,1/$E$41,0),0)</f>
        <v>0</v>
      </c>
      <c r="CS106" s="34">
        <f>IF(SUM($I106:CR106)&lt;1,IF($C106&lt;=CS$4,1/$E$41,0),0)</f>
        <v>0</v>
      </c>
      <c r="CT106" s="34">
        <f>IF(SUM($I106:CS106)&lt;1,IF($C106&lt;=CT$4,1/$E$41,0),0)</f>
        <v>0</v>
      </c>
      <c r="CU106" s="34">
        <f>IF(SUM($I106:CT106)&lt;1,IF($C106&lt;=CU$4,1/$E$41,0),0)</f>
        <v>0</v>
      </c>
      <c r="CV106" s="34">
        <f>IF(SUM($I106:CU106)&lt;1,IF($C106&lt;=CV$4,1/$E$41,0),0)</f>
        <v>0</v>
      </c>
      <c r="CW106" s="34">
        <f>IF(SUM($I106:CV106)&lt;1,IF($C106&lt;=CW$4,1/$E$41,0),0)</f>
        <v>0</v>
      </c>
      <c r="CX106" s="34">
        <f>IF(SUM($I106:CW106)&lt;1,IF($C106&lt;=CX$4,1/$E$41,0),0)</f>
        <v>0</v>
      </c>
      <c r="CY106" s="34">
        <f>IF(SUM($I106:CX106)&lt;1,IF($C106&lt;=CY$4,1/$E$41,0),0)</f>
        <v>0</v>
      </c>
      <c r="CZ106" s="34">
        <f>IF(SUM($I106:CY106)&lt;1,IF($C106&lt;=CZ$4,1/$E$41,0),0)</f>
        <v>0</v>
      </c>
      <c r="DA106" s="34">
        <f>IF(SUM($I106:CZ106)&lt;1,IF($C106&lt;=DA$4,1/$E$41,0),0)</f>
        <v>0</v>
      </c>
      <c r="DB106" s="34">
        <f>IF(SUM($I106:DA106)&lt;1,IF($C106&lt;=DB$4,1/$E$41,0),0)</f>
        <v>0</v>
      </c>
      <c r="DC106" s="34">
        <f>IF(SUM($I106:DB106)&lt;1,IF($C106&lt;=DC$4,1/$E$41,0),0)</f>
        <v>0</v>
      </c>
      <c r="DD106" s="34">
        <f>IF(SUM($I106:DC106)&lt;1,IF($C106&lt;=DD$4,1/$E$41,0),0)</f>
        <v>0</v>
      </c>
      <c r="DE106" s="34">
        <f>IF(SUM($I106:DD106)&lt;1,IF($C106&lt;=DE$4,1/$E$41,0),0)</f>
        <v>0</v>
      </c>
      <c r="DF106" s="34">
        <f>IF(SUM($I106:DE106)&lt;1,IF($C106&lt;=DF$4,1/$E$41,0),0)</f>
        <v>0</v>
      </c>
      <c r="DG106" s="34">
        <f>IF(SUM($I106:DF106)&lt;1,IF($C106&lt;=DG$4,1/$E$41,0),0)</f>
        <v>0</v>
      </c>
      <c r="DH106" s="34">
        <f>IF(SUM($I106:DG106)&lt;1,IF($C106&lt;=DH$4,1/$E$41,0),0)</f>
        <v>0</v>
      </c>
      <c r="DI106" s="34">
        <f>IF(SUM($I106:DH106)&lt;1,IF($C106&lt;=DI$4,1/$E$41,0),0)</f>
        <v>0</v>
      </c>
      <c r="DJ106" s="34">
        <f>IF(SUM($I106:DI106)&lt;1,IF($C106&lt;=DJ$4,1/$E$41,0),0)</f>
        <v>0</v>
      </c>
      <c r="DK106" s="34">
        <f>IF(SUM($I106:DJ106)&lt;1,IF($C106&lt;=DK$4,1/$E$41,0),0)</f>
        <v>0</v>
      </c>
      <c r="DL106" s="34">
        <f>IF(SUM($I106:DK106)&lt;1,IF($C106&lt;=DL$4,1/$E$41,0),0)</f>
        <v>0</v>
      </c>
      <c r="DM106" s="34">
        <f>IF(SUM($I106:DL106)&lt;1,IF($C106&lt;=DM$4,1/$E$41,0),0)</f>
        <v>0</v>
      </c>
    </row>
    <row r="107" spans="3:117" outlineLevel="1" x14ac:dyDescent="0.15">
      <c r="C107" s="50">
        <f t="shared" si="48"/>
        <v>63</v>
      </c>
      <c r="D107" s="5" t="s">
        <v>18</v>
      </c>
      <c r="E107" s="19">
        <f t="shared" si="49"/>
        <v>0</v>
      </c>
      <c r="I107" s="9"/>
      <c r="J107" s="34">
        <f>IF(SUM($I107:I107)&lt;1,IF($C107&lt;=J$4,1/$E$41,0),0)</f>
        <v>0</v>
      </c>
      <c r="K107" s="34">
        <f>IF(SUM($I107:J107)&lt;1,IF($C107&lt;=K$4,1/$E$41,0),0)</f>
        <v>0</v>
      </c>
      <c r="L107" s="34">
        <f>IF(SUM($I107:K107)&lt;1,IF($C107&lt;=L$4,1/$E$41,0),0)</f>
        <v>0</v>
      </c>
      <c r="M107" s="34">
        <f>IF(SUM($I107:L107)&lt;1,IF($C107&lt;=M$4,1/$E$41,0),0)</f>
        <v>0</v>
      </c>
      <c r="N107" s="34">
        <f>IF(SUM($I107:M107)&lt;1,IF($C107&lt;=N$4,1/$E$41,0),0)</f>
        <v>0</v>
      </c>
      <c r="O107" s="34">
        <f>IF(SUM($I107:N107)&lt;1,IF($C107&lt;=O$4,1/$E$41,0),0)</f>
        <v>0</v>
      </c>
      <c r="P107" s="34">
        <f>IF(SUM($I107:O107)&lt;1,IF($C107&lt;=P$4,1/$E$41,0),0)</f>
        <v>0</v>
      </c>
      <c r="Q107" s="34">
        <f>IF(SUM($I107:P107)&lt;1,IF($C107&lt;=Q$4,1/$E$41,0),0)</f>
        <v>0</v>
      </c>
      <c r="R107" s="34">
        <f>IF(SUM($I107:Q107)&lt;1,IF($C107&lt;=R$4,1/$E$41,0),0)</f>
        <v>0</v>
      </c>
      <c r="S107" s="34">
        <f>IF(SUM($I107:R107)&lt;1,IF($C107&lt;=S$4,1/$E$41,0),0)</f>
        <v>0</v>
      </c>
      <c r="T107" s="34">
        <f>IF(SUM($I107:S107)&lt;1,IF($C107&lt;=T$4,1/$E$41,0),0)</f>
        <v>0</v>
      </c>
      <c r="U107" s="34">
        <f>IF(SUM($I107:T107)&lt;1,IF($C107&lt;=U$4,1/$E$41,0),0)</f>
        <v>0</v>
      </c>
      <c r="V107" s="34">
        <f>IF(SUM($I107:U107)&lt;1,IF($C107&lt;=V$4,1/$E$41,0),0)</f>
        <v>0</v>
      </c>
      <c r="W107" s="34">
        <f>IF(SUM($I107:V107)&lt;1,IF($C107&lt;=W$4,1/$E$41,0),0)</f>
        <v>0</v>
      </c>
      <c r="X107" s="34">
        <f>IF(SUM($I107:W107)&lt;1,IF($C107&lt;=X$4,1/$E$41,0),0)</f>
        <v>0</v>
      </c>
      <c r="Y107" s="34">
        <f>IF(SUM($I107:X107)&lt;1,IF($C107&lt;=Y$4,1/$E$41,0),0)</f>
        <v>0</v>
      </c>
      <c r="Z107" s="34">
        <f>IF(SUM($I107:Y107)&lt;1,IF($C107&lt;=Z$4,1/$E$41,0),0)</f>
        <v>0</v>
      </c>
      <c r="AA107" s="34">
        <f>IF(SUM($I107:Z107)&lt;1,IF($C107&lt;=AA$4,1/$E$41,0),0)</f>
        <v>0</v>
      </c>
      <c r="AB107" s="34">
        <f>IF(SUM($I107:AA107)&lt;1,IF($C107&lt;=AB$4,1/$E$41,0),0)</f>
        <v>0</v>
      </c>
      <c r="AC107" s="34">
        <f>IF(SUM($I107:AB107)&lt;1,IF($C107&lt;=AC$4,1/$E$41,0),0)</f>
        <v>0</v>
      </c>
      <c r="AD107" s="34">
        <f>IF(SUM($I107:AC107)&lt;1,IF($C107&lt;=AD$4,1/$E$41,0),0)</f>
        <v>0</v>
      </c>
      <c r="AE107" s="34">
        <f>IF(SUM($I107:AD107)&lt;1,IF($C107&lt;=AE$4,1/$E$41,0),0)</f>
        <v>0</v>
      </c>
      <c r="AF107" s="34">
        <f>IF(SUM($I107:AE107)&lt;1,IF($C107&lt;=AF$4,1/$E$41,0),0)</f>
        <v>0</v>
      </c>
      <c r="AG107" s="34">
        <f>IF(SUM($I107:AF107)&lt;1,IF($C107&lt;=AG$4,1/$E$41,0),0)</f>
        <v>0</v>
      </c>
      <c r="AH107" s="34">
        <f>IF(SUM($I107:AG107)&lt;1,IF($C107&lt;=AH$4,1/$E$41,0),0)</f>
        <v>0</v>
      </c>
      <c r="AI107" s="34">
        <f>IF(SUM($I107:AH107)&lt;1,IF($C107&lt;=AI$4,1/$E$41,0),0)</f>
        <v>0</v>
      </c>
      <c r="AJ107" s="34">
        <f>IF(SUM($I107:AI107)&lt;1,IF($C107&lt;=AJ$4,1/$E$41,0),0)</f>
        <v>0</v>
      </c>
      <c r="AK107" s="34">
        <f>IF(SUM($I107:AJ107)&lt;1,IF($C107&lt;=AK$4,1/$E$41,0),0)</f>
        <v>0</v>
      </c>
      <c r="AL107" s="34">
        <f>IF(SUM($I107:AK107)&lt;1,IF($C107&lt;=AL$4,1/$E$41,0),0)</f>
        <v>0</v>
      </c>
      <c r="AM107" s="34">
        <f>IF(SUM($I107:AL107)&lt;1,IF($C107&lt;=AM$4,1/$E$41,0),0)</f>
        <v>0</v>
      </c>
      <c r="AN107" s="34">
        <f>IF(SUM($I107:AM107)&lt;1,IF($C107&lt;=AN$4,1/$E$41,0),0)</f>
        <v>0</v>
      </c>
      <c r="AO107" s="34">
        <f>IF(SUM($I107:AN107)&lt;1,IF($C107&lt;=AO$4,1/$E$41,0),0)</f>
        <v>0</v>
      </c>
      <c r="AP107" s="34">
        <f>IF(SUM($I107:AO107)&lt;1,IF($C107&lt;=AP$4,1/$E$41,0),0)</f>
        <v>0</v>
      </c>
      <c r="AQ107" s="34">
        <f>IF(SUM($I107:AP107)&lt;1,IF($C107&lt;=AQ$4,1/$E$41,0),0)</f>
        <v>0</v>
      </c>
      <c r="AR107" s="34">
        <f>IF(SUM($I107:AQ107)&lt;1,IF($C107&lt;=AR$4,1/$E$41,0),0)</f>
        <v>0</v>
      </c>
      <c r="AS107" s="34">
        <f>IF(SUM($I107:AR107)&lt;1,IF($C107&lt;=AS$4,1/$E$41,0),0)</f>
        <v>0</v>
      </c>
      <c r="AT107" s="34">
        <f>IF(SUM($I107:AS107)&lt;1,IF($C107&lt;=AT$4,1/$E$41,0),0)</f>
        <v>0</v>
      </c>
      <c r="AU107" s="34">
        <f>IF(SUM($I107:AT107)&lt;1,IF($C107&lt;=AU$4,1/$E$41,0),0)</f>
        <v>0</v>
      </c>
      <c r="AV107" s="34">
        <f>IF(SUM($I107:AU107)&lt;1,IF($C107&lt;=AV$4,1/$E$41,0),0)</f>
        <v>0</v>
      </c>
      <c r="AW107" s="34">
        <f>IF(SUM($I107:AV107)&lt;1,IF($C107&lt;=AW$4,1/$E$41,0),0)</f>
        <v>0</v>
      </c>
      <c r="AX107" s="34">
        <f>IF(SUM($I107:AW107)&lt;1,IF($C107&lt;=AX$4,1/$E$41,0),0)</f>
        <v>0</v>
      </c>
      <c r="AY107" s="34">
        <f>IF(SUM($I107:AX107)&lt;1,IF($C107&lt;=AY$4,1/$E$41,0),0)</f>
        <v>0</v>
      </c>
      <c r="AZ107" s="34">
        <f>IF(SUM($I107:AY107)&lt;1,IF($C107&lt;=AZ$4,1/$E$41,0),0)</f>
        <v>0</v>
      </c>
      <c r="BA107" s="34">
        <f>IF(SUM($I107:AZ107)&lt;1,IF($C107&lt;=BA$4,1/$E$41,0),0)</f>
        <v>0</v>
      </c>
      <c r="BB107" s="34">
        <f>IF(SUM($I107:BA107)&lt;1,IF($C107&lt;=BB$4,1/$E$41,0),0)</f>
        <v>0</v>
      </c>
      <c r="BC107" s="34">
        <f>IF(SUM($I107:BB107)&lt;1,IF($C107&lt;=BC$4,1/$E$41,0),0)</f>
        <v>0</v>
      </c>
      <c r="BD107" s="34">
        <f>IF(SUM($I107:BC107)&lt;1,IF($C107&lt;=BD$4,1/$E$41,0),0)</f>
        <v>0</v>
      </c>
      <c r="BE107" s="34">
        <f>IF(SUM($I107:BD107)&lt;1,IF($C107&lt;=BE$4,1/$E$41,0),0)</f>
        <v>0</v>
      </c>
      <c r="BF107" s="34">
        <f>IF(SUM($I107:BE107)&lt;1,IF($C107&lt;=BF$4,1/$E$41,0),0)</f>
        <v>0</v>
      </c>
      <c r="BG107" s="34">
        <f>IF(SUM($I107:BF107)&lt;1,IF($C107&lt;=BG$4,1/$E$41,0),0)</f>
        <v>0</v>
      </c>
      <c r="BH107" s="34">
        <f>IF(SUM($I107:BG107)&lt;1,IF($C107&lt;=BH$4,1/$E$41,0),0)</f>
        <v>0</v>
      </c>
      <c r="BI107" s="34">
        <f>IF(SUM($I107:BH107)&lt;1,IF($C107&lt;=BI$4,1/$E$41,0),0)</f>
        <v>0</v>
      </c>
      <c r="BJ107" s="34">
        <f>IF(SUM($I107:BI107)&lt;1,IF($C107&lt;=BJ$4,1/$E$41,0),0)</f>
        <v>0</v>
      </c>
      <c r="BK107" s="34">
        <f>IF(SUM($I107:BJ107)&lt;1,IF($C107&lt;=BK$4,1/$E$41,0),0)</f>
        <v>0</v>
      </c>
      <c r="BL107" s="34">
        <f>IF(SUM($I107:BK107)&lt;1,IF($C107&lt;=BL$4,1/$E$41,0),0)</f>
        <v>0</v>
      </c>
      <c r="BM107" s="34">
        <f>IF(SUM($I107:BL107)&lt;1,IF($C107&lt;=BM$4,1/$E$41,0),0)</f>
        <v>0</v>
      </c>
      <c r="BN107" s="34">
        <f>IF(SUM($I107:BM107)&lt;1,IF($C107&lt;=BN$4,1/$E$41,0),0)</f>
        <v>0</v>
      </c>
      <c r="BO107" s="34">
        <f>IF(SUM($I107:BN107)&lt;1,IF($C107&lt;=BO$4,1/$E$41,0),0)</f>
        <v>0</v>
      </c>
      <c r="BP107" s="34">
        <f>IF(SUM($I107:BO107)&lt;1,IF($C107&lt;=BP$4,1/$E$41,0),0)</f>
        <v>0</v>
      </c>
      <c r="BQ107" s="34">
        <f>IF(SUM($I107:BP107)&lt;1,IF($C107&lt;=BQ$4,1/$E$41,0),0)</f>
        <v>0</v>
      </c>
      <c r="BR107" s="34">
        <f>IF(SUM($I107:BQ107)&lt;1,IF($C107&lt;=BR$4,1/$E$41,0),0)</f>
        <v>0</v>
      </c>
      <c r="BS107" s="34">
        <f>IF(SUM($I107:BR107)&lt;1,IF($C107&lt;=BS$4,1/$E$41,0),0)</f>
        <v>0</v>
      </c>
      <c r="BT107" s="34">
        <f>IF(SUM($I107:BS107)&lt;1,IF($C107&lt;=BT$4,1/$E$41,0),0)</f>
        <v>0.25</v>
      </c>
      <c r="BU107" s="34">
        <f>IF(SUM($I107:BT107)&lt;1,IF($C107&lt;=BU$4,1/$E$41,0),0)</f>
        <v>0.25</v>
      </c>
      <c r="BV107" s="34">
        <f>IF(SUM($I107:BU107)&lt;1,IF($C107&lt;=BV$4,1/$E$41,0),0)</f>
        <v>0.25</v>
      </c>
      <c r="BW107" s="34">
        <f>IF(SUM($I107:BV107)&lt;1,IF($C107&lt;=BW$4,1/$E$41,0),0)</f>
        <v>0.25</v>
      </c>
      <c r="BX107" s="34">
        <f>IF(SUM($I107:BW107)&lt;1,IF($C107&lt;=BX$4,1/$E$41,0),0)</f>
        <v>0</v>
      </c>
      <c r="BY107" s="34">
        <f>IF(SUM($I107:BX107)&lt;1,IF($C107&lt;=BY$4,1/$E$41,0),0)</f>
        <v>0</v>
      </c>
      <c r="BZ107" s="34">
        <f>IF(SUM($I107:BY107)&lt;1,IF($C107&lt;=BZ$4,1/$E$41,0),0)</f>
        <v>0</v>
      </c>
      <c r="CA107" s="34">
        <f>IF(SUM($I107:BZ107)&lt;1,IF($C107&lt;=CA$4,1/$E$41,0),0)</f>
        <v>0</v>
      </c>
      <c r="CB107" s="34">
        <f>IF(SUM($I107:CA107)&lt;1,IF($C107&lt;=CB$4,1/$E$41,0),0)</f>
        <v>0</v>
      </c>
      <c r="CC107" s="34">
        <f>IF(SUM($I107:CB107)&lt;1,IF($C107&lt;=CC$4,1/$E$41,0),0)</f>
        <v>0</v>
      </c>
      <c r="CD107" s="34">
        <f>IF(SUM($I107:CC107)&lt;1,IF($C107&lt;=CD$4,1/$E$41,0),0)</f>
        <v>0</v>
      </c>
      <c r="CE107" s="34">
        <f>IF(SUM($I107:CD107)&lt;1,IF($C107&lt;=CE$4,1/$E$41,0),0)</f>
        <v>0</v>
      </c>
      <c r="CF107" s="34">
        <f>IF(SUM($I107:CE107)&lt;1,IF($C107&lt;=CF$4,1/$E$41,0),0)</f>
        <v>0</v>
      </c>
      <c r="CG107" s="34">
        <f>IF(SUM($I107:CF107)&lt;1,IF($C107&lt;=CG$4,1/$E$41,0),0)</f>
        <v>0</v>
      </c>
      <c r="CH107" s="34">
        <f>IF(SUM($I107:CG107)&lt;1,IF($C107&lt;=CH$4,1/$E$41,0),0)</f>
        <v>0</v>
      </c>
      <c r="CI107" s="34">
        <f>IF(SUM($I107:CH107)&lt;1,IF($C107&lt;=CI$4,1/$E$41,0),0)</f>
        <v>0</v>
      </c>
      <c r="CJ107" s="34">
        <f>IF(SUM($I107:CI107)&lt;1,IF($C107&lt;=CJ$4,1/$E$41,0),0)</f>
        <v>0</v>
      </c>
      <c r="CK107" s="34">
        <f>IF(SUM($I107:CJ107)&lt;1,IF($C107&lt;=CK$4,1/$E$41,0),0)</f>
        <v>0</v>
      </c>
      <c r="CL107" s="34">
        <f>IF(SUM($I107:CK107)&lt;1,IF($C107&lt;=CL$4,1/$E$41,0),0)</f>
        <v>0</v>
      </c>
      <c r="CM107" s="34">
        <f>IF(SUM($I107:CL107)&lt;1,IF($C107&lt;=CM$4,1/$E$41,0),0)</f>
        <v>0</v>
      </c>
      <c r="CN107" s="34">
        <f>IF(SUM($I107:CM107)&lt;1,IF($C107&lt;=CN$4,1/$E$41,0),0)</f>
        <v>0</v>
      </c>
      <c r="CO107" s="34">
        <f>IF(SUM($I107:CN107)&lt;1,IF($C107&lt;=CO$4,1/$E$41,0),0)</f>
        <v>0</v>
      </c>
      <c r="CP107" s="34">
        <f>IF(SUM($I107:CO107)&lt;1,IF($C107&lt;=CP$4,1/$E$41,0),0)</f>
        <v>0</v>
      </c>
      <c r="CQ107" s="34">
        <f>IF(SUM($I107:CP107)&lt;1,IF($C107&lt;=CQ$4,1/$E$41,0),0)</f>
        <v>0</v>
      </c>
      <c r="CR107" s="34">
        <f>IF(SUM($I107:CQ107)&lt;1,IF($C107&lt;=CR$4,1/$E$41,0),0)</f>
        <v>0</v>
      </c>
      <c r="CS107" s="34">
        <f>IF(SUM($I107:CR107)&lt;1,IF($C107&lt;=CS$4,1/$E$41,0),0)</f>
        <v>0</v>
      </c>
      <c r="CT107" s="34">
        <f>IF(SUM($I107:CS107)&lt;1,IF($C107&lt;=CT$4,1/$E$41,0),0)</f>
        <v>0</v>
      </c>
      <c r="CU107" s="34">
        <f>IF(SUM($I107:CT107)&lt;1,IF($C107&lt;=CU$4,1/$E$41,0),0)</f>
        <v>0</v>
      </c>
      <c r="CV107" s="34">
        <f>IF(SUM($I107:CU107)&lt;1,IF($C107&lt;=CV$4,1/$E$41,0),0)</f>
        <v>0</v>
      </c>
      <c r="CW107" s="34">
        <f>IF(SUM($I107:CV107)&lt;1,IF($C107&lt;=CW$4,1/$E$41,0),0)</f>
        <v>0</v>
      </c>
      <c r="CX107" s="34">
        <f>IF(SUM($I107:CW107)&lt;1,IF($C107&lt;=CX$4,1/$E$41,0),0)</f>
        <v>0</v>
      </c>
      <c r="CY107" s="34">
        <f>IF(SUM($I107:CX107)&lt;1,IF($C107&lt;=CY$4,1/$E$41,0),0)</f>
        <v>0</v>
      </c>
      <c r="CZ107" s="34">
        <f>IF(SUM($I107:CY107)&lt;1,IF($C107&lt;=CZ$4,1/$E$41,0),0)</f>
        <v>0</v>
      </c>
      <c r="DA107" s="34">
        <f>IF(SUM($I107:CZ107)&lt;1,IF($C107&lt;=DA$4,1/$E$41,0),0)</f>
        <v>0</v>
      </c>
      <c r="DB107" s="34">
        <f>IF(SUM($I107:DA107)&lt;1,IF($C107&lt;=DB$4,1/$E$41,0),0)</f>
        <v>0</v>
      </c>
      <c r="DC107" s="34">
        <f>IF(SUM($I107:DB107)&lt;1,IF($C107&lt;=DC$4,1/$E$41,0),0)</f>
        <v>0</v>
      </c>
      <c r="DD107" s="34">
        <f>IF(SUM($I107:DC107)&lt;1,IF($C107&lt;=DD$4,1/$E$41,0),0)</f>
        <v>0</v>
      </c>
      <c r="DE107" s="34">
        <f>IF(SUM($I107:DD107)&lt;1,IF($C107&lt;=DE$4,1/$E$41,0),0)</f>
        <v>0</v>
      </c>
      <c r="DF107" s="34">
        <f>IF(SUM($I107:DE107)&lt;1,IF($C107&lt;=DF$4,1/$E$41,0),0)</f>
        <v>0</v>
      </c>
      <c r="DG107" s="34">
        <f>IF(SUM($I107:DF107)&lt;1,IF($C107&lt;=DG$4,1/$E$41,0),0)</f>
        <v>0</v>
      </c>
      <c r="DH107" s="34">
        <f>IF(SUM($I107:DG107)&lt;1,IF($C107&lt;=DH$4,1/$E$41,0),0)</f>
        <v>0</v>
      </c>
      <c r="DI107" s="34">
        <f>IF(SUM($I107:DH107)&lt;1,IF($C107&lt;=DI$4,1/$E$41,0),0)</f>
        <v>0</v>
      </c>
      <c r="DJ107" s="34">
        <f>IF(SUM($I107:DI107)&lt;1,IF($C107&lt;=DJ$4,1/$E$41,0),0)</f>
        <v>0</v>
      </c>
      <c r="DK107" s="34">
        <f>IF(SUM($I107:DJ107)&lt;1,IF($C107&lt;=DK$4,1/$E$41,0),0)</f>
        <v>0</v>
      </c>
      <c r="DL107" s="34">
        <f>IF(SUM($I107:DK107)&lt;1,IF($C107&lt;=DL$4,1/$E$41,0),0)</f>
        <v>0</v>
      </c>
      <c r="DM107" s="34">
        <f>IF(SUM($I107:DL107)&lt;1,IF($C107&lt;=DM$4,1/$E$41,0),0)</f>
        <v>0</v>
      </c>
    </row>
    <row r="108" spans="3:117" outlineLevel="1" x14ac:dyDescent="0.15">
      <c r="C108" s="50">
        <f t="shared" si="48"/>
        <v>64</v>
      </c>
      <c r="D108" s="5" t="s">
        <v>18</v>
      </c>
      <c r="E108" s="19">
        <f t="shared" si="49"/>
        <v>0</v>
      </c>
      <c r="I108" s="9"/>
      <c r="J108" s="34">
        <f>IF(SUM($I108:I108)&lt;1,IF($C108&lt;=J$4,1/$E$41,0),0)</f>
        <v>0</v>
      </c>
      <c r="K108" s="34">
        <f>IF(SUM($I108:J108)&lt;1,IF($C108&lt;=K$4,1/$E$41,0),0)</f>
        <v>0</v>
      </c>
      <c r="L108" s="34">
        <f>IF(SUM($I108:K108)&lt;1,IF($C108&lt;=L$4,1/$E$41,0),0)</f>
        <v>0</v>
      </c>
      <c r="M108" s="34">
        <f>IF(SUM($I108:L108)&lt;1,IF($C108&lt;=M$4,1/$E$41,0),0)</f>
        <v>0</v>
      </c>
      <c r="N108" s="34">
        <f>IF(SUM($I108:M108)&lt;1,IF($C108&lt;=N$4,1/$E$41,0),0)</f>
        <v>0</v>
      </c>
      <c r="O108" s="34">
        <f>IF(SUM($I108:N108)&lt;1,IF($C108&lt;=O$4,1/$E$41,0),0)</f>
        <v>0</v>
      </c>
      <c r="P108" s="34">
        <f>IF(SUM($I108:O108)&lt;1,IF($C108&lt;=P$4,1/$E$41,0),0)</f>
        <v>0</v>
      </c>
      <c r="Q108" s="34">
        <f>IF(SUM($I108:P108)&lt;1,IF($C108&lt;=Q$4,1/$E$41,0),0)</f>
        <v>0</v>
      </c>
      <c r="R108" s="34">
        <f>IF(SUM($I108:Q108)&lt;1,IF($C108&lt;=R$4,1/$E$41,0),0)</f>
        <v>0</v>
      </c>
      <c r="S108" s="34">
        <f>IF(SUM($I108:R108)&lt;1,IF($C108&lt;=S$4,1/$E$41,0),0)</f>
        <v>0</v>
      </c>
      <c r="T108" s="34">
        <f>IF(SUM($I108:S108)&lt;1,IF($C108&lt;=T$4,1/$E$41,0),0)</f>
        <v>0</v>
      </c>
      <c r="U108" s="34">
        <f>IF(SUM($I108:T108)&lt;1,IF($C108&lt;=U$4,1/$E$41,0),0)</f>
        <v>0</v>
      </c>
      <c r="V108" s="34">
        <f>IF(SUM($I108:U108)&lt;1,IF($C108&lt;=V$4,1/$E$41,0),0)</f>
        <v>0</v>
      </c>
      <c r="W108" s="34">
        <f>IF(SUM($I108:V108)&lt;1,IF($C108&lt;=W$4,1/$E$41,0),0)</f>
        <v>0</v>
      </c>
      <c r="X108" s="34">
        <f>IF(SUM($I108:W108)&lt;1,IF($C108&lt;=X$4,1/$E$41,0),0)</f>
        <v>0</v>
      </c>
      <c r="Y108" s="34">
        <f>IF(SUM($I108:X108)&lt;1,IF($C108&lt;=Y$4,1/$E$41,0),0)</f>
        <v>0</v>
      </c>
      <c r="Z108" s="34">
        <f>IF(SUM($I108:Y108)&lt;1,IF($C108&lt;=Z$4,1/$E$41,0),0)</f>
        <v>0</v>
      </c>
      <c r="AA108" s="34">
        <f>IF(SUM($I108:Z108)&lt;1,IF($C108&lt;=AA$4,1/$E$41,0),0)</f>
        <v>0</v>
      </c>
      <c r="AB108" s="34">
        <f>IF(SUM($I108:AA108)&lt;1,IF($C108&lt;=AB$4,1/$E$41,0),0)</f>
        <v>0</v>
      </c>
      <c r="AC108" s="34">
        <f>IF(SUM($I108:AB108)&lt;1,IF($C108&lt;=AC$4,1/$E$41,0),0)</f>
        <v>0</v>
      </c>
      <c r="AD108" s="34">
        <f>IF(SUM($I108:AC108)&lt;1,IF($C108&lt;=AD$4,1/$E$41,0),0)</f>
        <v>0</v>
      </c>
      <c r="AE108" s="34">
        <f>IF(SUM($I108:AD108)&lt;1,IF($C108&lt;=AE$4,1/$E$41,0),0)</f>
        <v>0</v>
      </c>
      <c r="AF108" s="34">
        <f>IF(SUM($I108:AE108)&lt;1,IF($C108&lt;=AF$4,1/$E$41,0),0)</f>
        <v>0</v>
      </c>
      <c r="AG108" s="34">
        <f>IF(SUM($I108:AF108)&lt;1,IF($C108&lt;=AG$4,1/$E$41,0),0)</f>
        <v>0</v>
      </c>
      <c r="AH108" s="34">
        <f>IF(SUM($I108:AG108)&lt;1,IF($C108&lt;=AH$4,1/$E$41,0),0)</f>
        <v>0</v>
      </c>
      <c r="AI108" s="34">
        <f>IF(SUM($I108:AH108)&lt;1,IF($C108&lt;=AI$4,1/$E$41,0),0)</f>
        <v>0</v>
      </c>
      <c r="AJ108" s="34">
        <f>IF(SUM($I108:AI108)&lt;1,IF($C108&lt;=AJ$4,1/$E$41,0),0)</f>
        <v>0</v>
      </c>
      <c r="AK108" s="34">
        <f>IF(SUM($I108:AJ108)&lt;1,IF($C108&lt;=AK$4,1/$E$41,0),0)</f>
        <v>0</v>
      </c>
      <c r="AL108" s="34">
        <f>IF(SUM($I108:AK108)&lt;1,IF($C108&lt;=AL$4,1/$E$41,0),0)</f>
        <v>0</v>
      </c>
      <c r="AM108" s="34">
        <f>IF(SUM($I108:AL108)&lt;1,IF($C108&lt;=AM$4,1/$E$41,0),0)</f>
        <v>0</v>
      </c>
      <c r="AN108" s="34">
        <f>IF(SUM($I108:AM108)&lt;1,IF($C108&lt;=AN$4,1/$E$41,0),0)</f>
        <v>0</v>
      </c>
      <c r="AO108" s="34">
        <f>IF(SUM($I108:AN108)&lt;1,IF($C108&lt;=AO$4,1/$E$41,0),0)</f>
        <v>0</v>
      </c>
      <c r="AP108" s="34">
        <f>IF(SUM($I108:AO108)&lt;1,IF($C108&lt;=AP$4,1/$E$41,0),0)</f>
        <v>0</v>
      </c>
      <c r="AQ108" s="34">
        <f>IF(SUM($I108:AP108)&lt;1,IF($C108&lt;=AQ$4,1/$E$41,0),0)</f>
        <v>0</v>
      </c>
      <c r="AR108" s="34">
        <f>IF(SUM($I108:AQ108)&lt;1,IF($C108&lt;=AR$4,1/$E$41,0),0)</f>
        <v>0</v>
      </c>
      <c r="AS108" s="34">
        <f>IF(SUM($I108:AR108)&lt;1,IF($C108&lt;=AS$4,1/$E$41,0),0)</f>
        <v>0</v>
      </c>
      <c r="AT108" s="34">
        <f>IF(SUM($I108:AS108)&lt;1,IF($C108&lt;=AT$4,1/$E$41,0),0)</f>
        <v>0</v>
      </c>
      <c r="AU108" s="34">
        <f>IF(SUM($I108:AT108)&lt;1,IF($C108&lt;=AU$4,1/$E$41,0),0)</f>
        <v>0</v>
      </c>
      <c r="AV108" s="34">
        <f>IF(SUM($I108:AU108)&lt;1,IF($C108&lt;=AV$4,1/$E$41,0),0)</f>
        <v>0</v>
      </c>
      <c r="AW108" s="34">
        <f>IF(SUM($I108:AV108)&lt;1,IF($C108&lt;=AW$4,1/$E$41,0),0)</f>
        <v>0</v>
      </c>
      <c r="AX108" s="34">
        <f>IF(SUM($I108:AW108)&lt;1,IF($C108&lt;=AX$4,1/$E$41,0),0)</f>
        <v>0</v>
      </c>
      <c r="AY108" s="34">
        <f>IF(SUM($I108:AX108)&lt;1,IF($C108&lt;=AY$4,1/$E$41,0),0)</f>
        <v>0</v>
      </c>
      <c r="AZ108" s="34">
        <f>IF(SUM($I108:AY108)&lt;1,IF($C108&lt;=AZ$4,1/$E$41,0),0)</f>
        <v>0</v>
      </c>
      <c r="BA108" s="34">
        <f>IF(SUM($I108:AZ108)&lt;1,IF($C108&lt;=BA$4,1/$E$41,0),0)</f>
        <v>0</v>
      </c>
      <c r="BB108" s="34">
        <f>IF(SUM($I108:BA108)&lt;1,IF($C108&lt;=BB$4,1/$E$41,0),0)</f>
        <v>0</v>
      </c>
      <c r="BC108" s="34">
        <f>IF(SUM($I108:BB108)&lt;1,IF($C108&lt;=BC$4,1/$E$41,0),0)</f>
        <v>0</v>
      </c>
      <c r="BD108" s="34">
        <f>IF(SUM($I108:BC108)&lt;1,IF($C108&lt;=BD$4,1/$E$41,0),0)</f>
        <v>0</v>
      </c>
      <c r="BE108" s="34">
        <f>IF(SUM($I108:BD108)&lt;1,IF($C108&lt;=BE$4,1/$E$41,0),0)</f>
        <v>0</v>
      </c>
      <c r="BF108" s="34">
        <f>IF(SUM($I108:BE108)&lt;1,IF($C108&lt;=BF$4,1/$E$41,0),0)</f>
        <v>0</v>
      </c>
      <c r="BG108" s="34">
        <f>IF(SUM($I108:BF108)&lt;1,IF($C108&lt;=BG$4,1/$E$41,0),0)</f>
        <v>0</v>
      </c>
      <c r="BH108" s="34">
        <f>IF(SUM($I108:BG108)&lt;1,IF($C108&lt;=BH$4,1/$E$41,0),0)</f>
        <v>0</v>
      </c>
      <c r="BI108" s="34">
        <f>IF(SUM($I108:BH108)&lt;1,IF($C108&lt;=BI$4,1/$E$41,0),0)</f>
        <v>0</v>
      </c>
      <c r="BJ108" s="34">
        <f>IF(SUM($I108:BI108)&lt;1,IF($C108&lt;=BJ$4,1/$E$41,0),0)</f>
        <v>0</v>
      </c>
      <c r="BK108" s="34">
        <f>IF(SUM($I108:BJ108)&lt;1,IF($C108&lt;=BK$4,1/$E$41,0),0)</f>
        <v>0</v>
      </c>
      <c r="BL108" s="34">
        <f>IF(SUM($I108:BK108)&lt;1,IF($C108&lt;=BL$4,1/$E$41,0),0)</f>
        <v>0</v>
      </c>
      <c r="BM108" s="34">
        <f>IF(SUM($I108:BL108)&lt;1,IF($C108&lt;=BM$4,1/$E$41,0),0)</f>
        <v>0</v>
      </c>
      <c r="BN108" s="34">
        <f>IF(SUM($I108:BM108)&lt;1,IF($C108&lt;=BN$4,1/$E$41,0),0)</f>
        <v>0</v>
      </c>
      <c r="BO108" s="34">
        <f>IF(SUM($I108:BN108)&lt;1,IF($C108&lt;=BO$4,1/$E$41,0),0)</f>
        <v>0</v>
      </c>
      <c r="BP108" s="34">
        <f>IF(SUM($I108:BO108)&lt;1,IF($C108&lt;=BP$4,1/$E$41,0),0)</f>
        <v>0</v>
      </c>
      <c r="BQ108" s="34">
        <f>IF(SUM($I108:BP108)&lt;1,IF($C108&lt;=BQ$4,1/$E$41,0),0)</f>
        <v>0</v>
      </c>
      <c r="BR108" s="34">
        <f>IF(SUM($I108:BQ108)&lt;1,IF($C108&lt;=BR$4,1/$E$41,0),0)</f>
        <v>0</v>
      </c>
      <c r="BS108" s="34">
        <f>IF(SUM($I108:BR108)&lt;1,IF($C108&lt;=BS$4,1/$E$41,0),0)</f>
        <v>0</v>
      </c>
      <c r="BT108" s="34">
        <f>IF(SUM($I108:BS108)&lt;1,IF($C108&lt;=BT$4,1/$E$41,0),0)</f>
        <v>0</v>
      </c>
      <c r="BU108" s="34">
        <f>IF(SUM($I108:BT108)&lt;1,IF($C108&lt;=BU$4,1/$E$41,0),0)</f>
        <v>0.25</v>
      </c>
      <c r="BV108" s="34">
        <f>IF(SUM($I108:BU108)&lt;1,IF($C108&lt;=BV$4,1/$E$41,0),0)</f>
        <v>0.25</v>
      </c>
      <c r="BW108" s="34">
        <f>IF(SUM($I108:BV108)&lt;1,IF($C108&lt;=BW$4,1/$E$41,0),0)</f>
        <v>0.25</v>
      </c>
      <c r="BX108" s="34">
        <f>IF(SUM($I108:BW108)&lt;1,IF($C108&lt;=BX$4,1/$E$41,0),0)</f>
        <v>0.25</v>
      </c>
      <c r="BY108" s="34">
        <f>IF(SUM($I108:BX108)&lt;1,IF($C108&lt;=BY$4,1/$E$41,0),0)</f>
        <v>0</v>
      </c>
      <c r="BZ108" s="34">
        <f>IF(SUM($I108:BY108)&lt;1,IF($C108&lt;=BZ$4,1/$E$41,0),0)</f>
        <v>0</v>
      </c>
      <c r="CA108" s="34">
        <f>IF(SUM($I108:BZ108)&lt;1,IF($C108&lt;=CA$4,1/$E$41,0),0)</f>
        <v>0</v>
      </c>
      <c r="CB108" s="34">
        <f>IF(SUM($I108:CA108)&lt;1,IF($C108&lt;=CB$4,1/$E$41,0),0)</f>
        <v>0</v>
      </c>
      <c r="CC108" s="34">
        <f>IF(SUM($I108:CB108)&lt;1,IF($C108&lt;=CC$4,1/$E$41,0),0)</f>
        <v>0</v>
      </c>
      <c r="CD108" s="34">
        <f>IF(SUM($I108:CC108)&lt;1,IF($C108&lt;=CD$4,1/$E$41,0),0)</f>
        <v>0</v>
      </c>
      <c r="CE108" s="34">
        <f>IF(SUM($I108:CD108)&lt;1,IF($C108&lt;=CE$4,1/$E$41,0),0)</f>
        <v>0</v>
      </c>
      <c r="CF108" s="34">
        <f>IF(SUM($I108:CE108)&lt;1,IF($C108&lt;=CF$4,1/$E$41,0),0)</f>
        <v>0</v>
      </c>
      <c r="CG108" s="34">
        <f>IF(SUM($I108:CF108)&lt;1,IF($C108&lt;=CG$4,1/$E$41,0),0)</f>
        <v>0</v>
      </c>
      <c r="CH108" s="34">
        <f>IF(SUM($I108:CG108)&lt;1,IF($C108&lt;=CH$4,1/$E$41,0),0)</f>
        <v>0</v>
      </c>
      <c r="CI108" s="34">
        <f>IF(SUM($I108:CH108)&lt;1,IF($C108&lt;=CI$4,1/$E$41,0),0)</f>
        <v>0</v>
      </c>
      <c r="CJ108" s="34">
        <f>IF(SUM($I108:CI108)&lt;1,IF($C108&lt;=CJ$4,1/$E$41,0),0)</f>
        <v>0</v>
      </c>
      <c r="CK108" s="34">
        <f>IF(SUM($I108:CJ108)&lt;1,IF($C108&lt;=CK$4,1/$E$41,0),0)</f>
        <v>0</v>
      </c>
      <c r="CL108" s="34">
        <f>IF(SUM($I108:CK108)&lt;1,IF($C108&lt;=CL$4,1/$E$41,0),0)</f>
        <v>0</v>
      </c>
      <c r="CM108" s="34">
        <f>IF(SUM($I108:CL108)&lt;1,IF($C108&lt;=CM$4,1/$E$41,0),0)</f>
        <v>0</v>
      </c>
      <c r="CN108" s="34">
        <f>IF(SUM($I108:CM108)&lt;1,IF($C108&lt;=CN$4,1/$E$41,0),0)</f>
        <v>0</v>
      </c>
      <c r="CO108" s="34">
        <f>IF(SUM($I108:CN108)&lt;1,IF($C108&lt;=CO$4,1/$E$41,0),0)</f>
        <v>0</v>
      </c>
      <c r="CP108" s="34">
        <f>IF(SUM($I108:CO108)&lt;1,IF($C108&lt;=CP$4,1/$E$41,0),0)</f>
        <v>0</v>
      </c>
      <c r="CQ108" s="34">
        <f>IF(SUM($I108:CP108)&lt;1,IF($C108&lt;=CQ$4,1/$E$41,0),0)</f>
        <v>0</v>
      </c>
      <c r="CR108" s="34">
        <f>IF(SUM($I108:CQ108)&lt;1,IF($C108&lt;=CR$4,1/$E$41,0),0)</f>
        <v>0</v>
      </c>
      <c r="CS108" s="34">
        <f>IF(SUM($I108:CR108)&lt;1,IF($C108&lt;=CS$4,1/$E$41,0),0)</f>
        <v>0</v>
      </c>
      <c r="CT108" s="34">
        <f>IF(SUM($I108:CS108)&lt;1,IF($C108&lt;=CT$4,1/$E$41,0),0)</f>
        <v>0</v>
      </c>
      <c r="CU108" s="34">
        <f>IF(SUM($I108:CT108)&lt;1,IF($C108&lt;=CU$4,1/$E$41,0),0)</f>
        <v>0</v>
      </c>
      <c r="CV108" s="34">
        <f>IF(SUM($I108:CU108)&lt;1,IF($C108&lt;=CV$4,1/$E$41,0),0)</f>
        <v>0</v>
      </c>
      <c r="CW108" s="34">
        <f>IF(SUM($I108:CV108)&lt;1,IF($C108&lt;=CW$4,1/$E$41,0),0)</f>
        <v>0</v>
      </c>
      <c r="CX108" s="34">
        <f>IF(SUM($I108:CW108)&lt;1,IF($C108&lt;=CX$4,1/$E$41,0),0)</f>
        <v>0</v>
      </c>
      <c r="CY108" s="34">
        <f>IF(SUM($I108:CX108)&lt;1,IF($C108&lt;=CY$4,1/$E$41,0),0)</f>
        <v>0</v>
      </c>
      <c r="CZ108" s="34">
        <f>IF(SUM($I108:CY108)&lt;1,IF($C108&lt;=CZ$4,1/$E$41,0),0)</f>
        <v>0</v>
      </c>
      <c r="DA108" s="34">
        <f>IF(SUM($I108:CZ108)&lt;1,IF($C108&lt;=DA$4,1/$E$41,0),0)</f>
        <v>0</v>
      </c>
      <c r="DB108" s="34">
        <f>IF(SUM($I108:DA108)&lt;1,IF($C108&lt;=DB$4,1/$E$41,0),0)</f>
        <v>0</v>
      </c>
      <c r="DC108" s="34">
        <f>IF(SUM($I108:DB108)&lt;1,IF($C108&lt;=DC$4,1/$E$41,0),0)</f>
        <v>0</v>
      </c>
      <c r="DD108" s="34">
        <f>IF(SUM($I108:DC108)&lt;1,IF($C108&lt;=DD$4,1/$E$41,0),0)</f>
        <v>0</v>
      </c>
      <c r="DE108" s="34">
        <f>IF(SUM($I108:DD108)&lt;1,IF($C108&lt;=DE$4,1/$E$41,0),0)</f>
        <v>0</v>
      </c>
      <c r="DF108" s="34">
        <f>IF(SUM($I108:DE108)&lt;1,IF($C108&lt;=DF$4,1/$E$41,0),0)</f>
        <v>0</v>
      </c>
      <c r="DG108" s="34">
        <f>IF(SUM($I108:DF108)&lt;1,IF($C108&lt;=DG$4,1/$E$41,0),0)</f>
        <v>0</v>
      </c>
      <c r="DH108" s="34">
        <f>IF(SUM($I108:DG108)&lt;1,IF($C108&lt;=DH$4,1/$E$41,0),0)</f>
        <v>0</v>
      </c>
      <c r="DI108" s="34">
        <f>IF(SUM($I108:DH108)&lt;1,IF($C108&lt;=DI$4,1/$E$41,0),0)</f>
        <v>0</v>
      </c>
      <c r="DJ108" s="34">
        <f>IF(SUM($I108:DI108)&lt;1,IF($C108&lt;=DJ$4,1/$E$41,0),0)</f>
        <v>0</v>
      </c>
      <c r="DK108" s="34">
        <f>IF(SUM($I108:DJ108)&lt;1,IF($C108&lt;=DK$4,1/$E$41,0),0)</f>
        <v>0</v>
      </c>
      <c r="DL108" s="34">
        <f>IF(SUM($I108:DK108)&lt;1,IF($C108&lt;=DL$4,1/$E$41,0),0)</f>
        <v>0</v>
      </c>
      <c r="DM108" s="34">
        <f>IF(SUM($I108:DL108)&lt;1,IF($C108&lt;=DM$4,1/$E$41,0),0)</f>
        <v>0</v>
      </c>
    </row>
    <row r="109" spans="3:117" outlineLevel="1" x14ac:dyDescent="0.15">
      <c r="C109" s="50">
        <f t="shared" si="48"/>
        <v>65</v>
      </c>
      <c r="D109" s="5" t="s">
        <v>18</v>
      </c>
      <c r="E109" s="19">
        <f t="shared" ref="E109:E144" si="50">LOOKUP(C109+($E$5-1),$J$4:$DM$4,$J$33:$DM$33)</f>
        <v>0</v>
      </c>
      <c r="I109" s="9"/>
      <c r="J109" s="34">
        <f>IF(SUM($I109:I109)&lt;1,IF($C109&lt;=J$4,1/$E$41,0),0)</f>
        <v>0</v>
      </c>
      <c r="K109" s="34">
        <f>IF(SUM($I109:J109)&lt;1,IF($C109&lt;=K$4,1/$E$41,0),0)</f>
        <v>0</v>
      </c>
      <c r="L109" s="34">
        <f>IF(SUM($I109:K109)&lt;1,IF($C109&lt;=L$4,1/$E$41,0),0)</f>
        <v>0</v>
      </c>
      <c r="M109" s="34">
        <f>IF(SUM($I109:L109)&lt;1,IF($C109&lt;=M$4,1/$E$41,0),0)</f>
        <v>0</v>
      </c>
      <c r="N109" s="34">
        <f>IF(SUM($I109:M109)&lt;1,IF($C109&lt;=N$4,1/$E$41,0),0)</f>
        <v>0</v>
      </c>
      <c r="O109" s="34">
        <f>IF(SUM($I109:N109)&lt;1,IF($C109&lt;=O$4,1/$E$41,0),0)</f>
        <v>0</v>
      </c>
      <c r="P109" s="34">
        <f>IF(SUM($I109:O109)&lt;1,IF($C109&lt;=P$4,1/$E$41,0),0)</f>
        <v>0</v>
      </c>
      <c r="Q109" s="34">
        <f>IF(SUM($I109:P109)&lt;1,IF($C109&lt;=Q$4,1/$E$41,0),0)</f>
        <v>0</v>
      </c>
      <c r="R109" s="34">
        <f>IF(SUM($I109:Q109)&lt;1,IF($C109&lt;=R$4,1/$E$41,0),0)</f>
        <v>0</v>
      </c>
      <c r="S109" s="34">
        <f>IF(SUM($I109:R109)&lt;1,IF($C109&lt;=S$4,1/$E$41,0),0)</f>
        <v>0</v>
      </c>
      <c r="T109" s="34">
        <f>IF(SUM($I109:S109)&lt;1,IF($C109&lt;=T$4,1/$E$41,0),0)</f>
        <v>0</v>
      </c>
      <c r="U109" s="34">
        <f>IF(SUM($I109:T109)&lt;1,IF($C109&lt;=U$4,1/$E$41,0),0)</f>
        <v>0</v>
      </c>
      <c r="V109" s="34">
        <f>IF(SUM($I109:U109)&lt;1,IF($C109&lt;=V$4,1/$E$41,0),0)</f>
        <v>0</v>
      </c>
      <c r="W109" s="34">
        <f>IF(SUM($I109:V109)&lt;1,IF($C109&lt;=W$4,1/$E$41,0),0)</f>
        <v>0</v>
      </c>
      <c r="X109" s="34">
        <f>IF(SUM($I109:W109)&lt;1,IF($C109&lt;=X$4,1/$E$41,0),0)</f>
        <v>0</v>
      </c>
      <c r="Y109" s="34">
        <f>IF(SUM($I109:X109)&lt;1,IF($C109&lt;=Y$4,1/$E$41,0),0)</f>
        <v>0</v>
      </c>
      <c r="Z109" s="34">
        <f>IF(SUM($I109:Y109)&lt;1,IF($C109&lt;=Z$4,1/$E$41,0),0)</f>
        <v>0</v>
      </c>
      <c r="AA109" s="34">
        <f>IF(SUM($I109:Z109)&lt;1,IF($C109&lt;=AA$4,1/$E$41,0),0)</f>
        <v>0</v>
      </c>
      <c r="AB109" s="34">
        <f>IF(SUM($I109:AA109)&lt;1,IF($C109&lt;=AB$4,1/$E$41,0),0)</f>
        <v>0</v>
      </c>
      <c r="AC109" s="34">
        <f>IF(SUM($I109:AB109)&lt;1,IF($C109&lt;=AC$4,1/$E$41,0),0)</f>
        <v>0</v>
      </c>
      <c r="AD109" s="34">
        <f>IF(SUM($I109:AC109)&lt;1,IF($C109&lt;=AD$4,1/$E$41,0),0)</f>
        <v>0</v>
      </c>
      <c r="AE109" s="34">
        <f>IF(SUM($I109:AD109)&lt;1,IF($C109&lt;=AE$4,1/$E$41,0),0)</f>
        <v>0</v>
      </c>
      <c r="AF109" s="34">
        <f>IF(SUM($I109:AE109)&lt;1,IF($C109&lt;=AF$4,1/$E$41,0),0)</f>
        <v>0</v>
      </c>
      <c r="AG109" s="34">
        <f>IF(SUM($I109:AF109)&lt;1,IF($C109&lt;=AG$4,1/$E$41,0),0)</f>
        <v>0</v>
      </c>
      <c r="AH109" s="34">
        <f>IF(SUM($I109:AG109)&lt;1,IF($C109&lt;=AH$4,1/$E$41,0),0)</f>
        <v>0</v>
      </c>
      <c r="AI109" s="34">
        <f>IF(SUM($I109:AH109)&lt;1,IF($C109&lt;=AI$4,1/$E$41,0),0)</f>
        <v>0</v>
      </c>
      <c r="AJ109" s="34">
        <f>IF(SUM($I109:AI109)&lt;1,IF($C109&lt;=AJ$4,1/$E$41,0),0)</f>
        <v>0</v>
      </c>
      <c r="AK109" s="34">
        <f>IF(SUM($I109:AJ109)&lt;1,IF($C109&lt;=AK$4,1/$E$41,0),0)</f>
        <v>0</v>
      </c>
      <c r="AL109" s="34">
        <f>IF(SUM($I109:AK109)&lt;1,IF($C109&lt;=AL$4,1/$E$41,0),0)</f>
        <v>0</v>
      </c>
      <c r="AM109" s="34">
        <f>IF(SUM($I109:AL109)&lt;1,IF($C109&lt;=AM$4,1/$E$41,0),0)</f>
        <v>0</v>
      </c>
      <c r="AN109" s="34">
        <f>IF(SUM($I109:AM109)&lt;1,IF($C109&lt;=AN$4,1/$E$41,0),0)</f>
        <v>0</v>
      </c>
      <c r="AO109" s="34">
        <f>IF(SUM($I109:AN109)&lt;1,IF($C109&lt;=AO$4,1/$E$41,0),0)</f>
        <v>0</v>
      </c>
      <c r="AP109" s="34">
        <f>IF(SUM($I109:AO109)&lt;1,IF($C109&lt;=AP$4,1/$E$41,0),0)</f>
        <v>0</v>
      </c>
      <c r="AQ109" s="34">
        <f>IF(SUM($I109:AP109)&lt;1,IF($C109&lt;=AQ$4,1/$E$41,0),0)</f>
        <v>0</v>
      </c>
      <c r="AR109" s="34">
        <f>IF(SUM($I109:AQ109)&lt;1,IF($C109&lt;=AR$4,1/$E$41,0),0)</f>
        <v>0</v>
      </c>
      <c r="AS109" s="34">
        <f>IF(SUM($I109:AR109)&lt;1,IF($C109&lt;=AS$4,1/$E$41,0),0)</f>
        <v>0</v>
      </c>
      <c r="AT109" s="34">
        <f>IF(SUM($I109:AS109)&lt;1,IF($C109&lt;=AT$4,1/$E$41,0),0)</f>
        <v>0</v>
      </c>
      <c r="AU109" s="34">
        <f>IF(SUM($I109:AT109)&lt;1,IF($C109&lt;=AU$4,1/$E$41,0),0)</f>
        <v>0</v>
      </c>
      <c r="AV109" s="34">
        <f>IF(SUM($I109:AU109)&lt;1,IF($C109&lt;=AV$4,1/$E$41,0),0)</f>
        <v>0</v>
      </c>
      <c r="AW109" s="34">
        <f>IF(SUM($I109:AV109)&lt;1,IF($C109&lt;=AW$4,1/$E$41,0),0)</f>
        <v>0</v>
      </c>
      <c r="AX109" s="34">
        <f>IF(SUM($I109:AW109)&lt;1,IF($C109&lt;=AX$4,1/$E$41,0),0)</f>
        <v>0</v>
      </c>
      <c r="AY109" s="34">
        <f>IF(SUM($I109:AX109)&lt;1,IF($C109&lt;=AY$4,1/$E$41,0),0)</f>
        <v>0</v>
      </c>
      <c r="AZ109" s="34">
        <f>IF(SUM($I109:AY109)&lt;1,IF($C109&lt;=AZ$4,1/$E$41,0),0)</f>
        <v>0</v>
      </c>
      <c r="BA109" s="34">
        <f>IF(SUM($I109:AZ109)&lt;1,IF($C109&lt;=BA$4,1/$E$41,0),0)</f>
        <v>0</v>
      </c>
      <c r="BB109" s="34">
        <f>IF(SUM($I109:BA109)&lt;1,IF($C109&lt;=BB$4,1/$E$41,0),0)</f>
        <v>0</v>
      </c>
      <c r="BC109" s="34">
        <f>IF(SUM($I109:BB109)&lt;1,IF($C109&lt;=BC$4,1/$E$41,0),0)</f>
        <v>0</v>
      </c>
      <c r="BD109" s="34">
        <f>IF(SUM($I109:BC109)&lt;1,IF($C109&lt;=BD$4,1/$E$41,0),0)</f>
        <v>0</v>
      </c>
      <c r="BE109" s="34">
        <f>IF(SUM($I109:BD109)&lt;1,IF($C109&lt;=BE$4,1/$E$41,0),0)</f>
        <v>0</v>
      </c>
      <c r="BF109" s="34">
        <f>IF(SUM($I109:BE109)&lt;1,IF($C109&lt;=BF$4,1/$E$41,0),0)</f>
        <v>0</v>
      </c>
      <c r="BG109" s="34">
        <f>IF(SUM($I109:BF109)&lt;1,IF($C109&lt;=BG$4,1/$E$41,0),0)</f>
        <v>0</v>
      </c>
      <c r="BH109" s="34">
        <f>IF(SUM($I109:BG109)&lt;1,IF($C109&lt;=BH$4,1/$E$41,0),0)</f>
        <v>0</v>
      </c>
      <c r="BI109" s="34">
        <f>IF(SUM($I109:BH109)&lt;1,IF($C109&lt;=BI$4,1/$E$41,0),0)</f>
        <v>0</v>
      </c>
      <c r="BJ109" s="34">
        <f>IF(SUM($I109:BI109)&lt;1,IF($C109&lt;=BJ$4,1/$E$41,0),0)</f>
        <v>0</v>
      </c>
      <c r="BK109" s="34">
        <f>IF(SUM($I109:BJ109)&lt;1,IF($C109&lt;=BK$4,1/$E$41,0),0)</f>
        <v>0</v>
      </c>
      <c r="BL109" s="34">
        <f>IF(SUM($I109:BK109)&lt;1,IF($C109&lt;=BL$4,1/$E$41,0),0)</f>
        <v>0</v>
      </c>
      <c r="BM109" s="34">
        <f>IF(SUM($I109:BL109)&lt;1,IF($C109&lt;=BM$4,1/$E$41,0),0)</f>
        <v>0</v>
      </c>
      <c r="BN109" s="34">
        <f>IF(SUM($I109:BM109)&lt;1,IF($C109&lt;=BN$4,1/$E$41,0),0)</f>
        <v>0</v>
      </c>
      <c r="BO109" s="34">
        <f>IF(SUM($I109:BN109)&lt;1,IF($C109&lt;=BO$4,1/$E$41,0),0)</f>
        <v>0</v>
      </c>
      <c r="BP109" s="34">
        <f>IF(SUM($I109:BO109)&lt;1,IF($C109&lt;=BP$4,1/$E$41,0),0)</f>
        <v>0</v>
      </c>
      <c r="BQ109" s="34">
        <f>IF(SUM($I109:BP109)&lt;1,IF($C109&lt;=BQ$4,1/$E$41,0),0)</f>
        <v>0</v>
      </c>
      <c r="BR109" s="34">
        <f>IF(SUM($I109:BQ109)&lt;1,IF($C109&lt;=BR$4,1/$E$41,0),0)</f>
        <v>0</v>
      </c>
      <c r="BS109" s="34">
        <f>IF(SUM($I109:BR109)&lt;1,IF($C109&lt;=BS$4,1/$E$41,0),0)</f>
        <v>0</v>
      </c>
      <c r="BT109" s="34">
        <f>IF(SUM($I109:BS109)&lt;1,IF($C109&lt;=BT$4,1/$E$41,0),0)</f>
        <v>0</v>
      </c>
      <c r="BU109" s="34">
        <f>IF(SUM($I109:BT109)&lt;1,IF($C109&lt;=BU$4,1/$E$41,0),0)</f>
        <v>0</v>
      </c>
      <c r="BV109" s="34">
        <f>IF(SUM($I109:BU109)&lt;1,IF($C109&lt;=BV$4,1/$E$41,0),0)</f>
        <v>0.25</v>
      </c>
      <c r="BW109" s="34">
        <f>IF(SUM($I109:BV109)&lt;1,IF($C109&lt;=BW$4,1/$E$41,0),0)</f>
        <v>0.25</v>
      </c>
      <c r="BX109" s="34">
        <f>IF(SUM($I109:BW109)&lt;1,IF($C109&lt;=BX$4,1/$E$41,0),0)</f>
        <v>0.25</v>
      </c>
      <c r="BY109" s="34">
        <f>IF(SUM($I109:BX109)&lt;1,IF($C109&lt;=BY$4,1/$E$41,0),0)</f>
        <v>0.25</v>
      </c>
      <c r="BZ109" s="34">
        <f>IF(SUM($I109:BY109)&lt;1,IF($C109&lt;=BZ$4,1/$E$41,0),0)</f>
        <v>0</v>
      </c>
      <c r="CA109" s="34">
        <f>IF(SUM($I109:BZ109)&lt;1,IF($C109&lt;=CA$4,1/$E$41,0),0)</f>
        <v>0</v>
      </c>
      <c r="CB109" s="34">
        <f>IF(SUM($I109:CA109)&lt;1,IF($C109&lt;=CB$4,1/$E$41,0),0)</f>
        <v>0</v>
      </c>
      <c r="CC109" s="34">
        <f>IF(SUM($I109:CB109)&lt;1,IF($C109&lt;=CC$4,1/$E$41,0),0)</f>
        <v>0</v>
      </c>
      <c r="CD109" s="34">
        <f>IF(SUM($I109:CC109)&lt;1,IF($C109&lt;=CD$4,1/$E$41,0),0)</f>
        <v>0</v>
      </c>
      <c r="CE109" s="34">
        <f>IF(SUM($I109:CD109)&lt;1,IF($C109&lt;=CE$4,1/$E$41,0),0)</f>
        <v>0</v>
      </c>
      <c r="CF109" s="34">
        <f>IF(SUM($I109:CE109)&lt;1,IF($C109&lt;=CF$4,1/$E$41,0),0)</f>
        <v>0</v>
      </c>
      <c r="CG109" s="34">
        <f>IF(SUM($I109:CF109)&lt;1,IF($C109&lt;=CG$4,1/$E$41,0),0)</f>
        <v>0</v>
      </c>
      <c r="CH109" s="34">
        <f>IF(SUM($I109:CG109)&lt;1,IF($C109&lt;=CH$4,1/$E$41,0),0)</f>
        <v>0</v>
      </c>
      <c r="CI109" s="34">
        <f>IF(SUM($I109:CH109)&lt;1,IF($C109&lt;=CI$4,1/$E$41,0),0)</f>
        <v>0</v>
      </c>
      <c r="CJ109" s="34">
        <f>IF(SUM($I109:CI109)&lt;1,IF($C109&lt;=CJ$4,1/$E$41,0),0)</f>
        <v>0</v>
      </c>
      <c r="CK109" s="34">
        <f>IF(SUM($I109:CJ109)&lt;1,IF($C109&lt;=CK$4,1/$E$41,0),0)</f>
        <v>0</v>
      </c>
      <c r="CL109" s="34">
        <f>IF(SUM($I109:CK109)&lt;1,IF($C109&lt;=CL$4,1/$E$41,0),0)</f>
        <v>0</v>
      </c>
      <c r="CM109" s="34">
        <f>IF(SUM($I109:CL109)&lt;1,IF($C109&lt;=CM$4,1/$E$41,0),0)</f>
        <v>0</v>
      </c>
      <c r="CN109" s="34">
        <f>IF(SUM($I109:CM109)&lt;1,IF($C109&lt;=CN$4,1/$E$41,0),0)</f>
        <v>0</v>
      </c>
      <c r="CO109" s="34">
        <f>IF(SUM($I109:CN109)&lt;1,IF($C109&lt;=CO$4,1/$E$41,0),0)</f>
        <v>0</v>
      </c>
      <c r="CP109" s="34">
        <f>IF(SUM($I109:CO109)&lt;1,IF($C109&lt;=CP$4,1/$E$41,0),0)</f>
        <v>0</v>
      </c>
      <c r="CQ109" s="34">
        <f>IF(SUM($I109:CP109)&lt;1,IF($C109&lt;=CQ$4,1/$E$41,0),0)</f>
        <v>0</v>
      </c>
      <c r="CR109" s="34">
        <f>IF(SUM($I109:CQ109)&lt;1,IF($C109&lt;=CR$4,1/$E$41,0),0)</f>
        <v>0</v>
      </c>
      <c r="CS109" s="34">
        <f>IF(SUM($I109:CR109)&lt;1,IF($C109&lt;=CS$4,1/$E$41,0),0)</f>
        <v>0</v>
      </c>
      <c r="CT109" s="34">
        <f>IF(SUM($I109:CS109)&lt;1,IF($C109&lt;=CT$4,1/$E$41,0),0)</f>
        <v>0</v>
      </c>
      <c r="CU109" s="34">
        <f>IF(SUM($I109:CT109)&lt;1,IF($C109&lt;=CU$4,1/$E$41,0),0)</f>
        <v>0</v>
      </c>
      <c r="CV109" s="34">
        <f>IF(SUM($I109:CU109)&lt;1,IF($C109&lt;=CV$4,1/$E$41,0),0)</f>
        <v>0</v>
      </c>
      <c r="CW109" s="34">
        <f>IF(SUM($I109:CV109)&lt;1,IF($C109&lt;=CW$4,1/$E$41,0),0)</f>
        <v>0</v>
      </c>
      <c r="CX109" s="34">
        <f>IF(SUM($I109:CW109)&lt;1,IF($C109&lt;=CX$4,1/$E$41,0),0)</f>
        <v>0</v>
      </c>
      <c r="CY109" s="34">
        <f>IF(SUM($I109:CX109)&lt;1,IF($C109&lt;=CY$4,1/$E$41,0),0)</f>
        <v>0</v>
      </c>
      <c r="CZ109" s="34">
        <f>IF(SUM($I109:CY109)&lt;1,IF($C109&lt;=CZ$4,1/$E$41,0),0)</f>
        <v>0</v>
      </c>
      <c r="DA109" s="34">
        <f>IF(SUM($I109:CZ109)&lt;1,IF($C109&lt;=DA$4,1/$E$41,0),0)</f>
        <v>0</v>
      </c>
      <c r="DB109" s="34">
        <f>IF(SUM($I109:DA109)&lt;1,IF($C109&lt;=DB$4,1/$E$41,0),0)</f>
        <v>0</v>
      </c>
      <c r="DC109" s="34">
        <f>IF(SUM($I109:DB109)&lt;1,IF($C109&lt;=DC$4,1/$E$41,0),0)</f>
        <v>0</v>
      </c>
      <c r="DD109" s="34">
        <f>IF(SUM($I109:DC109)&lt;1,IF($C109&lt;=DD$4,1/$E$41,0),0)</f>
        <v>0</v>
      </c>
      <c r="DE109" s="34">
        <f>IF(SUM($I109:DD109)&lt;1,IF($C109&lt;=DE$4,1/$E$41,0),0)</f>
        <v>0</v>
      </c>
      <c r="DF109" s="34">
        <f>IF(SUM($I109:DE109)&lt;1,IF($C109&lt;=DF$4,1/$E$41,0),0)</f>
        <v>0</v>
      </c>
      <c r="DG109" s="34">
        <f>IF(SUM($I109:DF109)&lt;1,IF($C109&lt;=DG$4,1/$E$41,0),0)</f>
        <v>0</v>
      </c>
      <c r="DH109" s="34">
        <f>IF(SUM($I109:DG109)&lt;1,IF($C109&lt;=DH$4,1/$E$41,0),0)</f>
        <v>0</v>
      </c>
      <c r="DI109" s="34">
        <f>IF(SUM($I109:DH109)&lt;1,IF($C109&lt;=DI$4,1/$E$41,0),0)</f>
        <v>0</v>
      </c>
      <c r="DJ109" s="34">
        <f>IF(SUM($I109:DI109)&lt;1,IF($C109&lt;=DJ$4,1/$E$41,0),0)</f>
        <v>0</v>
      </c>
      <c r="DK109" s="34">
        <f>IF(SUM($I109:DJ109)&lt;1,IF($C109&lt;=DK$4,1/$E$41,0),0)</f>
        <v>0</v>
      </c>
      <c r="DL109" s="34">
        <f>IF(SUM($I109:DK109)&lt;1,IF($C109&lt;=DL$4,1/$E$41,0),0)</f>
        <v>0</v>
      </c>
      <c r="DM109" s="34">
        <f>IF(SUM($I109:DL109)&lt;1,IF($C109&lt;=DM$4,1/$E$41,0),0)</f>
        <v>0</v>
      </c>
    </row>
    <row r="110" spans="3:117" outlineLevel="1" x14ac:dyDescent="0.15">
      <c r="C110" s="50">
        <f t="shared" si="48"/>
        <v>66</v>
      </c>
      <c r="D110" s="5" t="s">
        <v>18</v>
      </c>
      <c r="E110" s="19">
        <f t="shared" si="50"/>
        <v>0</v>
      </c>
      <c r="I110" s="9"/>
      <c r="J110" s="34">
        <f>IF(SUM($I110:I110)&lt;1,IF($C110&lt;=J$4,1/$E$41,0),0)</f>
        <v>0</v>
      </c>
      <c r="K110" s="34">
        <f>IF(SUM($I110:J110)&lt;1,IF($C110&lt;=K$4,1/$E$41,0),0)</f>
        <v>0</v>
      </c>
      <c r="L110" s="34">
        <f>IF(SUM($I110:K110)&lt;1,IF($C110&lt;=L$4,1/$E$41,0),0)</f>
        <v>0</v>
      </c>
      <c r="M110" s="34">
        <f>IF(SUM($I110:L110)&lt;1,IF($C110&lt;=M$4,1/$E$41,0),0)</f>
        <v>0</v>
      </c>
      <c r="N110" s="34">
        <f>IF(SUM($I110:M110)&lt;1,IF($C110&lt;=N$4,1/$E$41,0),0)</f>
        <v>0</v>
      </c>
      <c r="O110" s="34">
        <f>IF(SUM($I110:N110)&lt;1,IF($C110&lt;=O$4,1/$E$41,0),0)</f>
        <v>0</v>
      </c>
      <c r="P110" s="34">
        <f>IF(SUM($I110:O110)&lt;1,IF($C110&lt;=P$4,1/$E$41,0),0)</f>
        <v>0</v>
      </c>
      <c r="Q110" s="34">
        <f>IF(SUM($I110:P110)&lt;1,IF($C110&lt;=Q$4,1/$E$41,0),0)</f>
        <v>0</v>
      </c>
      <c r="R110" s="34">
        <f>IF(SUM($I110:Q110)&lt;1,IF($C110&lt;=R$4,1/$E$41,0),0)</f>
        <v>0</v>
      </c>
      <c r="S110" s="34">
        <f>IF(SUM($I110:R110)&lt;1,IF($C110&lt;=S$4,1/$E$41,0),0)</f>
        <v>0</v>
      </c>
      <c r="T110" s="34">
        <f>IF(SUM($I110:S110)&lt;1,IF($C110&lt;=T$4,1/$E$41,0),0)</f>
        <v>0</v>
      </c>
      <c r="U110" s="34">
        <f>IF(SUM($I110:T110)&lt;1,IF($C110&lt;=U$4,1/$E$41,0),0)</f>
        <v>0</v>
      </c>
      <c r="V110" s="34">
        <f>IF(SUM($I110:U110)&lt;1,IF($C110&lt;=V$4,1/$E$41,0),0)</f>
        <v>0</v>
      </c>
      <c r="W110" s="34">
        <f>IF(SUM($I110:V110)&lt;1,IF($C110&lt;=W$4,1/$E$41,0),0)</f>
        <v>0</v>
      </c>
      <c r="X110" s="34">
        <f>IF(SUM($I110:W110)&lt;1,IF($C110&lt;=X$4,1/$E$41,0),0)</f>
        <v>0</v>
      </c>
      <c r="Y110" s="34">
        <f>IF(SUM($I110:X110)&lt;1,IF($C110&lt;=Y$4,1/$E$41,0),0)</f>
        <v>0</v>
      </c>
      <c r="Z110" s="34">
        <f>IF(SUM($I110:Y110)&lt;1,IF($C110&lt;=Z$4,1/$E$41,0),0)</f>
        <v>0</v>
      </c>
      <c r="AA110" s="34">
        <f>IF(SUM($I110:Z110)&lt;1,IF($C110&lt;=AA$4,1/$E$41,0),0)</f>
        <v>0</v>
      </c>
      <c r="AB110" s="34">
        <f>IF(SUM($I110:AA110)&lt;1,IF($C110&lt;=AB$4,1/$E$41,0),0)</f>
        <v>0</v>
      </c>
      <c r="AC110" s="34">
        <f>IF(SUM($I110:AB110)&lt;1,IF($C110&lt;=AC$4,1/$E$41,0),0)</f>
        <v>0</v>
      </c>
      <c r="AD110" s="34">
        <f>IF(SUM($I110:AC110)&lt;1,IF($C110&lt;=AD$4,1/$E$41,0),0)</f>
        <v>0</v>
      </c>
      <c r="AE110" s="34">
        <f>IF(SUM($I110:AD110)&lt;1,IF($C110&lt;=AE$4,1/$E$41,0),0)</f>
        <v>0</v>
      </c>
      <c r="AF110" s="34">
        <f>IF(SUM($I110:AE110)&lt;1,IF($C110&lt;=AF$4,1/$E$41,0),0)</f>
        <v>0</v>
      </c>
      <c r="AG110" s="34">
        <f>IF(SUM($I110:AF110)&lt;1,IF($C110&lt;=AG$4,1/$E$41,0),0)</f>
        <v>0</v>
      </c>
      <c r="AH110" s="34">
        <f>IF(SUM($I110:AG110)&lt;1,IF($C110&lt;=AH$4,1/$E$41,0),0)</f>
        <v>0</v>
      </c>
      <c r="AI110" s="34">
        <f>IF(SUM($I110:AH110)&lt;1,IF($C110&lt;=AI$4,1/$E$41,0),0)</f>
        <v>0</v>
      </c>
      <c r="AJ110" s="34">
        <f>IF(SUM($I110:AI110)&lt;1,IF($C110&lt;=AJ$4,1/$E$41,0),0)</f>
        <v>0</v>
      </c>
      <c r="AK110" s="34">
        <f>IF(SUM($I110:AJ110)&lt;1,IF($C110&lt;=AK$4,1/$E$41,0),0)</f>
        <v>0</v>
      </c>
      <c r="AL110" s="34">
        <f>IF(SUM($I110:AK110)&lt;1,IF($C110&lt;=AL$4,1/$E$41,0),0)</f>
        <v>0</v>
      </c>
      <c r="AM110" s="34">
        <f>IF(SUM($I110:AL110)&lt;1,IF($C110&lt;=AM$4,1/$E$41,0),0)</f>
        <v>0</v>
      </c>
      <c r="AN110" s="34">
        <f>IF(SUM($I110:AM110)&lt;1,IF($C110&lt;=AN$4,1/$E$41,0),0)</f>
        <v>0</v>
      </c>
      <c r="AO110" s="34">
        <f>IF(SUM($I110:AN110)&lt;1,IF($C110&lt;=AO$4,1/$E$41,0),0)</f>
        <v>0</v>
      </c>
      <c r="AP110" s="34">
        <f>IF(SUM($I110:AO110)&lt;1,IF($C110&lt;=AP$4,1/$E$41,0),0)</f>
        <v>0</v>
      </c>
      <c r="AQ110" s="34">
        <f>IF(SUM($I110:AP110)&lt;1,IF($C110&lt;=AQ$4,1/$E$41,0),0)</f>
        <v>0</v>
      </c>
      <c r="AR110" s="34">
        <f>IF(SUM($I110:AQ110)&lt;1,IF($C110&lt;=AR$4,1/$E$41,0),0)</f>
        <v>0</v>
      </c>
      <c r="AS110" s="34">
        <f>IF(SUM($I110:AR110)&lt;1,IF($C110&lt;=AS$4,1/$E$41,0),0)</f>
        <v>0</v>
      </c>
      <c r="AT110" s="34">
        <f>IF(SUM($I110:AS110)&lt;1,IF($C110&lt;=AT$4,1/$E$41,0),0)</f>
        <v>0</v>
      </c>
      <c r="AU110" s="34">
        <f>IF(SUM($I110:AT110)&lt;1,IF($C110&lt;=AU$4,1/$E$41,0),0)</f>
        <v>0</v>
      </c>
      <c r="AV110" s="34">
        <f>IF(SUM($I110:AU110)&lt;1,IF($C110&lt;=AV$4,1/$E$41,0),0)</f>
        <v>0</v>
      </c>
      <c r="AW110" s="34">
        <f>IF(SUM($I110:AV110)&lt;1,IF($C110&lt;=AW$4,1/$E$41,0),0)</f>
        <v>0</v>
      </c>
      <c r="AX110" s="34">
        <f>IF(SUM($I110:AW110)&lt;1,IF($C110&lt;=AX$4,1/$E$41,0),0)</f>
        <v>0</v>
      </c>
      <c r="AY110" s="34">
        <f>IF(SUM($I110:AX110)&lt;1,IF($C110&lt;=AY$4,1/$E$41,0),0)</f>
        <v>0</v>
      </c>
      <c r="AZ110" s="34">
        <f>IF(SUM($I110:AY110)&lt;1,IF($C110&lt;=AZ$4,1/$E$41,0),0)</f>
        <v>0</v>
      </c>
      <c r="BA110" s="34">
        <f>IF(SUM($I110:AZ110)&lt;1,IF($C110&lt;=BA$4,1/$E$41,0),0)</f>
        <v>0</v>
      </c>
      <c r="BB110" s="34">
        <f>IF(SUM($I110:BA110)&lt;1,IF($C110&lt;=BB$4,1/$E$41,0),0)</f>
        <v>0</v>
      </c>
      <c r="BC110" s="34">
        <f>IF(SUM($I110:BB110)&lt;1,IF($C110&lt;=BC$4,1/$E$41,0),0)</f>
        <v>0</v>
      </c>
      <c r="BD110" s="34">
        <f>IF(SUM($I110:BC110)&lt;1,IF($C110&lt;=BD$4,1/$E$41,0),0)</f>
        <v>0</v>
      </c>
      <c r="BE110" s="34">
        <f>IF(SUM($I110:BD110)&lt;1,IF($C110&lt;=BE$4,1/$E$41,0),0)</f>
        <v>0</v>
      </c>
      <c r="BF110" s="34">
        <f>IF(SUM($I110:BE110)&lt;1,IF($C110&lt;=BF$4,1/$E$41,0),0)</f>
        <v>0</v>
      </c>
      <c r="BG110" s="34">
        <f>IF(SUM($I110:BF110)&lt;1,IF($C110&lt;=BG$4,1/$E$41,0),0)</f>
        <v>0</v>
      </c>
      <c r="BH110" s="34">
        <f>IF(SUM($I110:BG110)&lt;1,IF($C110&lt;=BH$4,1/$E$41,0),0)</f>
        <v>0</v>
      </c>
      <c r="BI110" s="34">
        <f>IF(SUM($I110:BH110)&lt;1,IF($C110&lt;=BI$4,1/$E$41,0),0)</f>
        <v>0</v>
      </c>
      <c r="BJ110" s="34">
        <f>IF(SUM($I110:BI110)&lt;1,IF($C110&lt;=BJ$4,1/$E$41,0),0)</f>
        <v>0</v>
      </c>
      <c r="BK110" s="34">
        <f>IF(SUM($I110:BJ110)&lt;1,IF($C110&lt;=BK$4,1/$E$41,0),0)</f>
        <v>0</v>
      </c>
      <c r="BL110" s="34">
        <f>IF(SUM($I110:BK110)&lt;1,IF($C110&lt;=BL$4,1/$E$41,0),0)</f>
        <v>0</v>
      </c>
      <c r="BM110" s="34">
        <f>IF(SUM($I110:BL110)&lt;1,IF($C110&lt;=BM$4,1/$E$41,0),0)</f>
        <v>0</v>
      </c>
      <c r="BN110" s="34">
        <f>IF(SUM($I110:BM110)&lt;1,IF($C110&lt;=BN$4,1/$E$41,0),0)</f>
        <v>0</v>
      </c>
      <c r="BO110" s="34">
        <f>IF(SUM($I110:BN110)&lt;1,IF($C110&lt;=BO$4,1/$E$41,0),0)</f>
        <v>0</v>
      </c>
      <c r="BP110" s="34">
        <f>IF(SUM($I110:BO110)&lt;1,IF($C110&lt;=BP$4,1/$E$41,0),0)</f>
        <v>0</v>
      </c>
      <c r="BQ110" s="34">
        <f>IF(SUM($I110:BP110)&lt;1,IF($C110&lt;=BQ$4,1/$E$41,0),0)</f>
        <v>0</v>
      </c>
      <c r="BR110" s="34">
        <f>IF(SUM($I110:BQ110)&lt;1,IF($C110&lt;=BR$4,1/$E$41,0),0)</f>
        <v>0</v>
      </c>
      <c r="BS110" s="34">
        <f>IF(SUM($I110:BR110)&lt;1,IF($C110&lt;=BS$4,1/$E$41,0),0)</f>
        <v>0</v>
      </c>
      <c r="BT110" s="34">
        <f>IF(SUM($I110:BS110)&lt;1,IF($C110&lt;=BT$4,1/$E$41,0),0)</f>
        <v>0</v>
      </c>
      <c r="BU110" s="34">
        <f>IF(SUM($I110:BT110)&lt;1,IF($C110&lt;=BU$4,1/$E$41,0),0)</f>
        <v>0</v>
      </c>
      <c r="BV110" s="34">
        <f>IF(SUM($I110:BU110)&lt;1,IF($C110&lt;=BV$4,1/$E$41,0),0)</f>
        <v>0</v>
      </c>
      <c r="BW110" s="34">
        <f>IF(SUM($I110:BV110)&lt;1,IF($C110&lt;=BW$4,1/$E$41,0),0)</f>
        <v>0.25</v>
      </c>
      <c r="BX110" s="34">
        <f>IF(SUM($I110:BW110)&lt;1,IF($C110&lt;=BX$4,1/$E$41,0),0)</f>
        <v>0.25</v>
      </c>
      <c r="BY110" s="34">
        <f>IF(SUM($I110:BX110)&lt;1,IF($C110&lt;=BY$4,1/$E$41,0),0)</f>
        <v>0.25</v>
      </c>
      <c r="BZ110" s="34">
        <f>IF(SUM($I110:BY110)&lt;1,IF($C110&lt;=BZ$4,1/$E$41,0),0)</f>
        <v>0.25</v>
      </c>
      <c r="CA110" s="34">
        <f>IF(SUM($I110:BZ110)&lt;1,IF($C110&lt;=CA$4,1/$E$41,0),0)</f>
        <v>0</v>
      </c>
      <c r="CB110" s="34">
        <f>IF(SUM($I110:CA110)&lt;1,IF($C110&lt;=CB$4,1/$E$41,0),0)</f>
        <v>0</v>
      </c>
      <c r="CC110" s="34">
        <f>IF(SUM($I110:CB110)&lt;1,IF($C110&lt;=CC$4,1/$E$41,0),0)</f>
        <v>0</v>
      </c>
      <c r="CD110" s="34">
        <f>IF(SUM($I110:CC110)&lt;1,IF($C110&lt;=CD$4,1/$E$41,0),0)</f>
        <v>0</v>
      </c>
      <c r="CE110" s="34">
        <f>IF(SUM($I110:CD110)&lt;1,IF($C110&lt;=CE$4,1/$E$41,0),0)</f>
        <v>0</v>
      </c>
      <c r="CF110" s="34">
        <f>IF(SUM($I110:CE110)&lt;1,IF($C110&lt;=CF$4,1/$E$41,0),0)</f>
        <v>0</v>
      </c>
      <c r="CG110" s="34">
        <f>IF(SUM($I110:CF110)&lt;1,IF($C110&lt;=CG$4,1/$E$41,0),0)</f>
        <v>0</v>
      </c>
      <c r="CH110" s="34">
        <f>IF(SUM($I110:CG110)&lt;1,IF($C110&lt;=CH$4,1/$E$41,0),0)</f>
        <v>0</v>
      </c>
      <c r="CI110" s="34">
        <f>IF(SUM($I110:CH110)&lt;1,IF($C110&lt;=CI$4,1/$E$41,0),0)</f>
        <v>0</v>
      </c>
      <c r="CJ110" s="34">
        <f>IF(SUM($I110:CI110)&lt;1,IF($C110&lt;=CJ$4,1/$E$41,0),0)</f>
        <v>0</v>
      </c>
      <c r="CK110" s="34">
        <f>IF(SUM($I110:CJ110)&lt;1,IF($C110&lt;=CK$4,1/$E$41,0),0)</f>
        <v>0</v>
      </c>
      <c r="CL110" s="34">
        <f>IF(SUM($I110:CK110)&lt;1,IF($C110&lt;=CL$4,1/$E$41,0),0)</f>
        <v>0</v>
      </c>
      <c r="CM110" s="34">
        <f>IF(SUM($I110:CL110)&lt;1,IF($C110&lt;=CM$4,1/$E$41,0),0)</f>
        <v>0</v>
      </c>
      <c r="CN110" s="34">
        <f>IF(SUM($I110:CM110)&lt;1,IF($C110&lt;=CN$4,1/$E$41,0),0)</f>
        <v>0</v>
      </c>
      <c r="CO110" s="34">
        <f>IF(SUM($I110:CN110)&lt;1,IF($C110&lt;=CO$4,1/$E$41,0),0)</f>
        <v>0</v>
      </c>
      <c r="CP110" s="34">
        <f>IF(SUM($I110:CO110)&lt;1,IF($C110&lt;=CP$4,1/$E$41,0),0)</f>
        <v>0</v>
      </c>
      <c r="CQ110" s="34">
        <f>IF(SUM($I110:CP110)&lt;1,IF($C110&lt;=CQ$4,1/$E$41,0),0)</f>
        <v>0</v>
      </c>
      <c r="CR110" s="34">
        <f>IF(SUM($I110:CQ110)&lt;1,IF($C110&lt;=CR$4,1/$E$41,0),0)</f>
        <v>0</v>
      </c>
      <c r="CS110" s="34">
        <f>IF(SUM($I110:CR110)&lt;1,IF($C110&lt;=CS$4,1/$E$41,0),0)</f>
        <v>0</v>
      </c>
      <c r="CT110" s="34">
        <f>IF(SUM($I110:CS110)&lt;1,IF($C110&lt;=CT$4,1/$E$41,0),0)</f>
        <v>0</v>
      </c>
      <c r="CU110" s="34">
        <f>IF(SUM($I110:CT110)&lt;1,IF($C110&lt;=CU$4,1/$E$41,0),0)</f>
        <v>0</v>
      </c>
      <c r="CV110" s="34">
        <f>IF(SUM($I110:CU110)&lt;1,IF($C110&lt;=CV$4,1/$E$41,0),0)</f>
        <v>0</v>
      </c>
      <c r="CW110" s="34">
        <f>IF(SUM($I110:CV110)&lt;1,IF($C110&lt;=CW$4,1/$E$41,0),0)</f>
        <v>0</v>
      </c>
      <c r="CX110" s="34">
        <f>IF(SUM($I110:CW110)&lt;1,IF($C110&lt;=CX$4,1/$E$41,0),0)</f>
        <v>0</v>
      </c>
      <c r="CY110" s="34">
        <f>IF(SUM($I110:CX110)&lt;1,IF($C110&lt;=CY$4,1/$E$41,0),0)</f>
        <v>0</v>
      </c>
      <c r="CZ110" s="34">
        <f>IF(SUM($I110:CY110)&lt;1,IF($C110&lt;=CZ$4,1/$E$41,0),0)</f>
        <v>0</v>
      </c>
      <c r="DA110" s="34">
        <f>IF(SUM($I110:CZ110)&lt;1,IF($C110&lt;=DA$4,1/$E$41,0),0)</f>
        <v>0</v>
      </c>
      <c r="DB110" s="34">
        <f>IF(SUM($I110:DA110)&lt;1,IF($C110&lt;=DB$4,1/$E$41,0),0)</f>
        <v>0</v>
      </c>
      <c r="DC110" s="34">
        <f>IF(SUM($I110:DB110)&lt;1,IF($C110&lt;=DC$4,1/$E$41,0),0)</f>
        <v>0</v>
      </c>
      <c r="DD110" s="34">
        <f>IF(SUM($I110:DC110)&lt;1,IF($C110&lt;=DD$4,1/$E$41,0),0)</f>
        <v>0</v>
      </c>
      <c r="DE110" s="34">
        <f>IF(SUM($I110:DD110)&lt;1,IF($C110&lt;=DE$4,1/$E$41,0),0)</f>
        <v>0</v>
      </c>
      <c r="DF110" s="34">
        <f>IF(SUM($I110:DE110)&lt;1,IF($C110&lt;=DF$4,1/$E$41,0),0)</f>
        <v>0</v>
      </c>
      <c r="DG110" s="34">
        <f>IF(SUM($I110:DF110)&lt;1,IF($C110&lt;=DG$4,1/$E$41,0),0)</f>
        <v>0</v>
      </c>
      <c r="DH110" s="34">
        <f>IF(SUM($I110:DG110)&lt;1,IF($C110&lt;=DH$4,1/$E$41,0),0)</f>
        <v>0</v>
      </c>
      <c r="DI110" s="34">
        <f>IF(SUM($I110:DH110)&lt;1,IF($C110&lt;=DI$4,1/$E$41,0),0)</f>
        <v>0</v>
      </c>
      <c r="DJ110" s="34">
        <f>IF(SUM($I110:DI110)&lt;1,IF($C110&lt;=DJ$4,1/$E$41,0),0)</f>
        <v>0</v>
      </c>
      <c r="DK110" s="34">
        <f>IF(SUM($I110:DJ110)&lt;1,IF($C110&lt;=DK$4,1/$E$41,0),0)</f>
        <v>0</v>
      </c>
      <c r="DL110" s="34">
        <f>IF(SUM($I110:DK110)&lt;1,IF($C110&lt;=DL$4,1/$E$41,0),0)</f>
        <v>0</v>
      </c>
      <c r="DM110" s="34">
        <f>IF(SUM($I110:DL110)&lt;1,IF($C110&lt;=DM$4,1/$E$41,0),0)</f>
        <v>0</v>
      </c>
    </row>
    <row r="111" spans="3:117" outlineLevel="1" x14ac:dyDescent="0.15">
      <c r="C111" s="50">
        <f t="shared" ref="C111:C144" si="51">C110+1</f>
        <v>67</v>
      </c>
      <c r="D111" s="5" t="s">
        <v>18</v>
      </c>
      <c r="E111" s="19">
        <f t="shared" si="50"/>
        <v>0</v>
      </c>
      <c r="I111" s="9"/>
      <c r="J111" s="34">
        <f>IF(SUM($I111:I111)&lt;1,IF($C111&lt;=J$4,1/$E$41,0),0)</f>
        <v>0</v>
      </c>
      <c r="K111" s="34">
        <f>IF(SUM($I111:J111)&lt;1,IF($C111&lt;=K$4,1/$E$41,0),0)</f>
        <v>0</v>
      </c>
      <c r="L111" s="34">
        <f>IF(SUM($I111:K111)&lt;1,IF($C111&lt;=L$4,1/$E$41,0),0)</f>
        <v>0</v>
      </c>
      <c r="M111" s="34">
        <f>IF(SUM($I111:L111)&lt;1,IF($C111&lt;=M$4,1/$E$41,0),0)</f>
        <v>0</v>
      </c>
      <c r="N111" s="34">
        <f>IF(SUM($I111:M111)&lt;1,IF($C111&lt;=N$4,1/$E$41,0),0)</f>
        <v>0</v>
      </c>
      <c r="O111" s="34">
        <f>IF(SUM($I111:N111)&lt;1,IF($C111&lt;=O$4,1/$E$41,0),0)</f>
        <v>0</v>
      </c>
      <c r="P111" s="34">
        <f>IF(SUM($I111:O111)&lt;1,IF($C111&lt;=P$4,1/$E$41,0),0)</f>
        <v>0</v>
      </c>
      <c r="Q111" s="34">
        <f>IF(SUM($I111:P111)&lt;1,IF($C111&lt;=Q$4,1/$E$41,0),0)</f>
        <v>0</v>
      </c>
      <c r="R111" s="34">
        <f>IF(SUM($I111:Q111)&lt;1,IF($C111&lt;=R$4,1/$E$41,0),0)</f>
        <v>0</v>
      </c>
      <c r="S111" s="34">
        <f>IF(SUM($I111:R111)&lt;1,IF($C111&lt;=S$4,1/$E$41,0),0)</f>
        <v>0</v>
      </c>
      <c r="T111" s="34">
        <f>IF(SUM($I111:S111)&lt;1,IF($C111&lt;=T$4,1/$E$41,0),0)</f>
        <v>0</v>
      </c>
      <c r="U111" s="34">
        <f>IF(SUM($I111:T111)&lt;1,IF($C111&lt;=U$4,1/$E$41,0),0)</f>
        <v>0</v>
      </c>
      <c r="V111" s="34">
        <f>IF(SUM($I111:U111)&lt;1,IF($C111&lt;=V$4,1/$E$41,0),0)</f>
        <v>0</v>
      </c>
      <c r="W111" s="34">
        <f>IF(SUM($I111:V111)&lt;1,IF($C111&lt;=W$4,1/$E$41,0),0)</f>
        <v>0</v>
      </c>
      <c r="X111" s="34">
        <f>IF(SUM($I111:W111)&lt;1,IF($C111&lt;=X$4,1/$E$41,0),0)</f>
        <v>0</v>
      </c>
      <c r="Y111" s="34">
        <f>IF(SUM($I111:X111)&lt;1,IF($C111&lt;=Y$4,1/$E$41,0),0)</f>
        <v>0</v>
      </c>
      <c r="Z111" s="34">
        <f>IF(SUM($I111:Y111)&lt;1,IF($C111&lt;=Z$4,1/$E$41,0),0)</f>
        <v>0</v>
      </c>
      <c r="AA111" s="34">
        <f>IF(SUM($I111:Z111)&lt;1,IF($C111&lt;=AA$4,1/$E$41,0),0)</f>
        <v>0</v>
      </c>
      <c r="AB111" s="34">
        <f>IF(SUM($I111:AA111)&lt;1,IF($C111&lt;=AB$4,1/$E$41,0),0)</f>
        <v>0</v>
      </c>
      <c r="AC111" s="34">
        <f>IF(SUM($I111:AB111)&lt;1,IF($C111&lt;=AC$4,1/$E$41,0),0)</f>
        <v>0</v>
      </c>
      <c r="AD111" s="34">
        <f>IF(SUM($I111:AC111)&lt;1,IF($C111&lt;=AD$4,1/$E$41,0),0)</f>
        <v>0</v>
      </c>
      <c r="AE111" s="34">
        <f>IF(SUM($I111:AD111)&lt;1,IF($C111&lt;=AE$4,1/$E$41,0),0)</f>
        <v>0</v>
      </c>
      <c r="AF111" s="34">
        <f>IF(SUM($I111:AE111)&lt;1,IF($C111&lt;=AF$4,1/$E$41,0),0)</f>
        <v>0</v>
      </c>
      <c r="AG111" s="34">
        <f>IF(SUM($I111:AF111)&lt;1,IF($C111&lt;=AG$4,1/$E$41,0),0)</f>
        <v>0</v>
      </c>
      <c r="AH111" s="34">
        <f>IF(SUM($I111:AG111)&lt;1,IF($C111&lt;=AH$4,1/$E$41,0),0)</f>
        <v>0</v>
      </c>
      <c r="AI111" s="34">
        <f>IF(SUM($I111:AH111)&lt;1,IF($C111&lt;=AI$4,1/$E$41,0),0)</f>
        <v>0</v>
      </c>
      <c r="AJ111" s="34">
        <f>IF(SUM($I111:AI111)&lt;1,IF($C111&lt;=AJ$4,1/$E$41,0),0)</f>
        <v>0</v>
      </c>
      <c r="AK111" s="34">
        <f>IF(SUM($I111:AJ111)&lt;1,IF($C111&lt;=AK$4,1/$E$41,0),0)</f>
        <v>0</v>
      </c>
      <c r="AL111" s="34">
        <f>IF(SUM($I111:AK111)&lt;1,IF($C111&lt;=AL$4,1/$E$41,0),0)</f>
        <v>0</v>
      </c>
      <c r="AM111" s="34">
        <f>IF(SUM($I111:AL111)&lt;1,IF($C111&lt;=AM$4,1/$E$41,0),0)</f>
        <v>0</v>
      </c>
      <c r="AN111" s="34">
        <f>IF(SUM($I111:AM111)&lt;1,IF($C111&lt;=AN$4,1/$E$41,0),0)</f>
        <v>0</v>
      </c>
      <c r="AO111" s="34">
        <f>IF(SUM($I111:AN111)&lt;1,IF($C111&lt;=AO$4,1/$E$41,0),0)</f>
        <v>0</v>
      </c>
      <c r="AP111" s="34">
        <f>IF(SUM($I111:AO111)&lt;1,IF($C111&lt;=AP$4,1/$E$41,0),0)</f>
        <v>0</v>
      </c>
      <c r="AQ111" s="34">
        <f>IF(SUM($I111:AP111)&lt;1,IF($C111&lt;=AQ$4,1/$E$41,0),0)</f>
        <v>0</v>
      </c>
      <c r="AR111" s="34">
        <f>IF(SUM($I111:AQ111)&lt;1,IF($C111&lt;=AR$4,1/$E$41,0),0)</f>
        <v>0</v>
      </c>
      <c r="AS111" s="34">
        <f>IF(SUM($I111:AR111)&lt;1,IF($C111&lt;=AS$4,1/$E$41,0),0)</f>
        <v>0</v>
      </c>
      <c r="AT111" s="34">
        <f>IF(SUM($I111:AS111)&lt;1,IF($C111&lt;=AT$4,1/$E$41,0),0)</f>
        <v>0</v>
      </c>
      <c r="AU111" s="34">
        <f>IF(SUM($I111:AT111)&lt;1,IF($C111&lt;=AU$4,1/$E$41,0),0)</f>
        <v>0</v>
      </c>
      <c r="AV111" s="34">
        <f>IF(SUM($I111:AU111)&lt;1,IF($C111&lt;=AV$4,1/$E$41,0),0)</f>
        <v>0</v>
      </c>
      <c r="AW111" s="34">
        <f>IF(SUM($I111:AV111)&lt;1,IF($C111&lt;=AW$4,1/$E$41,0),0)</f>
        <v>0</v>
      </c>
      <c r="AX111" s="34">
        <f>IF(SUM($I111:AW111)&lt;1,IF($C111&lt;=AX$4,1/$E$41,0),0)</f>
        <v>0</v>
      </c>
      <c r="AY111" s="34">
        <f>IF(SUM($I111:AX111)&lt;1,IF($C111&lt;=AY$4,1/$E$41,0),0)</f>
        <v>0</v>
      </c>
      <c r="AZ111" s="34">
        <f>IF(SUM($I111:AY111)&lt;1,IF($C111&lt;=AZ$4,1/$E$41,0),0)</f>
        <v>0</v>
      </c>
      <c r="BA111" s="34">
        <f>IF(SUM($I111:AZ111)&lt;1,IF($C111&lt;=BA$4,1/$E$41,0),0)</f>
        <v>0</v>
      </c>
      <c r="BB111" s="34">
        <f>IF(SUM($I111:BA111)&lt;1,IF($C111&lt;=BB$4,1/$E$41,0),0)</f>
        <v>0</v>
      </c>
      <c r="BC111" s="34">
        <f>IF(SUM($I111:BB111)&lt;1,IF($C111&lt;=BC$4,1/$E$41,0),0)</f>
        <v>0</v>
      </c>
      <c r="BD111" s="34">
        <f>IF(SUM($I111:BC111)&lt;1,IF($C111&lt;=BD$4,1/$E$41,0),0)</f>
        <v>0</v>
      </c>
      <c r="BE111" s="34">
        <f>IF(SUM($I111:BD111)&lt;1,IF($C111&lt;=BE$4,1/$E$41,0),0)</f>
        <v>0</v>
      </c>
      <c r="BF111" s="34">
        <f>IF(SUM($I111:BE111)&lt;1,IF($C111&lt;=BF$4,1/$E$41,0),0)</f>
        <v>0</v>
      </c>
      <c r="BG111" s="34">
        <f>IF(SUM($I111:BF111)&lt;1,IF($C111&lt;=BG$4,1/$E$41,0),0)</f>
        <v>0</v>
      </c>
      <c r="BH111" s="34">
        <f>IF(SUM($I111:BG111)&lt;1,IF($C111&lt;=BH$4,1/$E$41,0),0)</f>
        <v>0</v>
      </c>
      <c r="BI111" s="34">
        <f>IF(SUM($I111:BH111)&lt;1,IF($C111&lt;=BI$4,1/$E$41,0),0)</f>
        <v>0</v>
      </c>
      <c r="BJ111" s="34">
        <f>IF(SUM($I111:BI111)&lt;1,IF($C111&lt;=BJ$4,1/$E$41,0),0)</f>
        <v>0</v>
      </c>
      <c r="BK111" s="34">
        <f>IF(SUM($I111:BJ111)&lt;1,IF($C111&lt;=BK$4,1/$E$41,0),0)</f>
        <v>0</v>
      </c>
      <c r="BL111" s="34">
        <f>IF(SUM($I111:BK111)&lt;1,IF($C111&lt;=BL$4,1/$E$41,0),0)</f>
        <v>0</v>
      </c>
      <c r="BM111" s="34">
        <f>IF(SUM($I111:BL111)&lt;1,IF($C111&lt;=BM$4,1/$E$41,0),0)</f>
        <v>0</v>
      </c>
      <c r="BN111" s="34">
        <f>IF(SUM($I111:BM111)&lt;1,IF($C111&lt;=BN$4,1/$E$41,0),0)</f>
        <v>0</v>
      </c>
      <c r="BO111" s="34">
        <f>IF(SUM($I111:BN111)&lt;1,IF($C111&lt;=BO$4,1/$E$41,0),0)</f>
        <v>0</v>
      </c>
      <c r="BP111" s="34">
        <f>IF(SUM($I111:BO111)&lt;1,IF($C111&lt;=BP$4,1/$E$41,0),0)</f>
        <v>0</v>
      </c>
      <c r="BQ111" s="34">
        <f>IF(SUM($I111:BP111)&lt;1,IF($C111&lt;=BQ$4,1/$E$41,0),0)</f>
        <v>0</v>
      </c>
      <c r="BR111" s="34">
        <f>IF(SUM($I111:BQ111)&lt;1,IF($C111&lt;=BR$4,1/$E$41,0),0)</f>
        <v>0</v>
      </c>
      <c r="BS111" s="34">
        <f>IF(SUM($I111:BR111)&lt;1,IF($C111&lt;=BS$4,1/$E$41,0),0)</f>
        <v>0</v>
      </c>
      <c r="BT111" s="34">
        <f>IF(SUM($I111:BS111)&lt;1,IF($C111&lt;=BT$4,1/$E$41,0),0)</f>
        <v>0</v>
      </c>
      <c r="BU111" s="34">
        <f>IF(SUM($I111:BT111)&lt;1,IF($C111&lt;=BU$4,1/$E$41,0),0)</f>
        <v>0</v>
      </c>
      <c r="BV111" s="34">
        <f>IF(SUM($I111:BU111)&lt;1,IF($C111&lt;=BV$4,1/$E$41,0),0)</f>
        <v>0</v>
      </c>
      <c r="BW111" s="34">
        <f>IF(SUM($I111:BV111)&lt;1,IF($C111&lt;=BW$4,1/$E$41,0),0)</f>
        <v>0</v>
      </c>
      <c r="BX111" s="34">
        <f>IF(SUM($I111:BW111)&lt;1,IF($C111&lt;=BX$4,1/$E$41,0),0)</f>
        <v>0.25</v>
      </c>
      <c r="BY111" s="34">
        <f>IF(SUM($I111:BX111)&lt;1,IF($C111&lt;=BY$4,1/$E$41,0),0)</f>
        <v>0.25</v>
      </c>
      <c r="BZ111" s="34">
        <f>IF(SUM($I111:BY111)&lt;1,IF($C111&lt;=BZ$4,1/$E$41,0),0)</f>
        <v>0.25</v>
      </c>
      <c r="CA111" s="34">
        <f>IF(SUM($I111:BZ111)&lt;1,IF($C111&lt;=CA$4,1/$E$41,0),0)</f>
        <v>0.25</v>
      </c>
      <c r="CB111" s="34">
        <f>IF(SUM($I111:CA111)&lt;1,IF($C111&lt;=CB$4,1/$E$41,0),0)</f>
        <v>0</v>
      </c>
      <c r="CC111" s="34">
        <f>IF(SUM($I111:CB111)&lt;1,IF($C111&lt;=CC$4,1/$E$41,0),0)</f>
        <v>0</v>
      </c>
      <c r="CD111" s="34">
        <f>IF(SUM($I111:CC111)&lt;1,IF($C111&lt;=CD$4,1/$E$41,0),0)</f>
        <v>0</v>
      </c>
      <c r="CE111" s="34">
        <f>IF(SUM($I111:CD111)&lt;1,IF($C111&lt;=CE$4,1/$E$41,0),0)</f>
        <v>0</v>
      </c>
      <c r="CF111" s="34">
        <f>IF(SUM($I111:CE111)&lt;1,IF($C111&lt;=CF$4,1/$E$41,0),0)</f>
        <v>0</v>
      </c>
      <c r="CG111" s="34">
        <f>IF(SUM($I111:CF111)&lt;1,IF($C111&lt;=CG$4,1/$E$41,0),0)</f>
        <v>0</v>
      </c>
      <c r="CH111" s="34">
        <f>IF(SUM($I111:CG111)&lt;1,IF($C111&lt;=CH$4,1/$E$41,0),0)</f>
        <v>0</v>
      </c>
      <c r="CI111" s="34">
        <f>IF(SUM($I111:CH111)&lt;1,IF($C111&lt;=CI$4,1/$E$41,0),0)</f>
        <v>0</v>
      </c>
      <c r="CJ111" s="34">
        <f>IF(SUM($I111:CI111)&lt;1,IF($C111&lt;=CJ$4,1/$E$41,0),0)</f>
        <v>0</v>
      </c>
      <c r="CK111" s="34">
        <f>IF(SUM($I111:CJ111)&lt;1,IF($C111&lt;=CK$4,1/$E$41,0),0)</f>
        <v>0</v>
      </c>
      <c r="CL111" s="34">
        <f>IF(SUM($I111:CK111)&lt;1,IF($C111&lt;=CL$4,1/$E$41,0),0)</f>
        <v>0</v>
      </c>
      <c r="CM111" s="34">
        <f>IF(SUM($I111:CL111)&lt;1,IF($C111&lt;=CM$4,1/$E$41,0),0)</f>
        <v>0</v>
      </c>
      <c r="CN111" s="34">
        <f>IF(SUM($I111:CM111)&lt;1,IF($C111&lt;=CN$4,1/$E$41,0),0)</f>
        <v>0</v>
      </c>
      <c r="CO111" s="34">
        <f>IF(SUM($I111:CN111)&lt;1,IF($C111&lt;=CO$4,1/$E$41,0),0)</f>
        <v>0</v>
      </c>
      <c r="CP111" s="34">
        <f>IF(SUM($I111:CO111)&lt;1,IF($C111&lt;=CP$4,1/$E$41,0),0)</f>
        <v>0</v>
      </c>
      <c r="CQ111" s="34">
        <f>IF(SUM($I111:CP111)&lt;1,IF($C111&lt;=CQ$4,1/$E$41,0),0)</f>
        <v>0</v>
      </c>
      <c r="CR111" s="34">
        <f>IF(SUM($I111:CQ111)&lt;1,IF($C111&lt;=CR$4,1/$E$41,0),0)</f>
        <v>0</v>
      </c>
      <c r="CS111" s="34">
        <f>IF(SUM($I111:CR111)&lt;1,IF($C111&lt;=CS$4,1/$E$41,0),0)</f>
        <v>0</v>
      </c>
      <c r="CT111" s="34">
        <f>IF(SUM($I111:CS111)&lt;1,IF($C111&lt;=CT$4,1/$E$41,0),0)</f>
        <v>0</v>
      </c>
      <c r="CU111" s="34">
        <f>IF(SUM($I111:CT111)&lt;1,IF($C111&lt;=CU$4,1/$E$41,0),0)</f>
        <v>0</v>
      </c>
      <c r="CV111" s="34">
        <f>IF(SUM($I111:CU111)&lt;1,IF($C111&lt;=CV$4,1/$E$41,0),0)</f>
        <v>0</v>
      </c>
      <c r="CW111" s="34">
        <f>IF(SUM($I111:CV111)&lt;1,IF($C111&lt;=CW$4,1/$E$41,0),0)</f>
        <v>0</v>
      </c>
      <c r="CX111" s="34">
        <f>IF(SUM($I111:CW111)&lt;1,IF($C111&lt;=CX$4,1/$E$41,0),0)</f>
        <v>0</v>
      </c>
      <c r="CY111" s="34">
        <f>IF(SUM($I111:CX111)&lt;1,IF($C111&lt;=CY$4,1/$E$41,0),0)</f>
        <v>0</v>
      </c>
      <c r="CZ111" s="34">
        <f>IF(SUM($I111:CY111)&lt;1,IF($C111&lt;=CZ$4,1/$E$41,0),0)</f>
        <v>0</v>
      </c>
      <c r="DA111" s="34">
        <f>IF(SUM($I111:CZ111)&lt;1,IF($C111&lt;=DA$4,1/$E$41,0),0)</f>
        <v>0</v>
      </c>
      <c r="DB111" s="34">
        <f>IF(SUM($I111:DA111)&lt;1,IF($C111&lt;=DB$4,1/$E$41,0),0)</f>
        <v>0</v>
      </c>
      <c r="DC111" s="34">
        <f>IF(SUM($I111:DB111)&lt;1,IF($C111&lt;=DC$4,1/$E$41,0),0)</f>
        <v>0</v>
      </c>
      <c r="DD111" s="34">
        <f>IF(SUM($I111:DC111)&lt;1,IF($C111&lt;=DD$4,1/$E$41,0),0)</f>
        <v>0</v>
      </c>
      <c r="DE111" s="34">
        <f>IF(SUM($I111:DD111)&lt;1,IF($C111&lt;=DE$4,1/$E$41,0),0)</f>
        <v>0</v>
      </c>
      <c r="DF111" s="34">
        <f>IF(SUM($I111:DE111)&lt;1,IF($C111&lt;=DF$4,1/$E$41,0),0)</f>
        <v>0</v>
      </c>
      <c r="DG111" s="34">
        <f>IF(SUM($I111:DF111)&lt;1,IF($C111&lt;=DG$4,1/$E$41,0),0)</f>
        <v>0</v>
      </c>
      <c r="DH111" s="34">
        <f>IF(SUM($I111:DG111)&lt;1,IF($C111&lt;=DH$4,1/$E$41,0),0)</f>
        <v>0</v>
      </c>
      <c r="DI111" s="34">
        <f>IF(SUM($I111:DH111)&lt;1,IF($C111&lt;=DI$4,1/$E$41,0),0)</f>
        <v>0</v>
      </c>
      <c r="DJ111" s="34">
        <f>IF(SUM($I111:DI111)&lt;1,IF($C111&lt;=DJ$4,1/$E$41,0),0)</f>
        <v>0</v>
      </c>
      <c r="DK111" s="34">
        <f>IF(SUM($I111:DJ111)&lt;1,IF($C111&lt;=DK$4,1/$E$41,0),0)</f>
        <v>0</v>
      </c>
      <c r="DL111" s="34">
        <f>IF(SUM($I111:DK111)&lt;1,IF($C111&lt;=DL$4,1/$E$41,0),0)</f>
        <v>0</v>
      </c>
      <c r="DM111" s="34">
        <f>IF(SUM($I111:DL111)&lt;1,IF($C111&lt;=DM$4,1/$E$41,0),0)</f>
        <v>0</v>
      </c>
    </row>
    <row r="112" spans="3:117" outlineLevel="1" x14ac:dyDescent="0.15">
      <c r="C112" s="50">
        <f t="shared" si="51"/>
        <v>68</v>
      </c>
      <c r="D112" s="5" t="s">
        <v>18</v>
      </c>
      <c r="E112" s="19">
        <f t="shared" si="50"/>
        <v>0</v>
      </c>
      <c r="I112" s="9"/>
      <c r="J112" s="34">
        <f>IF(SUM($I112:I112)&lt;1,IF($C112&lt;=J$4,1/$E$41,0),0)</f>
        <v>0</v>
      </c>
      <c r="K112" s="34">
        <f>IF(SUM($I112:J112)&lt;1,IF($C112&lt;=K$4,1/$E$41,0),0)</f>
        <v>0</v>
      </c>
      <c r="L112" s="34">
        <f>IF(SUM($I112:K112)&lt;1,IF($C112&lt;=L$4,1/$E$41,0),0)</f>
        <v>0</v>
      </c>
      <c r="M112" s="34">
        <f>IF(SUM($I112:L112)&lt;1,IF($C112&lt;=M$4,1/$E$41,0),0)</f>
        <v>0</v>
      </c>
      <c r="N112" s="34">
        <f>IF(SUM($I112:M112)&lt;1,IF($C112&lt;=N$4,1/$E$41,0),0)</f>
        <v>0</v>
      </c>
      <c r="O112" s="34">
        <f>IF(SUM($I112:N112)&lt;1,IF($C112&lt;=O$4,1/$E$41,0),0)</f>
        <v>0</v>
      </c>
      <c r="P112" s="34">
        <f>IF(SUM($I112:O112)&lt;1,IF($C112&lt;=P$4,1/$E$41,0),0)</f>
        <v>0</v>
      </c>
      <c r="Q112" s="34">
        <f>IF(SUM($I112:P112)&lt;1,IF($C112&lt;=Q$4,1/$E$41,0),0)</f>
        <v>0</v>
      </c>
      <c r="R112" s="34">
        <f>IF(SUM($I112:Q112)&lt;1,IF($C112&lt;=R$4,1/$E$41,0),0)</f>
        <v>0</v>
      </c>
      <c r="S112" s="34">
        <f>IF(SUM($I112:R112)&lt;1,IF($C112&lt;=S$4,1/$E$41,0),0)</f>
        <v>0</v>
      </c>
      <c r="T112" s="34">
        <f>IF(SUM($I112:S112)&lt;1,IF($C112&lt;=T$4,1/$E$41,0),0)</f>
        <v>0</v>
      </c>
      <c r="U112" s="34">
        <f>IF(SUM($I112:T112)&lt;1,IF($C112&lt;=U$4,1/$E$41,0),0)</f>
        <v>0</v>
      </c>
      <c r="V112" s="34">
        <f>IF(SUM($I112:U112)&lt;1,IF($C112&lt;=V$4,1/$E$41,0),0)</f>
        <v>0</v>
      </c>
      <c r="W112" s="34">
        <f>IF(SUM($I112:V112)&lt;1,IF($C112&lt;=W$4,1/$E$41,0),0)</f>
        <v>0</v>
      </c>
      <c r="X112" s="34">
        <f>IF(SUM($I112:W112)&lt;1,IF($C112&lt;=X$4,1/$E$41,0),0)</f>
        <v>0</v>
      </c>
      <c r="Y112" s="34">
        <f>IF(SUM($I112:X112)&lt;1,IF($C112&lt;=Y$4,1/$E$41,0),0)</f>
        <v>0</v>
      </c>
      <c r="Z112" s="34">
        <f>IF(SUM($I112:Y112)&lt;1,IF($C112&lt;=Z$4,1/$E$41,0),0)</f>
        <v>0</v>
      </c>
      <c r="AA112" s="34">
        <f>IF(SUM($I112:Z112)&lt;1,IF($C112&lt;=AA$4,1/$E$41,0),0)</f>
        <v>0</v>
      </c>
      <c r="AB112" s="34">
        <f>IF(SUM($I112:AA112)&lt;1,IF($C112&lt;=AB$4,1/$E$41,0),0)</f>
        <v>0</v>
      </c>
      <c r="AC112" s="34">
        <f>IF(SUM($I112:AB112)&lt;1,IF($C112&lt;=AC$4,1/$E$41,0),0)</f>
        <v>0</v>
      </c>
      <c r="AD112" s="34">
        <f>IF(SUM($I112:AC112)&lt;1,IF($C112&lt;=AD$4,1/$E$41,0),0)</f>
        <v>0</v>
      </c>
      <c r="AE112" s="34">
        <f>IF(SUM($I112:AD112)&lt;1,IF($C112&lt;=AE$4,1/$E$41,0),0)</f>
        <v>0</v>
      </c>
      <c r="AF112" s="34">
        <f>IF(SUM($I112:AE112)&lt;1,IF($C112&lt;=AF$4,1/$E$41,0),0)</f>
        <v>0</v>
      </c>
      <c r="AG112" s="34">
        <f>IF(SUM($I112:AF112)&lt;1,IF($C112&lt;=AG$4,1/$E$41,0),0)</f>
        <v>0</v>
      </c>
      <c r="AH112" s="34">
        <f>IF(SUM($I112:AG112)&lt;1,IF($C112&lt;=AH$4,1/$E$41,0),0)</f>
        <v>0</v>
      </c>
      <c r="AI112" s="34">
        <f>IF(SUM($I112:AH112)&lt;1,IF($C112&lt;=AI$4,1/$E$41,0),0)</f>
        <v>0</v>
      </c>
      <c r="AJ112" s="34">
        <f>IF(SUM($I112:AI112)&lt;1,IF($C112&lt;=AJ$4,1/$E$41,0),0)</f>
        <v>0</v>
      </c>
      <c r="AK112" s="34">
        <f>IF(SUM($I112:AJ112)&lt;1,IF($C112&lt;=AK$4,1/$E$41,0),0)</f>
        <v>0</v>
      </c>
      <c r="AL112" s="34">
        <f>IF(SUM($I112:AK112)&lt;1,IF($C112&lt;=AL$4,1/$E$41,0),0)</f>
        <v>0</v>
      </c>
      <c r="AM112" s="34">
        <f>IF(SUM($I112:AL112)&lt;1,IF($C112&lt;=AM$4,1/$E$41,0),0)</f>
        <v>0</v>
      </c>
      <c r="AN112" s="34">
        <f>IF(SUM($I112:AM112)&lt;1,IF($C112&lt;=AN$4,1/$E$41,0),0)</f>
        <v>0</v>
      </c>
      <c r="AO112" s="34">
        <f>IF(SUM($I112:AN112)&lt;1,IF($C112&lt;=AO$4,1/$E$41,0),0)</f>
        <v>0</v>
      </c>
      <c r="AP112" s="34">
        <f>IF(SUM($I112:AO112)&lt;1,IF($C112&lt;=AP$4,1/$E$41,0),0)</f>
        <v>0</v>
      </c>
      <c r="AQ112" s="34">
        <f>IF(SUM($I112:AP112)&lt;1,IF($C112&lt;=AQ$4,1/$E$41,0),0)</f>
        <v>0</v>
      </c>
      <c r="AR112" s="34">
        <f>IF(SUM($I112:AQ112)&lt;1,IF($C112&lt;=AR$4,1/$E$41,0),0)</f>
        <v>0</v>
      </c>
      <c r="AS112" s="34">
        <f>IF(SUM($I112:AR112)&lt;1,IF($C112&lt;=AS$4,1/$E$41,0),0)</f>
        <v>0</v>
      </c>
      <c r="AT112" s="34">
        <f>IF(SUM($I112:AS112)&lt;1,IF($C112&lt;=AT$4,1/$E$41,0),0)</f>
        <v>0</v>
      </c>
      <c r="AU112" s="34">
        <f>IF(SUM($I112:AT112)&lt;1,IF($C112&lt;=AU$4,1/$E$41,0),0)</f>
        <v>0</v>
      </c>
      <c r="AV112" s="34">
        <f>IF(SUM($I112:AU112)&lt;1,IF($C112&lt;=AV$4,1/$E$41,0),0)</f>
        <v>0</v>
      </c>
      <c r="AW112" s="34">
        <f>IF(SUM($I112:AV112)&lt;1,IF($C112&lt;=AW$4,1/$E$41,0),0)</f>
        <v>0</v>
      </c>
      <c r="AX112" s="34">
        <f>IF(SUM($I112:AW112)&lt;1,IF($C112&lt;=AX$4,1/$E$41,0),0)</f>
        <v>0</v>
      </c>
      <c r="AY112" s="34">
        <f>IF(SUM($I112:AX112)&lt;1,IF($C112&lt;=AY$4,1/$E$41,0),0)</f>
        <v>0</v>
      </c>
      <c r="AZ112" s="34">
        <f>IF(SUM($I112:AY112)&lt;1,IF($C112&lt;=AZ$4,1/$E$41,0),0)</f>
        <v>0</v>
      </c>
      <c r="BA112" s="34">
        <f>IF(SUM($I112:AZ112)&lt;1,IF($C112&lt;=BA$4,1/$E$41,0),0)</f>
        <v>0</v>
      </c>
      <c r="BB112" s="34">
        <f>IF(SUM($I112:BA112)&lt;1,IF($C112&lt;=BB$4,1/$E$41,0),0)</f>
        <v>0</v>
      </c>
      <c r="BC112" s="34">
        <f>IF(SUM($I112:BB112)&lt;1,IF($C112&lt;=BC$4,1/$E$41,0),0)</f>
        <v>0</v>
      </c>
      <c r="BD112" s="34">
        <f>IF(SUM($I112:BC112)&lt;1,IF($C112&lt;=BD$4,1/$E$41,0),0)</f>
        <v>0</v>
      </c>
      <c r="BE112" s="34">
        <f>IF(SUM($I112:BD112)&lt;1,IF($C112&lt;=BE$4,1/$E$41,0),0)</f>
        <v>0</v>
      </c>
      <c r="BF112" s="34">
        <f>IF(SUM($I112:BE112)&lt;1,IF($C112&lt;=BF$4,1/$E$41,0),0)</f>
        <v>0</v>
      </c>
      <c r="BG112" s="34">
        <f>IF(SUM($I112:BF112)&lt;1,IF($C112&lt;=BG$4,1/$E$41,0),0)</f>
        <v>0</v>
      </c>
      <c r="BH112" s="34">
        <f>IF(SUM($I112:BG112)&lt;1,IF($C112&lt;=BH$4,1/$E$41,0),0)</f>
        <v>0</v>
      </c>
      <c r="BI112" s="34">
        <f>IF(SUM($I112:BH112)&lt;1,IF($C112&lt;=BI$4,1/$E$41,0),0)</f>
        <v>0</v>
      </c>
      <c r="BJ112" s="34">
        <f>IF(SUM($I112:BI112)&lt;1,IF($C112&lt;=BJ$4,1/$E$41,0),0)</f>
        <v>0</v>
      </c>
      <c r="BK112" s="34">
        <f>IF(SUM($I112:BJ112)&lt;1,IF($C112&lt;=BK$4,1/$E$41,0),0)</f>
        <v>0</v>
      </c>
      <c r="BL112" s="34">
        <f>IF(SUM($I112:BK112)&lt;1,IF($C112&lt;=BL$4,1/$E$41,0),0)</f>
        <v>0</v>
      </c>
      <c r="BM112" s="34">
        <f>IF(SUM($I112:BL112)&lt;1,IF($C112&lt;=BM$4,1/$E$41,0),0)</f>
        <v>0</v>
      </c>
      <c r="BN112" s="34">
        <f>IF(SUM($I112:BM112)&lt;1,IF($C112&lt;=BN$4,1/$E$41,0),0)</f>
        <v>0</v>
      </c>
      <c r="BO112" s="34">
        <f>IF(SUM($I112:BN112)&lt;1,IF($C112&lt;=BO$4,1/$E$41,0),0)</f>
        <v>0</v>
      </c>
      <c r="BP112" s="34">
        <f>IF(SUM($I112:BO112)&lt;1,IF($C112&lt;=BP$4,1/$E$41,0),0)</f>
        <v>0</v>
      </c>
      <c r="BQ112" s="34">
        <f>IF(SUM($I112:BP112)&lt;1,IF($C112&lt;=BQ$4,1/$E$41,0),0)</f>
        <v>0</v>
      </c>
      <c r="BR112" s="34">
        <f>IF(SUM($I112:BQ112)&lt;1,IF($C112&lt;=BR$4,1/$E$41,0),0)</f>
        <v>0</v>
      </c>
      <c r="BS112" s="34">
        <f>IF(SUM($I112:BR112)&lt;1,IF($C112&lt;=BS$4,1/$E$41,0),0)</f>
        <v>0</v>
      </c>
      <c r="BT112" s="34">
        <f>IF(SUM($I112:BS112)&lt;1,IF($C112&lt;=BT$4,1/$E$41,0),0)</f>
        <v>0</v>
      </c>
      <c r="BU112" s="34">
        <f>IF(SUM($I112:BT112)&lt;1,IF($C112&lt;=BU$4,1/$E$41,0),0)</f>
        <v>0</v>
      </c>
      <c r="BV112" s="34">
        <f>IF(SUM($I112:BU112)&lt;1,IF($C112&lt;=BV$4,1/$E$41,0),0)</f>
        <v>0</v>
      </c>
      <c r="BW112" s="34">
        <f>IF(SUM($I112:BV112)&lt;1,IF($C112&lt;=BW$4,1/$E$41,0),0)</f>
        <v>0</v>
      </c>
      <c r="BX112" s="34">
        <f>IF(SUM($I112:BW112)&lt;1,IF($C112&lt;=BX$4,1/$E$41,0),0)</f>
        <v>0</v>
      </c>
      <c r="BY112" s="34">
        <f>IF(SUM($I112:BX112)&lt;1,IF($C112&lt;=BY$4,1/$E$41,0),0)</f>
        <v>0.25</v>
      </c>
      <c r="BZ112" s="34">
        <f>IF(SUM($I112:BY112)&lt;1,IF($C112&lt;=BZ$4,1/$E$41,0),0)</f>
        <v>0.25</v>
      </c>
      <c r="CA112" s="34">
        <f>IF(SUM($I112:BZ112)&lt;1,IF($C112&lt;=CA$4,1/$E$41,0),0)</f>
        <v>0.25</v>
      </c>
      <c r="CB112" s="34">
        <f>IF(SUM($I112:CA112)&lt;1,IF($C112&lt;=CB$4,1/$E$41,0),0)</f>
        <v>0.25</v>
      </c>
      <c r="CC112" s="34">
        <f>IF(SUM($I112:CB112)&lt;1,IF($C112&lt;=CC$4,1/$E$41,0),0)</f>
        <v>0</v>
      </c>
      <c r="CD112" s="34">
        <f>IF(SUM($I112:CC112)&lt;1,IF($C112&lt;=CD$4,1/$E$41,0),0)</f>
        <v>0</v>
      </c>
      <c r="CE112" s="34">
        <f>IF(SUM($I112:CD112)&lt;1,IF($C112&lt;=CE$4,1/$E$41,0),0)</f>
        <v>0</v>
      </c>
      <c r="CF112" s="34">
        <f>IF(SUM($I112:CE112)&lt;1,IF($C112&lt;=CF$4,1/$E$41,0),0)</f>
        <v>0</v>
      </c>
      <c r="CG112" s="34">
        <f>IF(SUM($I112:CF112)&lt;1,IF($C112&lt;=CG$4,1/$E$41,0),0)</f>
        <v>0</v>
      </c>
      <c r="CH112" s="34">
        <f>IF(SUM($I112:CG112)&lt;1,IF($C112&lt;=CH$4,1/$E$41,0),0)</f>
        <v>0</v>
      </c>
      <c r="CI112" s="34">
        <f>IF(SUM($I112:CH112)&lt;1,IF($C112&lt;=CI$4,1/$E$41,0),0)</f>
        <v>0</v>
      </c>
      <c r="CJ112" s="34">
        <f>IF(SUM($I112:CI112)&lt;1,IF($C112&lt;=CJ$4,1/$E$41,0),0)</f>
        <v>0</v>
      </c>
      <c r="CK112" s="34">
        <f>IF(SUM($I112:CJ112)&lt;1,IF($C112&lt;=CK$4,1/$E$41,0),0)</f>
        <v>0</v>
      </c>
      <c r="CL112" s="34">
        <f>IF(SUM($I112:CK112)&lt;1,IF($C112&lt;=CL$4,1/$E$41,0),0)</f>
        <v>0</v>
      </c>
      <c r="CM112" s="34">
        <f>IF(SUM($I112:CL112)&lt;1,IF($C112&lt;=CM$4,1/$E$41,0),0)</f>
        <v>0</v>
      </c>
      <c r="CN112" s="34">
        <f>IF(SUM($I112:CM112)&lt;1,IF($C112&lt;=CN$4,1/$E$41,0),0)</f>
        <v>0</v>
      </c>
      <c r="CO112" s="34">
        <f>IF(SUM($I112:CN112)&lt;1,IF($C112&lt;=CO$4,1/$E$41,0),0)</f>
        <v>0</v>
      </c>
      <c r="CP112" s="34">
        <f>IF(SUM($I112:CO112)&lt;1,IF($C112&lt;=CP$4,1/$E$41,0),0)</f>
        <v>0</v>
      </c>
      <c r="CQ112" s="34">
        <f>IF(SUM($I112:CP112)&lt;1,IF($C112&lt;=CQ$4,1/$E$41,0),0)</f>
        <v>0</v>
      </c>
      <c r="CR112" s="34">
        <f>IF(SUM($I112:CQ112)&lt;1,IF($C112&lt;=CR$4,1/$E$41,0),0)</f>
        <v>0</v>
      </c>
      <c r="CS112" s="34">
        <f>IF(SUM($I112:CR112)&lt;1,IF($C112&lt;=CS$4,1/$E$41,0),0)</f>
        <v>0</v>
      </c>
      <c r="CT112" s="34">
        <f>IF(SUM($I112:CS112)&lt;1,IF($C112&lt;=CT$4,1/$E$41,0),0)</f>
        <v>0</v>
      </c>
      <c r="CU112" s="34">
        <f>IF(SUM($I112:CT112)&lt;1,IF($C112&lt;=CU$4,1/$E$41,0),0)</f>
        <v>0</v>
      </c>
      <c r="CV112" s="34">
        <f>IF(SUM($I112:CU112)&lt;1,IF($C112&lt;=CV$4,1/$E$41,0),0)</f>
        <v>0</v>
      </c>
      <c r="CW112" s="34">
        <f>IF(SUM($I112:CV112)&lt;1,IF($C112&lt;=CW$4,1/$E$41,0),0)</f>
        <v>0</v>
      </c>
      <c r="CX112" s="34">
        <f>IF(SUM($I112:CW112)&lt;1,IF($C112&lt;=CX$4,1/$E$41,0),0)</f>
        <v>0</v>
      </c>
      <c r="CY112" s="34">
        <f>IF(SUM($I112:CX112)&lt;1,IF($C112&lt;=CY$4,1/$E$41,0),0)</f>
        <v>0</v>
      </c>
      <c r="CZ112" s="34">
        <f>IF(SUM($I112:CY112)&lt;1,IF($C112&lt;=CZ$4,1/$E$41,0),0)</f>
        <v>0</v>
      </c>
      <c r="DA112" s="34">
        <f>IF(SUM($I112:CZ112)&lt;1,IF($C112&lt;=DA$4,1/$E$41,0),0)</f>
        <v>0</v>
      </c>
      <c r="DB112" s="34">
        <f>IF(SUM($I112:DA112)&lt;1,IF($C112&lt;=DB$4,1/$E$41,0),0)</f>
        <v>0</v>
      </c>
      <c r="DC112" s="34">
        <f>IF(SUM($I112:DB112)&lt;1,IF($C112&lt;=DC$4,1/$E$41,0),0)</f>
        <v>0</v>
      </c>
      <c r="DD112" s="34">
        <f>IF(SUM($I112:DC112)&lt;1,IF($C112&lt;=DD$4,1/$E$41,0),0)</f>
        <v>0</v>
      </c>
      <c r="DE112" s="34">
        <f>IF(SUM($I112:DD112)&lt;1,IF($C112&lt;=DE$4,1/$E$41,0),0)</f>
        <v>0</v>
      </c>
      <c r="DF112" s="34">
        <f>IF(SUM($I112:DE112)&lt;1,IF($C112&lt;=DF$4,1/$E$41,0),0)</f>
        <v>0</v>
      </c>
      <c r="DG112" s="34">
        <f>IF(SUM($I112:DF112)&lt;1,IF($C112&lt;=DG$4,1/$E$41,0),0)</f>
        <v>0</v>
      </c>
      <c r="DH112" s="34">
        <f>IF(SUM($I112:DG112)&lt;1,IF($C112&lt;=DH$4,1/$E$41,0),0)</f>
        <v>0</v>
      </c>
      <c r="DI112" s="34">
        <f>IF(SUM($I112:DH112)&lt;1,IF($C112&lt;=DI$4,1/$E$41,0),0)</f>
        <v>0</v>
      </c>
      <c r="DJ112" s="34">
        <f>IF(SUM($I112:DI112)&lt;1,IF($C112&lt;=DJ$4,1/$E$41,0),0)</f>
        <v>0</v>
      </c>
      <c r="DK112" s="34">
        <f>IF(SUM($I112:DJ112)&lt;1,IF($C112&lt;=DK$4,1/$E$41,0),0)</f>
        <v>0</v>
      </c>
      <c r="DL112" s="34">
        <f>IF(SUM($I112:DK112)&lt;1,IF($C112&lt;=DL$4,1/$E$41,0),0)</f>
        <v>0</v>
      </c>
      <c r="DM112" s="34">
        <f>IF(SUM($I112:DL112)&lt;1,IF($C112&lt;=DM$4,1/$E$41,0),0)</f>
        <v>0</v>
      </c>
    </row>
    <row r="113" spans="3:117" outlineLevel="1" x14ac:dyDescent="0.15">
      <c r="C113" s="50">
        <f t="shared" si="51"/>
        <v>69</v>
      </c>
      <c r="D113" s="5" t="s">
        <v>18</v>
      </c>
      <c r="E113" s="19">
        <f t="shared" si="50"/>
        <v>0</v>
      </c>
      <c r="I113" s="9"/>
      <c r="J113" s="34">
        <f>IF(SUM($I113:I113)&lt;1,IF($C113&lt;=J$4,1/$E$41,0),0)</f>
        <v>0</v>
      </c>
      <c r="K113" s="34">
        <f>IF(SUM($I113:J113)&lt;1,IF($C113&lt;=K$4,1/$E$41,0),0)</f>
        <v>0</v>
      </c>
      <c r="L113" s="34">
        <f>IF(SUM($I113:K113)&lt;1,IF($C113&lt;=L$4,1/$E$41,0),0)</f>
        <v>0</v>
      </c>
      <c r="M113" s="34">
        <f>IF(SUM($I113:L113)&lt;1,IF($C113&lt;=M$4,1/$E$41,0),0)</f>
        <v>0</v>
      </c>
      <c r="N113" s="34">
        <f>IF(SUM($I113:M113)&lt;1,IF($C113&lt;=N$4,1/$E$41,0),0)</f>
        <v>0</v>
      </c>
      <c r="O113" s="34">
        <f>IF(SUM($I113:N113)&lt;1,IF($C113&lt;=O$4,1/$E$41,0),0)</f>
        <v>0</v>
      </c>
      <c r="P113" s="34">
        <f>IF(SUM($I113:O113)&lt;1,IF($C113&lt;=P$4,1/$E$41,0),0)</f>
        <v>0</v>
      </c>
      <c r="Q113" s="34">
        <f>IF(SUM($I113:P113)&lt;1,IF($C113&lt;=Q$4,1/$E$41,0),0)</f>
        <v>0</v>
      </c>
      <c r="R113" s="34">
        <f>IF(SUM($I113:Q113)&lt;1,IF($C113&lt;=R$4,1/$E$41,0),0)</f>
        <v>0</v>
      </c>
      <c r="S113" s="34">
        <f>IF(SUM($I113:R113)&lt;1,IF($C113&lt;=S$4,1/$E$41,0),0)</f>
        <v>0</v>
      </c>
      <c r="T113" s="34">
        <f>IF(SUM($I113:S113)&lt;1,IF($C113&lt;=T$4,1/$E$41,0),0)</f>
        <v>0</v>
      </c>
      <c r="U113" s="34">
        <f>IF(SUM($I113:T113)&lt;1,IF($C113&lt;=U$4,1/$E$41,0),0)</f>
        <v>0</v>
      </c>
      <c r="V113" s="34">
        <f>IF(SUM($I113:U113)&lt;1,IF($C113&lt;=V$4,1/$E$41,0),0)</f>
        <v>0</v>
      </c>
      <c r="W113" s="34">
        <f>IF(SUM($I113:V113)&lt;1,IF($C113&lt;=W$4,1/$E$41,0),0)</f>
        <v>0</v>
      </c>
      <c r="X113" s="34">
        <f>IF(SUM($I113:W113)&lt;1,IF($C113&lt;=X$4,1/$E$41,0),0)</f>
        <v>0</v>
      </c>
      <c r="Y113" s="34">
        <f>IF(SUM($I113:X113)&lt;1,IF($C113&lt;=Y$4,1/$E$41,0),0)</f>
        <v>0</v>
      </c>
      <c r="Z113" s="34">
        <f>IF(SUM($I113:Y113)&lt;1,IF($C113&lt;=Z$4,1/$E$41,0),0)</f>
        <v>0</v>
      </c>
      <c r="AA113" s="34">
        <f>IF(SUM($I113:Z113)&lt;1,IF($C113&lt;=AA$4,1/$E$41,0),0)</f>
        <v>0</v>
      </c>
      <c r="AB113" s="34">
        <f>IF(SUM($I113:AA113)&lt;1,IF($C113&lt;=AB$4,1/$E$41,0),0)</f>
        <v>0</v>
      </c>
      <c r="AC113" s="34">
        <f>IF(SUM($I113:AB113)&lt;1,IF($C113&lt;=AC$4,1/$E$41,0),0)</f>
        <v>0</v>
      </c>
      <c r="AD113" s="34">
        <f>IF(SUM($I113:AC113)&lt;1,IF($C113&lt;=AD$4,1/$E$41,0),0)</f>
        <v>0</v>
      </c>
      <c r="AE113" s="34">
        <f>IF(SUM($I113:AD113)&lt;1,IF($C113&lt;=AE$4,1/$E$41,0),0)</f>
        <v>0</v>
      </c>
      <c r="AF113" s="34">
        <f>IF(SUM($I113:AE113)&lt;1,IF($C113&lt;=AF$4,1/$E$41,0),0)</f>
        <v>0</v>
      </c>
      <c r="AG113" s="34">
        <f>IF(SUM($I113:AF113)&lt;1,IF($C113&lt;=AG$4,1/$E$41,0),0)</f>
        <v>0</v>
      </c>
      <c r="AH113" s="34">
        <f>IF(SUM($I113:AG113)&lt;1,IF($C113&lt;=AH$4,1/$E$41,0),0)</f>
        <v>0</v>
      </c>
      <c r="AI113" s="34">
        <f>IF(SUM($I113:AH113)&lt;1,IF($C113&lt;=AI$4,1/$E$41,0),0)</f>
        <v>0</v>
      </c>
      <c r="AJ113" s="34">
        <f>IF(SUM($I113:AI113)&lt;1,IF($C113&lt;=AJ$4,1/$E$41,0),0)</f>
        <v>0</v>
      </c>
      <c r="AK113" s="34">
        <f>IF(SUM($I113:AJ113)&lt;1,IF($C113&lt;=AK$4,1/$E$41,0),0)</f>
        <v>0</v>
      </c>
      <c r="AL113" s="34">
        <f>IF(SUM($I113:AK113)&lt;1,IF($C113&lt;=AL$4,1/$E$41,0),0)</f>
        <v>0</v>
      </c>
      <c r="AM113" s="34">
        <f>IF(SUM($I113:AL113)&lt;1,IF($C113&lt;=AM$4,1/$E$41,0),0)</f>
        <v>0</v>
      </c>
      <c r="AN113" s="34">
        <f>IF(SUM($I113:AM113)&lt;1,IF($C113&lt;=AN$4,1/$E$41,0),0)</f>
        <v>0</v>
      </c>
      <c r="AO113" s="34">
        <f>IF(SUM($I113:AN113)&lt;1,IF($C113&lt;=AO$4,1/$E$41,0),0)</f>
        <v>0</v>
      </c>
      <c r="AP113" s="34">
        <f>IF(SUM($I113:AO113)&lt;1,IF($C113&lt;=AP$4,1/$E$41,0),0)</f>
        <v>0</v>
      </c>
      <c r="AQ113" s="34">
        <f>IF(SUM($I113:AP113)&lt;1,IF($C113&lt;=AQ$4,1/$E$41,0),0)</f>
        <v>0</v>
      </c>
      <c r="AR113" s="34">
        <f>IF(SUM($I113:AQ113)&lt;1,IF($C113&lt;=AR$4,1/$E$41,0),0)</f>
        <v>0</v>
      </c>
      <c r="AS113" s="34">
        <f>IF(SUM($I113:AR113)&lt;1,IF($C113&lt;=AS$4,1/$E$41,0),0)</f>
        <v>0</v>
      </c>
      <c r="AT113" s="34">
        <f>IF(SUM($I113:AS113)&lt;1,IF($C113&lt;=AT$4,1/$E$41,0),0)</f>
        <v>0</v>
      </c>
      <c r="AU113" s="34">
        <f>IF(SUM($I113:AT113)&lt;1,IF($C113&lt;=AU$4,1/$E$41,0),0)</f>
        <v>0</v>
      </c>
      <c r="AV113" s="34">
        <f>IF(SUM($I113:AU113)&lt;1,IF($C113&lt;=AV$4,1/$E$41,0),0)</f>
        <v>0</v>
      </c>
      <c r="AW113" s="34">
        <f>IF(SUM($I113:AV113)&lt;1,IF($C113&lt;=AW$4,1/$E$41,0),0)</f>
        <v>0</v>
      </c>
      <c r="AX113" s="34">
        <f>IF(SUM($I113:AW113)&lt;1,IF($C113&lt;=AX$4,1/$E$41,0),0)</f>
        <v>0</v>
      </c>
      <c r="AY113" s="34">
        <f>IF(SUM($I113:AX113)&lt;1,IF($C113&lt;=AY$4,1/$E$41,0),0)</f>
        <v>0</v>
      </c>
      <c r="AZ113" s="34">
        <f>IF(SUM($I113:AY113)&lt;1,IF($C113&lt;=AZ$4,1/$E$41,0),0)</f>
        <v>0</v>
      </c>
      <c r="BA113" s="34">
        <f>IF(SUM($I113:AZ113)&lt;1,IF($C113&lt;=BA$4,1/$E$41,0),0)</f>
        <v>0</v>
      </c>
      <c r="BB113" s="34">
        <f>IF(SUM($I113:BA113)&lt;1,IF($C113&lt;=BB$4,1/$E$41,0),0)</f>
        <v>0</v>
      </c>
      <c r="BC113" s="34">
        <f>IF(SUM($I113:BB113)&lt;1,IF($C113&lt;=BC$4,1/$E$41,0),0)</f>
        <v>0</v>
      </c>
      <c r="BD113" s="34">
        <f>IF(SUM($I113:BC113)&lt;1,IF($C113&lt;=BD$4,1/$E$41,0),0)</f>
        <v>0</v>
      </c>
      <c r="BE113" s="34">
        <f>IF(SUM($I113:BD113)&lt;1,IF($C113&lt;=BE$4,1/$E$41,0),0)</f>
        <v>0</v>
      </c>
      <c r="BF113" s="34">
        <f>IF(SUM($I113:BE113)&lt;1,IF($C113&lt;=BF$4,1/$E$41,0),0)</f>
        <v>0</v>
      </c>
      <c r="BG113" s="34">
        <f>IF(SUM($I113:BF113)&lt;1,IF($C113&lt;=BG$4,1/$E$41,0),0)</f>
        <v>0</v>
      </c>
      <c r="BH113" s="34">
        <f>IF(SUM($I113:BG113)&lt;1,IF($C113&lt;=BH$4,1/$E$41,0),0)</f>
        <v>0</v>
      </c>
      <c r="BI113" s="34">
        <f>IF(SUM($I113:BH113)&lt;1,IF($C113&lt;=BI$4,1/$E$41,0),0)</f>
        <v>0</v>
      </c>
      <c r="BJ113" s="34">
        <f>IF(SUM($I113:BI113)&lt;1,IF($C113&lt;=BJ$4,1/$E$41,0),0)</f>
        <v>0</v>
      </c>
      <c r="BK113" s="34">
        <f>IF(SUM($I113:BJ113)&lt;1,IF($C113&lt;=BK$4,1/$E$41,0),0)</f>
        <v>0</v>
      </c>
      <c r="BL113" s="34">
        <f>IF(SUM($I113:BK113)&lt;1,IF($C113&lt;=BL$4,1/$E$41,0),0)</f>
        <v>0</v>
      </c>
      <c r="BM113" s="34">
        <f>IF(SUM($I113:BL113)&lt;1,IF($C113&lt;=BM$4,1/$E$41,0),0)</f>
        <v>0</v>
      </c>
      <c r="BN113" s="34">
        <f>IF(SUM($I113:BM113)&lt;1,IF($C113&lt;=BN$4,1/$E$41,0),0)</f>
        <v>0</v>
      </c>
      <c r="BO113" s="34">
        <f>IF(SUM($I113:BN113)&lt;1,IF($C113&lt;=BO$4,1/$E$41,0),0)</f>
        <v>0</v>
      </c>
      <c r="BP113" s="34">
        <f>IF(SUM($I113:BO113)&lt;1,IF($C113&lt;=BP$4,1/$E$41,0),0)</f>
        <v>0</v>
      </c>
      <c r="BQ113" s="34">
        <f>IF(SUM($I113:BP113)&lt;1,IF($C113&lt;=BQ$4,1/$E$41,0),0)</f>
        <v>0</v>
      </c>
      <c r="BR113" s="34">
        <f>IF(SUM($I113:BQ113)&lt;1,IF($C113&lt;=BR$4,1/$E$41,0),0)</f>
        <v>0</v>
      </c>
      <c r="BS113" s="34">
        <f>IF(SUM($I113:BR113)&lt;1,IF($C113&lt;=BS$4,1/$E$41,0),0)</f>
        <v>0</v>
      </c>
      <c r="BT113" s="34">
        <f>IF(SUM($I113:BS113)&lt;1,IF($C113&lt;=BT$4,1/$E$41,0),0)</f>
        <v>0</v>
      </c>
      <c r="BU113" s="34">
        <f>IF(SUM($I113:BT113)&lt;1,IF($C113&lt;=BU$4,1/$E$41,0),0)</f>
        <v>0</v>
      </c>
      <c r="BV113" s="34">
        <f>IF(SUM($I113:BU113)&lt;1,IF($C113&lt;=BV$4,1/$E$41,0),0)</f>
        <v>0</v>
      </c>
      <c r="BW113" s="34">
        <f>IF(SUM($I113:BV113)&lt;1,IF($C113&lt;=BW$4,1/$E$41,0),0)</f>
        <v>0</v>
      </c>
      <c r="BX113" s="34">
        <f>IF(SUM($I113:BW113)&lt;1,IF($C113&lt;=BX$4,1/$E$41,0),0)</f>
        <v>0</v>
      </c>
      <c r="BY113" s="34">
        <f>IF(SUM($I113:BX113)&lt;1,IF($C113&lt;=BY$4,1/$E$41,0),0)</f>
        <v>0</v>
      </c>
      <c r="BZ113" s="34">
        <f>IF(SUM($I113:BY113)&lt;1,IF($C113&lt;=BZ$4,1/$E$41,0),0)</f>
        <v>0.25</v>
      </c>
      <c r="CA113" s="34">
        <f>IF(SUM($I113:BZ113)&lt;1,IF($C113&lt;=CA$4,1/$E$41,0),0)</f>
        <v>0.25</v>
      </c>
      <c r="CB113" s="34">
        <f>IF(SUM($I113:CA113)&lt;1,IF($C113&lt;=CB$4,1/$E$41,0),0)</f>
        <v>0.25</v>
      </c>
      <c r="CC113" s="34">
        <f>IF(SUM($I113:CB113)&lt;1,IF($C113&lt;=CC$4,1/$E$41,0),0)</f>
        <v>0.25</v>
      </c>
      <c r="CD113" s="34">
        <f>IF(SUM($I113:CC113)&lt;1,IF($C113&lt;=CD$4,1/$E$41,0),0)</f>
        <v>0</v>
      </c>
      <c r="CE113" s="34">
        <f>IF(SUM($I113:CD113)&lt;1,IF($C113&lt;=CE$4,1/$E$41,0),0)</f>
        <v>0</v>
      </c>
      <c r="CF113" s="34">
        <f>IF(SUM($I113:CE113)&lt;1,IF($C113&lt;=CF$4,1/$E$41,0),0)</f>
        <v>0</v>
      </c>
      <c r="CG113" s="34">
        <f>IF(SUM($I113:CF113)&lt;1,IF($C113&lt;=CG$4,1/$E$41,0),0)</f>
        <v>0</v>
      </c>
      <c r="CH113" s="34">
        <f>IF(SUM($I113:CG113)&lt;1,IF($C113&lt;=CH$4,1/$E$41,0),0)</f>
        <v>0</v>
      </c>
      <c r="CI113" s="34">
        <f>IF(SUM($I113:CH113)&lt;1,IF($C113&lt;=CI$4,1/$E$41,0),0)</f>
        <v>0</v>
      </c>
      <c r="CJ113" s="34">
        <f>IF(SUM($I113:CI113)&lt;1,IF($C113&lt;=CJ$4,1/$E$41,0),0)</f>
        <v>0</v>
      </c>
      <c r="CK113" s="34">
        <f>IF(SUM($I113:CJ113)&lt;1,IF($C113&lt;=CK$4,1/$E$41,0),0)</f>
        <v>0</v>
      </c>
      <c r="CL113" s="34">
        <f>IF(SUM($I113:CK113)&lt;1,IF($C113&lt;=CL$4,1/$E$41,0),0)</f>
        <v>0</v>
      </c>
      <c r="CM113" s="34">
        <f>IF(SUM($I113:CL113)&lt;1,IF($C113&lt;=CM$4,1/$E$41,0),0)</f>
        <v>0</v>
      </c>
      <c r="CN113" s="34">
        <f>IF(SUM($I113:CM113)&lt;1,IF($C113&lt;=CN$4,1/$E$41,0),0)</f>
        <v>0</v>
      </c>
      <c r="CO113" s="34">
        <f>IF(SUM($I113:CN113)&lt;1,IF($C113&lt;=CO$4,1/$E$41,0),0)</f>
        <v>0</v>
      </c>
      <c r="CP113" s="34">
        <f>IF(SUM($I113:CO113)&lt;1,IF($C113&lt;=CP$4,1/$E$41,0),0)</f>
        <v>0</v>
      </c>
      <c r="CQ113" s="34">
        <f>IF(SUM($I113:CP113)&lt;1,IF($C113&lt;=CQ$4,1/$E$41,0),0)</f>
        <v>0</v>
      </c>
      <c r="CR113" s="34">
        <f>IF(SUM($I113:CQ113)&lt;1,IF($C113&lt;=CR$4,1/$E$41,0),0)</f>
        <v>0</v>
      </c>
      <c r="CS113" s="34">
        <f>IF(SUM($I113:CR113)&lt;1,IF($C113&lt;=CS$4,1/$E$41,0),0)</f>
        <v>0</v>
      </c>
      <c r="CT113" s="34">
        <f>IF(SUM($I113:CS113)&lt;1,IF($C113&lt;=CT$4,1/$E$41,0),0)</f>
        <v>0</v>
      </c>
      <c r="CU113" s="34">
        <f>IF(SUM($I113:CT113)&lt;1,IF($C113&lt;=CU$4,1/$E$41,0),0)</f>
        <v>0</v>
      </c>
      <c r="CV113" s="34">
        <f>IF(SUM($I113:CU113)&lt;1,IF($C113&lt;=CV$4,1/$E$41,0),0)</f>
        <v>0</v>
      </c>
      <c r="CW113" s="34">
        <f>IF(SUM($I113:CV113)&lt;1,IF($C113&lt;=CW$4,1/$E$41,0),0)</f>
        <v>0</v>
      </c>
      <c r="CX113" s="34">
        <f>IF(SUM($I113:CW113)&lt;1,IF($C113&lt;=CX$4,1/$E$41,0),0)</f>
        <v>0</v>
      </c>
      <c r="CY113" s="34">
        <f>IF(SUM($I113:CX113)&lt;1,IF($C113&lt;=CY$4,1/$E$41,0),0)</f>
        <v>0</v>
      </c>
      <c r="CZ113" s="34">
        <f>IF(SUM($I113:CY113)&lt;1,IF($C113&lt;=CZ$4,1/$E$41,0),0)</f>
        <v>0</v>
      </c>
      <c r="DA113" s="34">
        <f>IF(SUM($I113:CZ113)&lt;1,IF($C113&lt;=DA$4,1/$E$41,0),0)</f>
        <v>0</v>
      </c>
      <c r="DB113" s="34">
        <f>IF(SUM($I113:DA113)&lt;1,IF($C113&lt;=DB$4,1/$E$41,0),0)</f>
        <v>0</v>
      </c>
      <c r="DC113" s="34">
        <f>IF(SUM($I113:DB113)&lt;1,IF($C113&lt;=DC$4,1/$E$41,0),0)</f>
        <v>0</v>
      </c>
      <c r="DD113" s="34">
        <f>IF(SUM($I113:DC113)&lt;1,IF($C113&lt;=DD$4,1/$E$41,0),0)</f>
        <v>0</v>
      </c>
      <c r="DE113" s="34">
        <f>IF(SUM($I113:DD113)&lt;1,IF($C113&lt;=DE$4,1/$E$41,0),0)</f>
        <v>0</v>
      </c>
      <c r="DF113" s="34">
        <f>IF(SUM($I113:DE113)&lt;1,IF($C113&lt;=DF$4,1/$E$41,0),0)</f>
        <v>0</v>
      </c>
      <c r="DG113" s="34">
        <f>IF(SUM($I113:DF113)&lt;1,IF($C113&lt;=DG$4,1/$E$41,0),0)</f>
        <v>0</v>
      </c>
      <c r="DH113" s="34">
        <f>IF(SUM($I113:DG113)&lt;1,IF($C113&lt;=DH$4,1/$E$41,0),0)</f>
        <v>0</v>
      </c>
      <c r="DI113" s="34">
        <f>IF(SUM($I113:DH113)&lt;1,IF($C113&lt;=DI$4,1/$E$41,0),0)</f>
        <v>0</v>
      </c>
      <c r="DJ113" s="34">
        <f>IF(SUM($I113:DI113)&lt;1,IF($C113&lt;=DJ$4,1/$E$41,0),0)</f>
        <v>0</v>
      </c>
      <c r="DK113" s="34">
        <f>IF(SUM($I113:DJ113)&lt;1,IF($C113&lt;=DK$4,1/$E$41,0),0)</f>
        <v>0</v>
      </c>
      <c r="DL113" s="34">
        <f>IF(SUM($I113:DK113)&lt;1,IF($C113&lt;=DL$4,1/$E$41,0),0)</f>
        <v>0</v>
      </c>
      <c r="DM113" s="34">
        <f>IF(SUM($I113:DL113)&lt;1,IF($C113&lt;=DM$4,1/$E$41,0),0)</f>
        <v>0</v>
      </c>
    </row>
    <row r="114" spans="3:117" outlineLevel="1" x14ac:dyDescent="0.15">
      <c r="C114" s="50">
        <f t="shared" si="51"/>
        <v>70</v>
      </c>
      <c r="D114" s="5" t="s">
        <v>18</v>
      </c>
      <c r="E114" s="19">
        <f t="shared" si="50"/>
        <v>0</v>
      </c>
      <c r="I114" s="9"/>
      <c r="J114" s="34">
        <f>IF(SUM($I114:I114)&lt;1,IF($C114&lt;=J$4,1/$E$41,0),0)</f>
        <v>0</v>
      </c>
      <c r="K114" s="34">
        <f>IF(SUM($I114:J114)&lt;1,IF($C114&lt;=K$4,1/$E$41,0),0)</f>
        <v>0</v>
      </c>
      <c r="L114" s="34">
        <f>IF(SUM($I114:K114)&lt;1,IF($C114&lt;=L$4,1/$E$41,0),0)</f>
        <v>0</v>
      </c>
      <c r="M114" s="34">
        <f>IF(SUM($I114:L114)&lt;1,IF($C114&lt;=M$4,1/$E$41,0),0)</f>
        <v>0</v>
      </c>
      <c r="N114" s="34">
        <f>IF(SUM($I114:M114)&lt;1,IF($C114&lt;=N$4,1/$E$41,0),0)</f>
        <v>0</v>
      </c>
      <c r="O114" s="34">
        <f>IF(SUM($I114:N114)&lt;1,IF($C114&lt;=O$4,1/$E$41,0),0)</f>
        <v>0</v>
      </c>
      <c r="P114" s="34">
        <f>IF(SUM($I114:O114)&lt;1,IF($C114&lt;=P$4,1/$E$41,0),0)</f>
        <v>0</v>
      </c>
      <c r="Q114" s="34">
        <f>IF(SUM($I114:P114)&lt;1,IF($C114&lt;=Q$4,1/$E$41,0),0)</f>
        <v>0</v>
      </c>
      <c r="R114" s="34">
        <f>IF(SUM($I114:Q114)&lt;1,IF($C114&lt;=R$4,1/$E$41,0),0)</f>
        <v>0</v>
      </c>
      <c r="S114" s="34">
        <f>IF(SUM($I114:R114)&lt;1,IF($C114&lt;=S$4,1/$E$41,0),0)</f>
        <v>0</v>
      </c>
      <c r="T114" s="34">
        <f>IF(SUM($I114:S114)&lt;1,IF($C114&lt;=T$4,1/$E$41,0),0)</f>
        <v>0</v>
      </c>
      <c r="U114" s="34">
        <f>IF(SUM($I114:T114)&lt;1,IF($C114&lt;=U$4,1/$E$41,0),0)</f>
        <v>0</v>
      </c>
      <c r="V114" s="34">
        <f>IF(SUM($I114:U114)&lt;1,IF($C114&lt;=V$4,1/$E$41,0),0)</f>
        <v>0</v>
      </c>
      <c r="W114" s="34">
        <f>IF(SUM($I114:V114)&lt;1,IF($C114&lt;=W$4,1/$E$41,0),0)</f>
        <v>0</v>
      </c>
      <c r="X114" s="34">
        <f>IF(SUM($I114:W114)&lt;1,IF($C114&lt;=X$4,1/$E$41,0),0)</f>
        <v>0</v>
      </c>
      <c r="Y114" s="34">
        <f>IF(SUM($I114:X114)&lt;1,IF($C114&lt;=Y$4,1/$E$41,0),0)</f>
        <v>0</v>
      </c>
      <c r="Z114" s="34">
        <f>IF(SUM($I114:Y114)&lt;1,IF($C114&lt;=Z$4,1/$E$41,0),0)</f>
        <v>0</v>
      </c>
      <c r="AA114" s="34">
        <f>IF(SUM($I114:Z114)&lt;1,IF($C114&lt;=AA$4,1/$E$41,0),0)</f>
        <v>0</v>
      </c>
      <c r="AB114" s="34">
        <f>IF(SUM($I114:AA114)&lt;1,IF($C114&lt;=AB$4,1/$E$41,0),0)</f>
        <v>0</v>
      </c>
      <c r="AC114" s="34">
        <f>IF(SUM($I114:AB114)&lt;1,IF($C114&lt;=AC$4,1/$E$41,0),0)</f>
        <v>0</v>
      </c>
      <c r="AD114" s="34">
        <f>IF(SUM($I114:AC114)&lt;1,IF($C114&lt;=AD$4,1/$E$41,0),0)</f>
        <v>0</v>
      </c>
      <c r="AE114" s="34">
        <f>IF(SUM($I114:AD114)&lt;1,IF($C114&lt;=AE$4,1/$E$41,0),0)</f>
        <v>0</v>
      </c>
      <c r="AF114" s="34">
        <f>IF(SUM($I114:AE114)&lt;1,IF($C114&lt;=AF$4,1/$E$41,0),0)</f>
        <v>0</v>
      </c>
      <c r="AG114" s="34">
        <f>IF(SUM($I114:AF114)&lt;1,IF($C114&lt;=AG$4,1/$E$41,0),0)</f>
        <v>0</v>
      </c>
      <c r="AH114" s="34">
        <f>IF(SUM($I114:AG114)&lt;1,IF($C114&lt;=AH$4,1/$E$41,0),0)</f>
        <v>0</v>
      </c>
      <c r="AI114" s="34">
        <f>IF(SUM($I114:AH114)&lt;1,IF($C114&lt;=AI$4,1/$E$41,0),0)</f>
        <v>0</v>
      </c>
      <c r="AJ114" s="34">
        <f>IF(SUM($I114:AI114)&lt;1,IF($C114&lt;=AJ$4,1/$E$41,0),0)</f>
        <v>0</v>
      </c>
      <c r="AK114" s="34">
        <f>IF(SUM($I114:AJ114)&lt;1,IF($C114&lt;=AK$4,1/$E$41,0),0)</f>
        <v>0</v>
      </c>
      <c r="AL114" s="34">
        <f>IF(SUM($I114:AK114)&lt;1,IF($C114&lt;=AL$4,1/$E$41,0),0)</f>
        <v>0</v>
      </c>
      <c r="AM114" s="34">
        <f>IF(SUM($I114:AL114)&lt;1,IF($C114&lt;=AM$4,1/$E$41,0),0)</f>
        <v>0</v>
      </c>
      <c r="AN114" s="34">
        <f>IF(SUM($I114:AM114)&lt;1,IF($C114&lt;=AN$4,1/$E$41,0),0)</f>
        <v>0</v>
      </c>
      <c r="AO114" s="34">
        <f>IF(SUM($I114:AN114)&lt;1,IF($C114&lt;=AO$4,1/$E$41,0),0)</f>
        <v>0</v>
      </c>
      <c r="AP114" s="34">
        <f>IF(SUM($I114:AO114)&lt;1,IF($C114&lt;=AP$4,1/$E$41,0),0)</f>
        <v>0</v>
      </c>
      <c r="AQ114" s="34">
        <f>IF(SUM($I114:AP114)&lt;1,IF($C114&lt;=AQ$4,1/$E$41,0),0)</f>
        <v>0</v>
      </c>
      <c r="AR114" s="34">
        <f>IF(SUM($I114:AQ114)&lt;1,IF($C114&lt;=AR$4,1/$E$41,0),0)</f>
        <v>0</v>
      </c>
      <c r="AS114" s="34">
        <f>IF(SUM($I114:AR114)&lt;1,IF($C114&lt;=AS$4,1/$E$41,0),0)</f>
        <v>0</v>
      </c>
      <c r="AT114" s="34">
        <f>IF(SUM($I114:AS114)&lt;1,IF($C114&lt;=AT$4,1/$E$41,0),0)</f>
        <v>0</v>
      </c>
      <c r="AU114" s="34">
        <f>IF(SUM($I114:AT114)&lt;1,IF($C114&lt;=AU$4,1/$E$41,0),0)</f>
        <v>0</v>
      </c>
      <c r="AV114" s="34">
        <f>IF(SUM($I114:AU114)&lt;1,IF($C114&lt;=AV$4,1/$E$41,0),0)</f>
        <v>0</v>
      </c>
      <c r="AW114" s="34">
        <f>IF(SUM($I114:AV114)&lt;1,IF($C114&lt;=AW$4,1/$E$41,0),0)</f>
        <v>0</v>
      </c>
      <c r="AX114" s="34">
        <f>IF(SUM($I114:AW114)&lt;1,IF($C114&lt;=AX$4,1/$E$41,0),0)</f>
        <v>0</v>
      </c>
      <c r="AY114" s="34">
        <f>IF(SUM($I114:AX114)&lt;1,IF($C114&lt;=AY$4,1/$E$41,0),0)</f>
        <v>0</v>
      </c>
      <c r="AZ114" s="34">
        <f>IF(SUM($I114:AY114)&lt;1,IF($C114&lt;=AZ$4,1/$E$41,0),0)</f>
        <v>0</v>
      </c>
      <c r="BA114" s="34">
        <f>IF(SUM($I114:AZ114)&lt;1,IF($C114&lt;=BA$4,1/$E$41,0),0)</f>
        <v>0</v>
      </c>
      <c r="BB114" s="34">
        <f>IF(SUM($I114:BA114)&lt;1,IF($C114&lt;=BB$4,1/$E$41,0),0)</f>
        <v>0</v>
      </c>
      <c r="BC114" s="34">
        <f>IF(SUM($I114:BB114)&lt;1,IF($C114&lt;=BC$4,1/$E$41,0),0)</f>
        <v>0</v>
      </c>
      <c r="BD114" s="34">
        <f>IF(SUM($I114:BC114)&lt;1,IF($C114&lt;=BD$4,1/$E$41,0),0)</f>
        <v>0</v>
      </c>
      <c r="BE114" s="34">
        <f>IF(SUM($I114:BD114)&lt;1,IF($C114&lt;=BE$4,1/$E$41,0),0)</f>
        <v>0</v>
      </c>
      <c r="BF114" s="34">
        <f>IF(SUM($I114:BE114)&lt;1,IF($C114&lt;=BF$4,1/$E$41,0),0)</f>
        <v>0</v>
      </c>
      <c r="BG114" s="34">
        <f>IF(SUM($I114:BF114)&lt;1,IF($C114&lt;=BG$4,1/$E$41,0),0)</f>
        <v>0</v>
      </c>
      <c r="BH114" s="34">
        <f>IF(SUM($I114:BG114)&lt;1,IF($C114&lt;=BH$4,1/$E$41,0),0)</f>
        <v>0</v>
      </c>
      <c r="BI114" s="34">
        <f>IF(SUM($I114:BH114)&lt;1,IF($C114&lt;=BI$4,1/$E$41,0),0)</f>
        <v>0</v>
      </c>
      <c r="BJ114" s="34">
        <f>IF(SUM($I114:BI114)&lt;1,IF($C114&lt;=BJ$4,1/$E$41,0),0)</f>
        <v>0</v>
      </c>
      <c r="BK114" s="34">
        <f>IF(SUM($I114:BJ114)&lt;1,IF($C114&lt;=BK$4,1/$E$41,0),0)</f>
        <v>0</v>
      </c>
      <c r="BL114" s="34">
        <f>IF(SUM($I114:BK114)&lt;1,IF($C114&lt;=BL$4,1/$E$41,0),0)</f>
        <v>0</v>
      </c>
      <c r="BM114" s="34">
        <f>IF(SUM($I114:BL114)&lt;1,IF($C114&lt;=BM$4,1/$E$41,0),0)</f>
        <v>0</v>
      </c>
      <c r="BN114" s="34">
        <f>IF(SUM($I114:BM114)&lt;1,IF($C114&lt;=BN$4,1/$E$41,0),0)</f>
        <v>0</v>
      </c>
      <c r="BO114" s="34">
        <f>IF(SUM($I114:BN114)&lt;1,IF($C114&lt;=BO$4,1/$E$41,0),0)</f>
        <v>0</v>
      </c>
      <c r="BP114" s="34">
        <f>IF(SUM($I114:BO114)&lt;1,IF($C114&lt;=BP$4,1/$E$41,0),0)</f>
        <v>0</v>
      </c>
      <c r="BQ114" s="34">
        <f>IF(SUM($I114:BP114)&lt;1,IF($C114&lt;=BQ$4,1/$E$41,0),0)</f>
        <v>0</v>
      </c>
      <c r="BR114" s="34">
        <f>IF(SUM($I114:BQ114)&lt;1,IF($C114&lt;=BR$4,1/$E$41,0),0)</f>
        <v>0</v>
      </c>
      <c r="BS114" s="34">
        <f>IF(SUM($I114:BR114)&lt;1,IF($C114&lt;=BS$4,1/$E$41,0),0)</f>
        <v>0</v>
      </c>
      <c r="BT114" s="34">
        <f>IF(SUM($I114:BS114)&lt;1,IF($C114&lt;=BT$4,1/$E$41,0),0)</f>
        <v>0</v>
      </c>
      <c r="BU114" s="34">
        <f>IF(SUM($I114:BT114)&lt;1,IF($C114&lt;=BU$4,1/$E$41,0),0)</f>
        <v>0</v>
      </c>
      <c r="BV114" s="34">
        <f>IF(SUM($I114:BU114)&lt;1,IF($C114&lt;=BV$4,1/$E$41,0),0)</f>
        <v>0</v>
      </c>
      <c r="BW114" s="34">
        <f>IF(SUM($I114:BV114)&lt;1,IF($C114&lt;=BW$4,1/$E$41,0),0)</f>
        <v>0</v>
      </c>
      <c r="BX114" s="34">
        <f>IF(SUM($I114:BW114)&lt;1,IF($C114&lt;=BX$4,1/$E$41,0),0)</f>
        <v>0</v>
      </c>
      <c r="BY114" s="34">
        <f>IF(SUM($I114:BX114)&lt;1,IF($C114&lt;=BY$4,1/$E$41,0),0)</f>
        <v>0</v>
      </c>
      <c r="BZ114" s="34">
        <f>IF(SUM($I114:BY114)&lt;1,IF($C114&lt;=BZ$4,1/$E$41,0),0)</f>
        <v>0</v>
      </c>
      <c r="CA114" s="34">
        <f>IF(SUM($I114:BZ114)&lt;1,IF($C114&lt;=CA$4,1/$E$41,0),0)</f>
        <v>0.25</v>
      </c>
      <c r="CB114" s="34">
        <f>IF(SUM($I114:CA114)&lt;1,IF($C114&lt;=CB$4,1/$E$41,0),0)</f>
        <v>0.25</v>
      </c>
      <c r="CC114" s="34">
        <f>IF(SUM($I114:CB114)&lt;1,IF($C114&lt;=CC$4,1/$E$41,0),0)</f>
        <v>0.25</v>
      </c>
      <c r="CD114" s="34">
        <f>IF(SUM($I114:CC114)&lt;1,IF($C114&lt;=CD$4,1/$E$41,0),0)</f>
        <v>0.25</v>
      </c>
      <c r="CE114" s="34">
        <f>IF(SUM($I114:CD114)&lt;1,IF($C114&lt;=CE$4,1/$E$41,0),0)</f>
        <v>0</v>
      </c>
      <c r="CF114" s="34">
        <f>IF(SUM($I114:CE114)&lt;1,IF($C114&lt;=CF$4,1/$E$41,0),0)</f>
        <v>0</v>
      </c>
      <c r="CG114" s="34">
        <f>IF(SUM($I114:CF114)&lt;1,IF($C114&lt;=CG$4,1/$E$41,0),0)</f>
        <v>0</v>
      </c>
      <c r="CH114" s="34">
        <f>IF(SUM($I114:CG114)&lt;1,IF($C114&lt;=CH$4,1/$E$41,0),0)</f>
        <v>0</v>
      </c>
      <c r="CI114" s="34">
        <f>IF(SUM($I114:CH114)&lt;1,IF($C114&lt;=CI$4,1/$E$41,0),0)</f>
        <v>0</v>
      </c>
      <c r="CJ114" s="34">
        <f>IF(SUM($I114:CI114)&lt;1,IF($C114&lt;=CJ$4,1/$E$41,0),0)</f>
        <v>0</v>
      </c>
      <c r="CK114" s="34">
        <f>IF(SUM($I114:CJ114)&lt;1,IF($C114&lt;=CK$4,1/$E$41,0),0)</f>
        <v>0</v>
      </c>
      <c r="CL114" s="34">
        <f>IF(SUM($I114:CK114)&lt;1,IF($C114&lt;=CL$4,1/$E$41,0),0)</f>
        <v>0</v>
      </c>
      <c r="CM114" s="34">
        <f>IF(SUM($I114:CL114)&lt;1,IF($C114&lt;=CM$4,1/$E$41,0),0)</f>
        <v>0</v>
      </c>
      <c r="CN114" s="34">
        <f>IF(SUM($I114:CM114)&lt;1,IF($C114&lt;=CN$4,1/$E$41,0),0)</f>
        <v>0</v>
      </c>
      <c r="CO114" s="34">
        <f>IF(SUM($I114:CN114)&lt;1,IF($C114&lt;=CO$4,1/$E$41,0),0)</f>
        <v>0</v>
      </c>
      <c r="CP114" s="34">
        <f>IF(SUM($I114:CO114)&lt;1,IF($C114&lt;=CP$4,1/$E$41,0),0)</f>
        <v>0</v>
      </c>
      <c r="CQ114" s="34">
        <f>IF(SUM($I114:CP114)&lt;1,IF($C114&lt;=CQ$4,1/$E$41,0),0)</f>
        <v>0</v>
      </c>
      <c r="CR114" s="34">
        <f>IF(SUM($I114:CQ114)&lt;1,IF($C114&lt;=CR$4,1/$E$41,0),0)</f>
        <v>0</v>
      </c>
      <c r="CS114" s="34">
        <f>IF(SUM($I114:CR114)&lt;1,IF($C114&lt;=CS$4,1/$E$41,0),0)</f>
        <v>0</v>
      </c>
      <c r="CT114" s="34">
        <f>IF(SUM($I114:CS114)&lt;1,IF($C114&lt;=CT$4,1/$E$41,0),0)</f>
        <v>0</v>
      </c>
      <c r="CU114" s="34">
        <f>IF(SUM($I114:CT114)&lt;1,IF($C114&lt;=CU$4,1/$E$41,0),0)</f>
        <v>0</v>
      </c>
      <c r="CV114" s="34">
        <f>IF(SUM($I114:CU114)&lt;1,IF($C114&lt;=CV$4,1/$E$41,0),0)</f>
        <v>0</v>
      </c>
      <c r="CW114" s="34">
        <f>IF(SUM($I114:CV114)&lt;1,IF($C114&lt;=CW$4,1/$E$41,0),0)</f>
        <v>0</v>
      </c>
      <c r="CX114" s="34">
        <f>IF(SUM($I114:CW114)&lt;1,IF($C114&lt;=CX$4,1/$E$41,0),0)</f>
        <v>0</v>
      </c>
      <c r="CY114" s="34">
        <f>IF(SUM($I114:CX114)&lt;1,IF($C114&lt;=CY$4,1/$E$41,0),0)</f>
        <v>0</v>
      </c>
      <c r="CZ114" s="34">
        <f>IF(SUM($I114:CY114)&lt;1,IF($C114&lt;=CZ$4,1/$E$41,0),0)</f>
        <v>0</v>
      </c>
      <c r="DA114" s="34">
        <f>IF(SUM($I114:CZ114)&lt;1,IF($C114&lt;=DA$4,1/$E$41,0),0)</f>
        <v>0</v>
      </c>
      <c r="DB114" s="34">
        <f>IF(SUM($I114:DA114)&lt;1,IF($C114&lt;=DB$4,1/$E$41,0),0)</f>
        <v>0</v>
      </c>
      <c r="DC114" s="34">
        <f>IF(SUM($I114:DB114)&lt;1,IF($C114&lt;=DC$4,1/$E$41,0),0)</f>
        <v>0</v>
      </c>
      <c r="DD114" s="34">
        <f>IF(SUM($I114:DC114)&lt;1,IF($C114&lt;=DD$4,1/$E$41,0),0)</f>
        <v>0</v>
      </c>
      <c r="DE114" s="34">
        <f>IF(SUM($I114:DD114)&lt;1,IF($C114&lt;=DE$4,1/$E$41,0),0)</f>
        <v>0</v>
      </c>
      <c r="DF114" s="34">
        <f>IF(SUM($I114:DE114)&lt;1,IF($C114&lt;=DF$4,1/$E$41,0),0)</f>
        <v>0</v>
      </c>
      <c r="DG114" s="34">
        <f>IF(SUM($I114:DF114)&lt;1,IF($C114&lt;=DG$4,1/$E$41,0),0)</f>
        <v>0</v>
      </c>
      <c r="DH114" s="34">
        <f>IF(SUM($I114:DG114)&lt;1,IF($C114&lt;=DH$4,1/$E$41,0),0)</f>
        <v>0</v>
      </c>
      <c r="DI114" s="34">
        <f>IF(SUM($I114:DH114)&lt;1,IF($C114&lt;=DI$4,1/$E$41,0),0)</f>
        <v>0</v>
      </c>
      <c r="DJ114" s="34">
        <f>IF(SUM($I114:DI114)&lt;1,IF($C114&lt;=DJ$4,1/$E$41,0),0)</f>
        <v>0</v>
      </c>
      <c r="DK114" s="34">
        <f>IF(SUM($I114:DJ114)&lt;1,IF($C114&lt;=DK$4,1/$E$41,0),0)</f>
        <v>0</v>
      </c>
      <c r="DL114" s="34">
        <f>IF(SUM($I114:DK114)&lt;1,IF($C114&lt;=DL$4,1/$E$41,0),0)</f>
        <v>0</v>
      </c>
      <c r="DM114" s="34">
        <f>IF(SUM($I114:DL114)&lt;1,IF($C114&lt;=DM$4,1/$E$41,0),0)</f>
        <v>0</v>
      </c>
    </row>
    <row r="115" spans="3:117" outlineLevel="1" x14ac:dyDescent="0.15">
      <c r="C115" s="50">
        <f t="shared" si="51"/>
        <v>71</v>
      </c>
      <c r="D115" s="5" t="s">
        <v>18</v>
      </c>
      <c r="E115" s="19">
        <f t="shared" si="50"/>
        <v>0</v>
      </c>
      <c r="I115" s="9"/>
      <c r="J115" s="34">
        <f>IF(SUM($I115:I115)&lt;1,IF($C115&lt;=J$4,1/$E$41,0),0)</f>
        <v>0</v>
      </c>
      <c r="K115" s="34">
        <f>IF(SUM($I115:J115)&lt;1,IF($C115&lt;=K$4,1/$E$41,0),0)</f>
        <v>0</v>
      </c>
      <c r="L115" s="34">
        <f>IF(SUM($I115:K115)&lt;1,IF($C115&lt;=L$4,1/$E$41,0),0)</f>
        <v>0</v>
      </c>
      <c r="M115" s="34">
        <f>IF(SUM($I115:L115)&lt;1,IF($C115&lt;=M$4,1/$E$41,0),0)</f>
        <v>0</v>
      </c>
      <c r="N115" s="34">
        <f>IF(SUM($I115:M115)&lt;1,IF($C115&lt;=N$4,1/$E$41,0),0)</f>
        <v>0</v>
      </c>
      <c r="O115" s="34">
        <f>IF(SUM($I115:N115)&lt;1,IF($C115&lt;=O$4,1/$E$41,0),0)</f>
        <v>0</v>
      </c>
      <c r="P115" s="34">
        <f>IF(SUM($I115:O115)&lt;1,IF($C115&lt;=P$4,1/$E$41,0),0)</f>
        <v>0</v>
      </c>
      <c r="Q115" s="34">
        <f>IF(SUM($I115:P115)&lt;1,IF($C115&lt;=Q$4,1/$E$41,0),0)</f>
        <v>0</v>
      </c>
      <c r="R115" s="34">
        <f>IF(SUM($I115:Q115)&lt;1,IF($C115&lt;=R$4,1/$E$41,0),0)</f>
        <v>0</v>
      </c>
      <c r="S115" s="34">
        <f>IF(SUM($I115:R115)&lt;1,IF($C115&lt;=S$4,1/$E$41,0),0)</f>
        <v>0</v>
      </c>
      <c r="T115" s="34">
        <f>IF(SUM($I115:S115)&lt;1,IF($C115&lt;=T$4,1/$E$41,0),0)</f>
        <v>0</v>
      </c>
      <c r="U115" s="34">
        <f>IF(SUM($I115:T115)&lt;1,IF($C115&lt;=U$4,1/$E$41,0),0)</f>
        <v>0</v>
      </c>
      <c r="V115" s="34">
        <f>IF(SUM($I115:U115)&lt;1,IF($C115&lt;=V$4,1/$E$41,0),0)</f>
        <v>0</v>
      </c>
      <c r="W115" s="34">
        <f>IF(SUM($I115:V115)&lt;1,IF($C115&lt;=W$4,1/$E$41,0),0)</f>
        <v>0</v>
      </c>
      <c r="X115" s="34">
        <f>IF(SUM($I115:W115)&lt;1,IF($C115&lt;=X$4,1/$E$41,0),0)</f>
        <v>0</v>
      </c>
      <c r="Y115" s="34">
        <f>IF(SUM($I115:X115)&lt;1,IF($C115&lt;=Y$4,1/$E$41,0),0)</f>
        <v>0</v>
      </c>
      <c r="Z115" s="34">
        <f>IF(SUM($I115:Y115)&lt;1,IF($C115&lt;=Z$4,1/$E$41,0),0)</f>
        <v>0</v>
      </c>
      <c r="AA115" s="34">
        <f>IF(SUM($I115:Z115)&lt;1,IF($C115&lt;=AA$4,1/$E$41,0),0)</f>
        <v>0</v>
      </c>
      <c r="AB115" s="34">
        <f>IF(SUM($I115:AA115)&lt;1,IF($C115&lt;=AB$4,1/$E$41,0),0)</f>
        <v>0</v>
      </c>
      <c r="AC115" s="34">
        <f>IF(SUM($I115:AB115)&lt;1,IF($C115&lt;=AC$4,1/$E$41,0),0)</f>
        <v>0</v>
      </c>
      <c r="AD115" s="34">
        <f>IF(SUM($I115:AC115)&lt;1,IF($C115&lt;=AD$4,1/$E$41,0),0)</f>
        <v>0</v>
      </c>
      <c r="AE115" s="34">
        <f>IF(SUM($I115:AD115)&lt;1,IF($C115&lt;=AE$4,1/$E$41,0),0)</f>
        <v>0</v>
      </c>
      <c r="AF115" s="34">
        <f>IF(SUM($I115:AE115)&lt;1,IF($C115&lt;=AF$4,1/$E$41,0),0)</f>
        <v>0</v>
      </c>
      <c r="AG115" s="34">
        <f>IF(SUM($I115:AF115)&lt;1,IF($C115&lt;=AG$4,1/$E$41,0),0)</f>
        <v>0</v>
      </c>
      <c r="AH115" s="34">
        <f>IF(SUM($I115:AG115)&lt;1,IF($C115&lt;=AH$4,1/$E$41,0),0)</f>
        <v>0</v>
      </c>
      <c r="AI115" s="34">
        <f>IF(SUM($I115:AH115)&lt;1,IF($C115&lt;=AI$4,1/$E$41,0),0)</f>
        <v>0</v>
      </c>
      <c r="AJ115" s="34">
        <f>IF(SUM($I115:AI115)&lt;1,IF($C115&lt;=AJ$4,1/$E$41,0),0)</f>
        <v>0</v>
      </c>
      <c r="AK115" s="34">
        <f>IF(SUM($I115:AJ115)&lt;1,IF($C115&lt;=AK$4,1/$E$41,0),0)</f>
        <v>0</v>
      </c>
      <c r="AL115" s="34">
        <f>IF(SUM($I115:AK115)&lt;1,IF($C115&lt;=AL$4,1/$E$41,0),0)</f>
        <v>0</v>
      </c>
      <c r="AM115" s="34">
        <f>IF(SUM($I115:AL115)&lt;1,IF($C115&lt;=AM$4,1/$E$41,0),0)</f>
        <v>0</v>
      </c>
      <c r="AN115" s="34">
        <f>IF(SUM($I115:AM115)&lt;1,IF($C115&lt;=AN$4,1/$E$41,0),0)</f>
        <v>0</v>
      </c>
      <c r="AO115" s="34">
        <f>IF(SUM($I115:AN115)&lt;1,IF($C115&lt;=AO$4,1/$E$41,0),0)</f>
        <v>0</v>
      </c>
      <c r="AP115" s="34">
        <f>IF(SUM($I115:AO115)&lt;1,IF($C115&lt;=AP$4,1/$E$41,0),0)</f>
        <v>0</v>
      </c>
      <c r="AQ115" s="34">
        <f>IF(SUM($I115:AP115)&lt;1,IF($C115&lt;=AQ$4,1/$E$41,0),0)</f>
        <v>0</v>
      </c>
      <c r="AR115" s="34">
        <f>IF(SUM($I115:AQ115)&lt;1,IF($C115&lt;=AR$4,1/$E$41,0),0)</f>
        <v>0</v>
      </c>
      <c r="AS115" s="34">
        <f>IF(SUM($I115:AR115)&lt;1,IF($C115&lt;=AS$4,1/$E$41,0),0)</f>
        <v>0</v>
      </c>
      <c r="AT115" s="34">
        <f>IF(SUM($I115:AS115)&lt;1,IF($C115&lt;=AT$4,1/$E$41,0),0)</f>
        <v>0</v>
      </c>
      <c r="AU115" s="34">
        <f>IF(SUM($I115:AT115)&lt;1,IF($C115&lt;=AU$4,1/$E$41,0),0)</f>
        <v>0</v>
      </c>
      <c r="AV115" s="34">
        <f>IF(SUM($I115:AU115)&lt;1,IF($C115&lt;=AV$4,1/$E$41,0),0)</f>
        <v>0</v>
      </c>
      <c r="AW115" s="34">
        <f>IF(SUM($I115:AV115)&lt;1,IF($C115&lt;=AW$4,1/$E$41,0),0)</f>
        <v>0</v>
      </c>
      <c r="AX115" s="34">
        <f>IF(SUM($I115:AW115)&lt;1,IF($C115&lt;=AX$4,1/$E$41,0),0)</f>
        <v>0</v>
      </c>
      <c r="AY115" s="34">
        <f>IF(SUM($I115:AX115)&lt;1,IF($C115&lt;=AY$4,1/$E$41,0),0)</f>
        <v>0</v>
      </c>
      <c r="AZ115" s="34">
        <f>IF(SUM($I115:AY115)&lt;1,IF($C115&lt;=AZ$4,1/$E$41,0),0)</f>
        <v>0</v>
      </c>
      <c r="BA115" s="34">
        <f>IF(SUM($I115:AZ115)&lt;1,IF($C115&lt;=BA$4,1/$E$41,0),0)</f>
        <v>0</v>
      </c>
      <c r="BB115" s="34">
        <f>IF(SUM($I115:BA115)&lt;1,IF($C115&lt;=BB$4,1/$E$41,0),0)</f>
        <v>0</v>
      </c>
      <c r="BC115" s="34">
        <f>IF(SUM($I115:BB115)&lt;1,IF($C115&lt;=BC$4,1/$E$41,0),0)</f>
        <v>0</v>
      </c>
      <c r="BD115" s="34">
        <f>IF(SUM($I115:BC115)&lt;1,IF($C115&lt;=BD$4,1/$E$41,0),0)</f>
        <v>0</v>
      </c>
      <c r="BE115" s="34">
        <f>IF(SUM($I115:BD115)&lt;1,IF($C115&lt;=BE$4,1/$E$41,0),0)</f>
        <v>0</v>
      </c>
      <c r="BF115" s="34">
        <f>IF(SUM($I115:BE115)&lt;1,IF($C115&lt;=BF$4,1/$E$41,0),0)</f>
        <v>0</v>
      </c>
      <c r="BG115" s="34">
        <f>IF(SUM($I115:BF115)&lt;1,IF($C115&lt;=BG$4,1/$E$41,0),0)</f>
        <v>0</v>
      </c>
      <c r="BH115" s="34">
        <f>IF(SUM($I115:BG115)&lt;1,IF($C115&lt;=BH$4,1/$E$41,0),0)</f>
        <v>0</v>
      </c>
      <c r="BI115" s="34">
        <f>IF(SUM($I115:BH115)&lt;1,IF($C115&lt;=BI$4,1/$E$41,0),0)</f>
        <v>0</v>
      </c>
      <c r="BJ115" s="34">
        <f>IF(SUM($I115:BI115)&lt;1,IF($C115&lt;=BJ$4,1/$E$41,0),0)</f>
        <v>0</v>
      </c>
      <c r="BK115" s="34">
        <f>IF(SUM($I115:BJ115)&lt;1,IF($C115&lt;=BK$4,1/$E$41,0),0)</f>
        <v>0</v>
      </c>
      <c r="BL115" s="34">
        <f>IF(SUM($I115:BK115)&lt;1,IF($C115&lt;=BL$4,1/$E$41,0),0)</f>
        <v>0</v>
      </c>
      <c r="BM115" s="34">
        <f>IF(SUM($I115:BL115)&lt;1,IF($C115&lt;=BM$4,1/$E$41,0),0)</f>
        <v>0</v>
      </c>
      <c r="BN115" s="34">
        <f>IF(SUM($I115:BM115)&lt;1,IF($C115&lt;=BN$4,1/$E$41,0),0)</f>
        <v>0</v>
      </c>
      <c r="BO115" s="34">
        <f>IF(SUM($I115:BN115)&lt;1,IF($C115&lt;=BO$4,1/$E$41,0),0)</f>
        <v>0</v>
      </c>
      <c r="BP115" s="34">
        <f>IF(SUM($I115:BO115)&lt;1,IF($C115&lt;=BP$4,1/$E$41,0),0)</f>
        <v>0</v>
      </c>
      <c r="BQ115" s="34">
        <f>IF(SUM($I115:BP115)&lt;1,IF($C115&lt;=BQ$4,1/$E$41,0),0)</f>
        <v>0</v>
      </c>
      <c r="BR115" s="34">
        <f>IF(SUM($I115:BQ115)&lt;1,IF($C115&lt;=BR$4,1/$E$41,0),0)</f>
        <v>0</v>
      </c>
      <c r="BS115" s="34">
        <f>IF(SUM($I115:BR115)&lt;1,IF($C115&lt;=BS$4,1/$E$41,0),0)</f>
        <v>0</v>
      </c>
      <c r="BT115" s="34">
        <f>IF(SUM($I115:BS115)&lt;1,IF($C115&lt;=BT$4,1/$E$41,0),0)</f>
        <v>0</v>
      </c>
      <c r="BU115" s="34">
        <f>IF(SUM($I115:BT115)&lt;1,IF($C115&lt;=BU$4,1/$E$41,0),0)</f>
        <v>0</v>
      </c>
      <c r="BV115" s="34">
        <f>IF(SUM($I115:BU115)&lt;1,IF($C115&lt;=BV$4,1/$E$41,0),0)</f>
        <v>0</v>
      </c>
      <c r="BW115" s="34">
        <f>IF(SUM($I115:BV115)&lt;1,IF($C115&lt;=BW$4,1/$E$41,0),0)</f>
        <v>0</v>
      </c>
      <c r="BX115" s="34">
        <f>IF(SUM($I115:BW115)&lt;1,IF($C115&lt;=BX$4,1/$E$41,0),0)</f>
        <v>0</v>
      </c>
      <c r="BY115" s="34">
        <f>IF(SUM($I115:BX115)&lt;1,IF($C115&lt;=BY$4,1/$E$41,0),0)</f>
        <v>0</v>
      </c>
      <c r="BZ115" s="34">
        <f>IF(SUM($I115:BY115)&lt;1,IF($C115&lt;=BZ$4,1/$E$41,0),0)</f>
        <v>0</v>
      </c>
      <c r="CA115" s="34">
        <f>IF(SUM($I115:BZ115)&lt;1,IF($C115&lt;=CA$4,1/$E$41,0),0)</f>
        <v>0</v>
      </c>
      <c r="CB115" s="34">
        <f>IF(SUM($I115:CA115)&lt;1,IF($C115&lt;=CB$4,1/$E$41,0),0)</f>
        <v>0.25</v>
      </c>
      <c r="CC115" s="34">
        <f>IF(SUM($I115:CB115)&lt;1,IF($C115&lt;=CC$4,1/$E$41,0),0)</f>
        <v>0.25</v>
      </c>
      <c r="CD115" s="34">
        <f>IF(SUM($I115:CC115)&lt;1,IF($C115&lt;=CD$4,1/$E$41,0),0)</f>
        <v>0.25</v>
      </c>
      <c r="CE115" s="34">
        <f>IF(SUM($I115:CD115)&lt;1,IF($C115&lt;=CE$4,1/$E$41,0),0)</f>
        <v>0.25</v>
      </c>
      <c r="CF115" s="34">
        <f>IF(SUM($I115:CE115)&lt;1,IF($C115&lt;=CF$4,1/$E$41,0),0)</f>
        <v>0</v>
      </c>
      <c r="CG115" s="34">
        <f>IF(SUM($I115:CF115)&lt;1,IF($C115&lt;=CG$4,1/$E$41,0),0)</f>
        <v>0</v>
      </c>
      <c r="CH115" s="34">
        <f>IF(SUM($I115:CG115)&lt;1,IF($C115&lt;=CH$4,1/$E$41,0),0)</f>
        <v>0</v>
      </c>
      <c r="CI115" s="34">
        <f>IF(SUM($I115:CH115)&lt;1,IF($C115&lt;=CI$4,1/$E$41,0),0)</f>
        <v>0</v>
      </c>
      <c r="CJ115" s="34">
        <f>IF(SUM($I115:CI115)&lt;1,IF($C115&lt;=CJ$4,1/$E$41,0),0)</f>
        <v>0</v>
      </c>
      <c r="CK115" s="34">
        <f>IF(SUM($I115:CJ115)&lt;1,IF($C115&lt;=CK$4,1/$E$41,0),0)</f>
        <v>0</v>
      </c>
      <c r="CL115" s="34">
        <f>IF(SUM($I115:CK115)&lt;1,IF($C115&lt;=CL$4,1/$E$41,0),0)</f>
        <v>0</v>
      </c>
      <c r="CM115" s="34">
        <f>IF(SUM($I115:CL115)&lt;1,IF($C115&lt;=CM$4,1/$E$41,0),0)</f>
        <v>0</v>
      </c>
      <c r="CN115" s="34">
        <f>IF(SUM($I115:CM115)&lt;1,IF($C115&lt;=CN$4,1/$E$41,0),0)</f>
        <v>0</v>
      </c>
      <c r="CO115" s="34">
        <f>IF(SUM($I115:CN115)&lt;1,IF($C115&lt;=CO$4,1/$E$41,0),0)</f>
        <v>0</v>
      </c>
      <c r="CP115" s="34">
        <f>IF(SUM($I115:CO115)&lt;1,IF($C115&lt;=CP$4,1/$E$41,0),0)</f>
        <v>0</v>
      </c>
      <c r="CQ115" s="34">
        <f>IF(SUM($I115:CP115)&lt;1,IF($C115&lt;=CQ$4,1/$E$41,0),0)</f>
        <v>0</v>
      </c>
      <c r="CR115" s="34">
        <f>IF(SUM($I115:CQ115)&lt;1,IF($C115&lt;=CR$4,1/$E$41,0),0)</f>
        <v>0</v>
      </c>
      <c r="CS115" s="34">
        <f>IF(SUM($I115:CR115)&lt;1,IF($C115&lt;=CS$4,1/$E$41,0),0)</f>
        <v>0</v>
      </c>
      <c r="CT115" s="34">
        <f>IF(SUM($I115:CS115)&lt;1,IF($C115&lt;=CT$4,1/$E$41,0),0)</f>
        <v>0</v>
      </c>
      <c r="CU115" s="34">
        <f>IF(SUM($I115:CT115)&lt;1,IF($C115&lt;=CU$4,1/$E$41,0),0)</f>
        <v>0</v>
      </c>
      <c r="CV115" s="34">
        <f>IF(SUM($I115:CU115)&lt;1,IF($C115&lt;=CV$4,1/$E$41,0),0)</f>
        <v>0</v>
      </c>
      <c r="CW115" s="34">
        <f>IF(SUM($I115:CV115)&lt;1,IF($C115&lt;=CW$4,1/$E$41,0),0)</f>
        <v>0</v>
      </c>
      <c r="CX115" s="34">
        <f>IF(SUM($I115:CW115)&lt;1,IF($C115&lt;=CX$4,1/$E$41,0),0)</f>
        <v>0</v>
      </c>
      <c r="CY115" s="34">
        <f>IF(SUM($I115:CX115)&lt;1,IF($C115&lt;=CY$4,1/$E$41,0),0)</f>
        <v>0</v>
      </c>
      <c r="CZ115" s="34">
        <f>IF(SUM($I115:CY115)&lt;1,IF($C115&lt;=CZ$4,1/$E$41,0),0)</f>
        <v>0</v>
      </c>
      <c r="DA115" s="34">
        <f>IF(SUM($I115:CZ115)&lt;1,IF($C115&lt;=DA$4,1/$E$41,0),0)</f>
        <v>0</v>
      </c>
      <c r="DB115" s="34">
        <f>IF(SUM($I115:DA115)&lt;1,IF($C115&lt;=DB$4,1/$E$41,0),0)</f>
        <v>0</v>
      </c>
      <c r="DC115" s="34">
        <f>IF(SUM($I115:DB115)&lt;1,IF($C115&lt;=DC$4,1/$E$41,0),0)</f>
        <v>0</v>
      </c>
      <c r="DD115" s="34">
        <f>IF(SUM($I115:DC115)&lt;1,IF($C115&lt;=DD$4,1/$E$41,0),0)</f>
        <v>0</v>
      </c>
      <c r="DE115" s="34">
        <f>IF(SUM($I115:DD115)&lt;1,IF($C115&lt;=DE$4,1/$E$41,0),0)</f>
        <v>0</v>
      </c>
      <c r="DF115" s="34">
        <f>IF(SUM($I115:DE115)&lt;1,IF($C115&lt;=DF$4,1/$E$41,0),0)</f>
        <v>0</v>
      </c>
      <c r="DG115" s="34">
        <f>IF(SUM($I115:DF115)&lt;1,IF($C115&lt;=DG$4,1/$E$41,0),0)</f>
        <v>0</v>
      </c>
      <c r="DH115" s="34">
        <f>IF(SUM($I115:DG115)&lt;1,IF($C115&lt;=DH$4,1/$E$41,0),0)</f>
        <v>0</v>
      </c>
      <c r="DI115" s="34">
        <f>IF(SUM($I115:DH115)&lt;1,IF($C115&lt;=DI$4,1/$E$41,0),0)</f>
        <v>0</v>
      </c>
      <c r="DJ115" s="34">
        <f>IF(SUM($I115:DI115)&lt;1,IF($C115&lt;=DJ$4,1/$E$41,0),0)</f>
        <v>0</v>
      </c>
      <c r="DK115" s="34">
        <f>IF(SUM($I115:DJ115)&lt;1,IF($C115&lt;=DK$4,1/$E$41,0),0)</f>
        <v>0</v>
      </c>
      <c r="DL115" s="34">
        <f>IF(SUM($I115:DK115)&lt;1,IF($C115&lt;=DL$4,1/$E$41,0),0)</f>
        <v>0</v>
      </c>
      <c r="DM115" s="34">
        <f>IF(SUM($I115:DL115)&lt;1,IF($C115&lt;=DM$4,1/$E$41,0),0)</f>
        <v>0</v>
      </c>
    </row>
    <row r="116" spans="3:117" outlineLevel="1" x14ac:dyDescent="0.15">
      <c r="C116" s="50">
        <f t="shared" si="51"/>
        <v>72</v>
      </c>
      <c r="D116" s="5" t="s">
        <v>18</v>
      </c>
      <c r="E116" s="19">
        <f t="shared" si="50"/>
        <v>0</v>
      </c>
      <c r="I116" s="9"/>
      <c r="J116" s="34">
        <f>IF(SUM($I116:I116)&lt;1,IF($C116&lt;=J$4,1/$E$41,0),0)</f>
        <v>0</v>
      </c>
      <c r="K116" s="34">
        <f>IF(SUM($I116:J116)&lt;1,IF($C116&lt;=K$4,1/$E$41,0),0)</f>
        <v>0</v>
      </c>
      <c r="L116" s="34">
        <f>IF(SUM($I116:K116)&lt;1,IF($C116&lt;=L$4,1/$E$41,0),0)</f>
        <v>0</v>
      </c>
      <c r="M116" s="34">
        <f>IF(SUM($I116:L116)&lt;1,IF($C116&lt;=M$4,1/$E$41,0),0)</f>
        <v>0</v>
      </c>
      <c r="N116" s="34">
        <f>IF(SUM($I116:M116)&lt;1,IF($C116&lt;=N$4,1/$E$41,0),0)</f>
        <v>0</v>
      </c>
      <c r="O116" s="34">
        <f>IF(SUM($I116:N116)&lt;1,IF($C116&lt;=O$4,1/$E$41,0),0)</f>
        <v>0</v>
      </c>
      <c r="P116" s="34">
        <f>IF(SUM($I116:O116)&lt;1,IF($C116&lt;=P$4,1/$E$41,0),0)</f>
        <v>0</v>
      </c>
      <c r="Q116" s="34">
        <f>IF(SUM($I116:P116)&lt;1,IF($C116&lt;=Q$4,1/$E$41,0),0)</f>
        <v>0</v>
      </c>
      <c r="R116" s="34">
        <f>IF(SUM($I116:Q116)&lt;1,IF($C116&lt;=R$4,1/$E$41,0),0)</f>
        <v>0</v>
      </c>
      <c r="S116" s="34">
        <f>IF(SUM($I116:R116)&lt;1,IF($C116&lt;=S$4,1/$E$41,0),0)</f>
        <v>0</v>
      </c>
      <c r="T116" s="34">
        <f>IF(SUM($I116:S116)&lt;1,IF($C116&lt;=T$4,1/$E$41,0),0)</f>
        <v>0</v>
      </c>
      <c r="U116" s="34">
        <f>IF(SUM($I116:T116)&lt;1,IF($C116&lt;=U$4,1/$E$41,0),0)</f>
        <v>0</v>
      </c>
      <c r="V116" s="34">
        <f>IF(SUM($I116:U116)&lt;1,IF($C116&lt;=V$4,1/$E$41,0),0)</f>
        <v>0</v>
      </c>
      <c r="W116" s="34">
        <f>IF(SUM($I116:V116)&lt;1,IF($C116&lt;=W$4,1/$E$41,0),0)</f>
        <v>0</v>
      </c>
      <c r="X116" s="34">
        <f>IF(SUM($I116:W116)&lt;1,IF($C116&lt;=X$4,1/$E$41,0),0)</f>
        <v>0</v>
      </c>
      <c r="Y116" s="34">
        <f>IF(SUM($I116:X116)&lt;1,IF($C116&lt;=Y$4,1/$E$41,0),0)</f>
        <v>0</v>
      </c>
      <c r="Z116" s="34">
        <f>IF(SUM($I116:Y116)&lt;1,IF($C116&lt;=Z$4,1/$E$41,0),0)</f>
        <v>0</v>
      </c>
      <c r="AA116" s="34">
        <f>IF(SUM($I116:Z116)&lt;1,IF($C116&lt;=AA$4,1/$E$41,0),0)</f>
        <v>0</v>
      </c>
      <c r="AB116" s="34">
        <f>IF(SUM($I116:AA116)&lt;1,IF($C116&lt;=AB$4,1/$E$41,0),0)</f>
        <v>0</v>
      </c>
      <c r="AC116" s="34">
        <f>IF(SUM($I116:AB116)&lt;1,IF($C116&lt;=AC$4,1/$E$41,0),0)</f>
        <v>0</v>
      </c>
      <c r="AD116" s="34">
        <f>IF(SUM($I116:AC116)&lt;1,IF($C116&lt;=AD$4,1/$E$41,0),0)</f>
        <v>0</v>
      </c>
      <c r="AE116" s="34">
        <f>IF(SUM($I116:AD116)&lt;1,IF($C116&lt;=AE$4,1/$E$41,0),0)</f>
        <v>0</v>
      </c>
      <c r="AF116" s="34">
        <f>IF(SUM($I116:AE116)&lt;1,IF($C116&lt;=AF$4,1/$E$41,0),0)</f>
        <v>0</v>
      </c>
      <c r="AG116" s="34">
        <f>IF(SUM($I116:AF116)&lt;1,IF($C116&lt;=AG$4,1/$E$41,0),0)</f>
        <v>0</v>
      </c>
      <c r="AH116" s="34">
        <f>IF(SUM($I116:AG116)&lt;1,IF($C116&lt;=AH$4,1/$E$41,0),0)</f>
        <v>0</v>
      </c>
      <c r="AI116" s="34">
        <f>IF(SUM($I116:AH116)&lt;1,IF($C116&lt;=AI$4,1/$E$41,0),0)</f>
        <v>0</v>
      </c>
      <c r="AJ116" s="34">
        <f>IF(SUM($I116:AI116)&lt;1,IF($C116&lt;=AJ$4,1/$E$41,0),0)</f>
        <v>0</v>
      </c>
      <c r="AK116" s="34">
        <f>IF(SUM($I116:AJ116)&lt;1,IF($C116&lt;=AK$4,1/$E$41,0),0)</f>
        <v>0</v>
      </c>
      <c r="AL116" s="34">
        <f>IF(SUM($I116:AK116)&lt;1,IF($C116&lt;=AL$4,1/$E$41,0),0)</f>
        <v>0</v>
      </c>
      <c r="AM116" s="34">
        <f>IF(SUM($I116:AL116)&lt;1,IF($C116&lt;=AM$4,1/$E$41,0),0)</f>
        <v>0</v>
      </c>
      <c r="AN116" s="34">
        <f>IF(SUM($I116:AM116)&lt;1,IF($C116&lt;=AN$4,1/$E$41,0),0)</f>
        <v>0</v>
      </c>
      <c r="AO116" s="34">
        <f>IF(SUM($I116:AN116)&lt;1,IF($C116&lt;=AO$4,1/$E$41,0),0)</f>
        <v>0</v>
      </c>
      <c r="AP116" s="34">
        <f>IF(SUM($I116:AO116)&lt;1,IF($C116&lt;=AP$4,1/$E$41,0),0)</f>
        <v>0</v>
      </c>
      <c r="AQ116" s="34">
        <f>IF(SUM($I116:AP116)&lt;1,IF($C116&lt;=AQ$4,1/$E$41,0),0)</f>
        <v>0</v>
      </c>
      <c r="AR116" s="34">
        <f>IF(SUM($I116:AQ116)&lt;1,IF($C116&lt;=AR$4,1/$E$41,0),0)</f>
        <v>0</v>
      </c>
      <c r="AS116" s="34">
        <f>IF(SUM($I116:AR116)&lt;1,IF($C116&lt;=AS$4,1/$E$41,0),0)</f>
        <v>0</v>
      </c>
      <c r="AT116" s="34">
        <f>IF(SUM($I116:AS116)&lt;1,IF($C116&lt;=AT$4,1/$E$41,0),0)</f>
        <v>0</v>
      </c>
      <c r="AU116" s="34">
        <f>IF(SUM($I116:AT116)&lt;1,IF($C116&lt;=AU$4,1/$E$41,0),0)</f>
        <v>0</v>
      </c>
      <c r="AV116" s="34">
        <f>IF(SUM($I116:AU116)&lt;1,IF($C116&lt;=AV$4,1/$E$41,0),0)</f>
        <v>0</v>
      </c>
      <c r="AW116" s="34">
        <f>IF(SUM($I116:AV116)&lt;1,IF($C116&lt;=AW$4,1/$E$41,0),0)</f>
        <v>0</v>
      </c>
      <c r="AX116" s="34">
        <f>IF(SUM($I116:AW116)&lt;1,IF($C116&lt;=AX$4,1/$E$41,0),0)</f>
        <v>0</v>
      </c>
      <c r="AY116" s="34">
        <f>IF(SUM($I116:AX116)&lt;1,IF($C116&lt;=AY$4,1/$E$41,0),0)</f>
        <v>0</v>
      </c>
      <c r="AZ116" s="34">
        <f>IF(SUM($I116:AY116)&lt;1,IF($C116&lt;=AZ$4,1/$E$41,0),0)</f>
        <v>0</v>
      </c>
      <c r="BA116" s="34">
        <f>IF(SUM($I116:AZ116)&lt;1,IF($C116&lt;=BA$4,1/$E$41,0),0)</f>
        <v>0</v>
      </c>
      <c r="BB116" s="34">
        <f>IF(SUM($I116:BA116)&lt;1,IF($C116&lt;=BB$4,1/$E$41,0),0)</f>
        <v>0</v>
      </c>
      <c r="BC116" s="34">
        <f>IF(SUM($I116:BB116)&lt;1,IF($C116&lt;=BC$4,1/$E$41,0),0)</f>
        <v>0</v>
      </c>
      <c r="BD116" s="34">
        <f>IF(SUM($I116:BC116)&lt;1,IF($C116&lt;=BD$4,1/$E$41,0),0)</f>
        <v>0</v>
      </c>
      <c r="BE116" s="34">
        <f>IF(SUM($I116:BD116)&lt;1,IF($C116&lt;=BE$4,1/$E$41,0),0)</f>
        <v>0</v>
      </c>
      <c r="BF116" s="34">
        <f>IF(SUM($I116:BE116)&lt;1,IF($C116&lt;=BF$4,1/$E$41,0),0)</f>
        <v>0</v>
      </c>
      <c r="BG116" s="34">
        <f>IF(SUM($I116:BF116)&lt;1,IF($C116&lt;=BG$4,1/$E$41,0),0)</f>
        <v>0</v>
      </c>
      <c r="BH116" s="34">
        <f>IF(SUM($I116:BG116)&lt;1,IF($C116&lt;=BH$4,1/$E$41,0),0)</f>
        <v>0</v>
      </c>
      <c r="BI116" s="34">
        <f>IF(SUM($I116:BH116)&lt;1,IF($C116&lt;=BI$4,1/$E$41,0),0)</f>
        <v>0</v>
      </c>
      <c r="BJ116" s="34">
        <f>IF(SUM($I116:BI116)&lt;1,IF($C116&lt;=BJ$4,1/$E$41,0),0)</f>
        <v>0</v>
      </c>
      <c r="BK116" s="34">
        <f>IF(SUM($I116:BJ116)&lt;1,IF($C116&lt;=BK$4,1/$E$41,0),0)</f>
        <v>0</v>
      </c>
      <c r="BL116" s="34">
        <f>IF(SUM($I116:BK116)&lt;1,IF($C116&lt;=BL$4,1/$E$41,0),0)</f>
        <v>0</v>
      </c>
      <c r="BM116" s="34">
        <f>IF(SUM($I116:BL116)&lt;1,IF($C116&lt;=BM$4,1/$E$41,0),0)</f>
        <v>0</v>
      </c>
      <c r="BN116" s="34">
        <f>IF(SUM($I116:BM116)&lt;1,IF($C116&lt;=BN$4,1/$E$41,0),0)</f>
        <v>0</v>
      </c>
      <c r="BO116" s="34">
        <f>IF(SUM($I116:BN116)&lt;1,IF($C116&lt;=BO$4,1/$E$41,0),0)</f>
        <v>0</v>
      </c>
      <c r="BP116" s="34">
        <f>IF(SUM($I116:BO116)&lt;1,IF($C116&lt;=BP$4,1/$E$41,0),0)</f>
        <v>0</v>
      </c>
      <c r="BQ116" s="34">
        <f>IF(SUM($I116:BP116)&lt;1,IF($C116&lt;=BQ$4,1/$E$41,0),0)</f>
        <v>0</v>
      </c>
      <c r="BR116" s="34">
        <f>IF(SUM($I116:BQ116)&lt;1,IF($C116&lt;=BR$4,1/$E$41,0),0)</f>
        <v>0</v>
      </c>
      <c r="BS116" s="34">
        <f>IF(SUM($I116:BR116)&lt;1,IF($C116&lt;=BS$4,1/$E$41,0),0)</f>
        <v>0</v>
      </c>
      <c r="BT116" s="34">
        <f>IF(SUM($I116:BS116)&lt;1,IF($C116&lt;=BT$4,1/$E$41,0),0)</f>
        <v>0</v>
      </c>
      <c r="BU116" s="34">
        <f>IF(SUM($I116:BT116)&lt;1,IF($C116&lt;=BU$4,1/$E$41,0),0)</f>
        <v>0</v>
      </c>
      <c r="BV116" s="34">
        <f>IF(SUM($I116:BU116)&lt;1,IF($C116&lt;=BV$4,1/$E$41,0),0)</f>
        <v>0</v>
      </c>
      <c r="BW116" s="34">
        <f>IF(SUM($I116:BV116)&lt;1,IF($C116&lt;=BW$4,1/$E$41,0),0)</f>
        <v>0</v>
      </c>
      <c r="BX116" s="34">
        <f>IF(SUM($I116:BW116)&lt;1,IF($C116&lt;=BX$4,1/$E$41,0),0)</f>
        <v>0</v>
      </c>
      <c r="BY116" s="34">
        <f>IF(SUM($I116:BX116)&lt;1,IF($C116&lt;=BY$4,1/$E$41,0),0)</f>
        <v>0</v>
      </c>
      <c r="BZ116" s="34">
        <f>IF(SUM($I116:BY116)&lt;1,IF($C116&lt;=BZ$4,1/$E$41,0),0)</f>
        <v>0</v>
      </c>
      <c r="CA116" s="34">
        <f>IF(SUM($I116:BZ116)&lt;1,IF($C116&lt;=CA$4,1/$E$41,0),0)</f>
        <v>0</v>
      </c>
      <c r="CB116" s="34">
        <f>IF(SUM($I116:CA116)&lt;1,IF($C116&lt;=CB$4,1/$E$41,0),0)</f>
        <v>0</v>
      </c>
      <c r="CC116" s="34">
        <f>IF(SUM($I116:CB116)&lt;1,IF($C116&lt;=CC$4,1/$E$41,0),0)</f>
        <v>0.25</v>
      </c>
      <c r="CD116" s="34">
        <f>IF(SUM($I116:CC116)&lt;1,IF($C116&lt;=CD$4,1/$E$41,0),0)</f>
        <v>0.25</v>
      </c>
      <c r="CE116" s="34">
        <f>IF(SUM($I116:CD116)&lt;1,IF($C116&lt;=CE$4,1/$E$41,0),0)</f>
        <v>0.25</v>
      </c>
      <c r="CF116" s="34">
        <f>IF(SUM($I116:CE116)&lt;1,IF($C116&lt;=CF$4,1/$E$41,0),0)</f>
        <v>0.25</v>
      </c>
      <c r="CG116" s="34">
        <f>IF(SUM($I116:CF116)&lt;1,IF($C116&lt;=CG$4,1/$E$41,0),0)</f>
        <v>0</v>
      </c>
      <c r="CH116" s="34">
        <f>IF(SUM($I116:CG116)&lt;1,IF($C116&lt;=CH$4,1/$E$41,0),0)</f>
        <v>0</v>
      </c>
      <c r="CI116" s="34">
        <f>IF(SUM($I116:CH116)&lt;1,IF($C116&lt;=CI$4,1/$E$41,0),0)</f>
        <v>0</v>
      </c>
      <c r="CJ116" s="34">
        <f>IF(SUM($I116:CI116)&lt;1,IF($C116&lt;=CJ$4,1/$E$41,0),0)</f>
        <v>0</v>
      </c>
      <c r="CK116" s="34">
        <f>IF(SUM($I116:CJ116)&lt;1,IF($C116&lt;=CK$4,1/$E$41,0),0)</f>
        <v>0</v>
      </c>
      <c r="CL116" s="34">
        <f>IF(SUM($I116:CK116)&lt;1,IF($C116&lt;=CL$4,1/$E$41,0),0)</f>
        <v>0</v>
      </c>
      <c r="CM116" s="34">
        <f>IF(SUM($I116:CL116)&lt;1,IF($C116&lt;=CM$4,1/$E$41,0),0)</f>
        <v>0</v>
      </c>
      <c r="CN116" s="34">
        <f>IF(SUM($I116:CM116)&lt;1,IF($C116&lt;=CN$4,1/$E$41,0),0)</f>
        <v>0</v>
      </c>
      <c r="CO116" s="34">
        <f>IF(SUM($I116:CN116)&lt;1,IF($C116&lt;=CO$4,1/$E$41,0),0)</f>
        <v>0</v>
      </c>
      <c r="CP116" s="34">
        <f>IF(SUM($I116:CO116)&lt;1,IF($C116&lt;=CP$4,1/$E$41,0),0)</f>
        <v>0</v>
      </c>
      <c r="CQ116" s="34">
        <f>IF(SUM($I116:CP116)&lt;1,IF($C116&lt;=CQ$4,1/$E$41,0),0)</f>
        <v>0</v>
      </c>
      <c r="CR116" s="34">
        <f>IF(SUM($I116:CQ116)&lt;1,IF($C116&lt;=CR$4,1/$E$41,0),0)</f>
        <v>0</v>
      </c>
      <c r="CS116" s="34">
        <f>IF(SUM($I116:CR116)&lt;1,IF($C116&lt;=CS$4,1/$E$41,0),0)</f>
        <v>0</v>
      </c>
      <c r="CT116" s="34">
        <f>IF(SUM($I116:CS116)&lt;1,IF($C116&lt;=CT$4,1/$E$41,0),0)</f>
        <v>0</v>
      </c>
      <c r="CU116" s="34">
        <f>IF(SUM($I116:CT116)&lt;1,IF($C116&lt;=CU$4,1/$E$41,0),0)</f>
        <v>0</v>
      </c>
      <c r="CV116" s="34">
        <f>IF(SUM($I116:CU116)&lt;1,IF($C116&lt;=CV$4,1/$E$41,0),0)</f>
        <v>0</v>
      </c>
      <c r="CW116" s="34">
        <f>IF(SUM($I116:CV116)&lt;1,IF($C116&lt;=CW$4,1/$E$41,0),0)</f>
        <v>0</v>
      </c>
      <c r="CX116" s="34">
        <f>IF(SUM($I116:CW116)&lt;1,IF($C116&lt;=CX$4,1/$E$41,0),0)</f>
        <v>0</v>
      </c>
      <c r="CY116" s="34">
        <f>IF(SUM($I116:CX116)&lt;1,IF($C116&lt;=CY$4,1/$E$41,0),0)</f>
        <v>0</v>
      </c>
      <c r="CZ116" s="34">
        <f>IF(SUM($I116:CY116)&lt;1,IF($C116&lt;=CZ$4,1/$E$41,0),0)</f>
        <v>0</v>
      </c>
      <c r="DA116" s="34">
        <f>IF(SUM($I116:CZ116)&lt;1,IF($C116&lt;=DA$4,1/$E$41,0),0)</f>
        <v>0</v>
      </c>
      <c r="DB116" s="34">
        <f>IF(SUM($I116:DA116)&lt;1,IF($C116&lt;=DB$4,1/$E$41,0),0)</f>
        <v>0</v>
      </c>
      <c r="DC116" s="34">
        <f>IF(SUM($I116:DB116)&lt;1,IF($C116&lt;=DC$4,1/$E$41,0),0)</f>
        <v>0</v>
      </c>
      <c r="DD116" s="34">
        <f>IF(SUM($I116:DC116)&lt;1,IF($C116&lt;=DD$4,1/$E$41,0),0)</f>
        <v>0</v>
      </c>
      <c r="DE116" s="34">
        <f>IF(SUM($I116:DD116)&lt;1,IF($C116&lt;=DE$4,1/$E$41,0),0)</f>
        <v>0</v>
      </c>
      <c r="DF116" s="34">
        <f>IF(SUM($I116:DE116)&lt;1,IF($C116&lt;=DF$4,1/$E$41,0),0)</f>
        <v>0</v>
      </c>
      <c r="DG116" s="34">
        <f>IF(SUM($I116:DF116)&lt;1,IF($C116&lt;=DG$4,1/$E$41,0),0)</f>
        <v>0</v>
      </c>
      <c r="DH116" s="34">
        <f>IF(SUM($I116:DG116)&lt;1,IF($C116&lt;=DH$4,1/$E$41,0),0)</f>
        <v>0</v>
      </c>
      <c r="DI116" s="34">
        <f>IF(SUM($I116:DH116)&lt;1,IF($C116&lt;=DI$4,1/$E$41,0),0)</f>
        <v>0</v>
      </c>
      <c r="DJ116" s="34">
        <f>IF(SUM($I116:DI116)&lt;1,IF($C116&lt;=DJ$4,1/$E$41,0),0)</f>
        <v>0</v>
      </c>
      <c r="DK116" s="34">
        <f>IF(SUM($I116:DJ116)&lt;1,IF($C116&lt;=DK$4,1/$E$41,0),0)</f>
        <v>0</v>
      </c>
      <c r="DL116" s="34">
        <f>IF(SUM($I116:DK116)&lt;1,IF($C116&lt;=DL$4,1/$E$41,0),0)</f>
        <v>0</v>
      </c>
      <c r="DM116" s="34">
        <f>IF(SUM($I116:DL116)&lt;1,IF($C116&lt;=DM$4,1/$E$41,0),0)</f>
        <v>0</v>
      </c>
    </row>
    <row r="117" spans="3:117" outlineLevel="1" x14ac:dyDescent="0.15">
      <c r="C117" s="50">
        <f t="shared" si="51"/>
        <v>73</v>
      </c>
      <c r="D117" s="5" t="s">
        <v>18</v>
      </c>
      <c r="E117" s="19">
        <f t="shared" si="50"/>
        <v>0</v>
      </c>
      <c r="I117" s="9"/>
      <c r="J117" s="34">
        <f>IF(SUM($I117:I117)&lt;1,IF($C117&lt;=J$4,1/$E$41,0),0)</f>
        <v>0</v>
      </c>
      <c r="K117" s="34">
        <f>IF(SUM($I117:J117)&lt;1,IF($C117&lt;=K$4,1/$E$41,0),0)</f>
        <v>0</v>
      </c>
      <c r="L117" s="34">
        <f>IF(SUM($I117:K117)&lt;1,IF($C117&lt;=L$4,1/$E$41,0),0)</f>
        <v>0</v>
      </c>
      <c r="M117" s="34">
        <f>IF(SUM($I117:L117)&lt;1,IF($C117&lt;=M$4,1/$E$41,0),0)</f>
        <v>0</v>
      </c>
      <c r="N117" s="34">
        <f>IF(SUM($I117:M117)&lt;1,IF($C117&lt;=N$4,1/$E$41,0),0)</f>
        <v>0</v>
      </c>
      <c r="O117" s="34">
        <f>IF(SUM($I117:N117)&lt;1,IF($C117&lt;=O$4,1/$E$41,0),0)</f>
        <v>0</v>
      </c>
      <c r="P117" s="34">
        <f>IF(SUM($I117:O117)&lt;1,IF($C117&lt;=P$4,1/$E$41,0),0)</f>
        <v>0</v>
      </c>
      <c r="Q117" s="34">
        <f>IF(SUM($I117:P117)&lt;1,IF($C117&lt;=Q$4,1/$E$41,0),0)</f>
        <v>0</v>
      </c>
      <c r="R117" s="34">
        <f>IF(SUM($I117:Q117)&lt;1,IF($C117&lt;=R$4,1/$E$41,0),0)</f>
        <v>0</v>
      </c>
      <c r="S117" s="34">
        <f>IF(SUM($I117:R117)&lt;1,IF($C117&lt;=S$4,1/$E$41,0),0)</f>
        <v>0</v>
      </c>
      <c r="T117" s="34">
        <f>IF(SUM($I117:S117)&lt;1,IF($C117&lt;=T$4,1/$E$41,0),0)</f>
        <v>0</v>
      </c>
      <c r="U117" s="34">
        <f>IF(SUM($I117:T117)&lt;1,IF($C117&lt;=U$4,1/$E$41,0),0)</f>
        <v>0</v>
      </c>
      <c r="V117" s="34">
        <f>IF(SUM($I117:U117)&lt;1,IF($C117&lt;=V$4,1/$E$41,0),0)</f>
        <v>0</v>
      </c>
      <c r="W117" s="34">
        <f>IF(SUM($I117:V117)&lt;1,IF($C117&lt;=W$4,1/$E$41,0),0)</f>
        <v>0</v>
      </c>
      <c r="X117" s="34">
        <f>IF(SUM($I117:W117)&lt;1,IF($C117&lt;=X$4,1/$E$41,0),0)</f>
        <v>0</v>
      </c>
      <c r="Y117" s="34">
        <f>IF(SUM($I117:X117)&lt;1,IF($C117&lt;=Y$4,1/$E$41,0),0)</f>
        <v>0</v>
      </c>
      <c r="Z117" s="34">
        <f>IF(SUM($I117:Y117)&lt;1,IF($C117&lt;=Z$4,1/$E$41,0),0)</f>
        <v>0</v>
      </c>
      <c r="AA117" s="34">
        <f>IF(SUM($I117:Z117)&lt;1,IF($C117&lt;=AA$4,1/$E$41,0),0)</f>
        <v>0</v>
      </c>
      <c r="AB117" s="34">
        <f>IF(SUM($I117:AA117)&lt;1,IF($C117&lt;=AB$4,1/$E$41,0),0)</f>
        <v>0</v>
      </c>
      <c r="AC117" s="34">
        <f>IF(SUM($I117:AB117)&lt;1,IF($C117&lt;=AC$4,1/$E$41,0),0)</f>
        <v>0</v>
      </c>
      <c r="AD117" s="34">
        <f>IF(SUM($I117:AC117)&lt;1,IF($C117&lt;=AD$4,1/$E$41,0),0)</f>
        <v>0</v>
      </c>
      <c r="AE117" s="34">
        <f>IF(SUM($I117:AD117)&lt;1,IF($C117&lt;=AE$4,1/$E$41,0),0)</f>
        <v>0</v>
      </c>
      <c r="AF117" s="34">
        <f>IF(SUM($I117:AE117)&lt;1,IF($C117&lt;=AF$4,1/$E$41,0),0)</f>
        <v>0</v>
      </c>
      <c r="AG117" s="34">
        <f>IF(SUM($I117:AF117)&lt;1,IF($C117&lt;=AG$4,1/$E$41,0),0)</f>
        <v>0</v>
      </c>
      <c r="AH117" s="34">
        <f>IF(SUM($I117:AG117)&lt;1,IF($C117&lt;=AH$4,1/$E$41,0),0)</f>
        <v>0</v>
      </c>
      <c r="AI117" s="34">
        <f>IF(SUM($I117:AH117)&lt;1,IF($C117&lt;=AI$4,1/$E$41,0),0)</f>
        <v>0</v>
      </c>
      <c r="AJ117" s="34">
        <f>IF(SUM($I117:AI117)&lt;1,IF($C117&lt;=AJ$4,1/$E$41,0),0)</f>
        <v>0</v>
      </c>
      <c r="AK117" s="34">
        <f>IF(SUM($I117:AJ117)&lt;1,IF($C117&lt;=AK$4,1/$E$41,0),0)</f>
        <v>0</v>
      </c>
      <c r="AL117" s="34">
        <f>IF(SUM($I117:AK117)&lt;1,IF($C117&lt;=AL$4,1/$E$41,0),0)</f>
        <v>0</v>
      </c>
      <c r="AM117" s="34">
        <f>IF(SUM($I117:AL117)&lt;1,IF($C117&lt;=AM$4,1/$E$41,0),0)</f>
        <v>0</v>
      </c>
      <c r="AN117" s="34">
        <f>IF(SUM($I117:AM117)&lt;1,IF($C117&lt;=AN$4,1/$E$41,0),0)</f>
        <v>0</v>
      </c>
      <c r="AO117" s="34">
        <f>IF(SUM($I117:AN117)&lt;1,IF($C117&lt;=AO$4,1/$E$41,0),0)</f>
        <v>0</v>
      </c>
      <c r="AP117" s="34">
        <f>IF(SUM($I117:AO117)&lt;1,IF($C117&lt;=AP$4,1/$E$41,0),0)</f>
        <v>0</v>
      </c>
      <c r="AQ117" s="34">
        <f>IF(SUM($I117:AP117)&lt;1,IF($C117&lt;=AQ$4,1/$E$41,0),0)</f>
        <v>0</v>
      </c>
      <c r="AR117" s="34">
        <f>IF(SUM($I117:AQ117)&lt;1,IF($C117&lt;=AR$4,1/$E$41,0),0)</f>
        <v>0</v>
      </c>
      <c r="AS117" s="34">
        <f>IF(SUM($I117:AR117)&lt;1,IF($C117&lt;=AS$4,1/$E$41,0),0)</f>
        <v>0</v>
      </c>
      <c r="AT117" s="34">
        <f>IF(SUM($I117:AS117)&lt;1,IF($C117&lt;=AT$4,1/$E$41,0),0)</f>
        <v>0</v>
      </c>
      <c r="AU117" s="34">
        <f>IF(SUM($I117:AT117)&lt;1,IF($C117&lt;=AU$4,1/$E$41,0),0)</f>
        <v>0</v>
      </c>
      <c r="AV117" s="34">
        <f>IF(SUM($I117:AU117)&lt;1,IF($C117&lt;=AV$4,1/$E$41,0),0)</f>
        <v>0</v>
      </c>
      <c r="AW117" s="34">
        <f>IF(SUM($I117:AV117)&lt;1,IF($C117&lt;=AW$4,1/$E$41,0),0)</f>
        <v>0</v>
      </c>
      <c r="AX117" s="34">
        <f>IF(SUM($I117:AW117)&lt;1,IF($C117&lt;=AX$4,1/$E$41,0),0)</f>
        <v>0</v>
      </c>
      <c r="AY117" s="34">
        <f>IF(SUM($I117:AX117)&lt;1,IF($C117&lt;=AY$4,1/$E$41,0),0)</f>
        <v>0</v>
      </c>
      <c r="AZ117" s="34">
        <f>IF(SUM($I117:AY117)&lt;1,IF($C117&lt;=AZ$4,1/$E$41,0),0)</f>
        <v>0</v>
      </c>
      <c r="BA117" s="34">
        <f>IF(SUM($I117:AZ117)&lt;1,IF($C117&lt;=BA$4,1/$E$41,0),0)</f>
        <v>0</v>
      </c>
      <c r="BB117" s="34">
        <f>IF(SUM($I117:BA117)&lt;1,IF($C117&lt;=BB$4,1/$E$41,0),0)</f>
        <v>0</v>
      </c>
      <c r="BC117" s="34">
        <f>IF(SUM($I117:BB117)&lt;1,IF($C117&lt;=BC$4,1/$E$41,0),0)</f>
        <v>0</v>
      </c>
      <c r="BD117" s="34">
        <f>IF(SUM($I117:BC117)&lt;1,IF($C117&lt;=BD$4,1/$E$41,0),0)</f>
        <v>0</v>
      </c>
      <c r="BE117" s="34">
        <f>IF(SUM($I117:BD117)&lt;1,IF($C117&lt;=BE$4,1/$E$41,0),0)</f>
        <v>0</v>
      </c>
      <c r="BF117" s="34">
        <f>IF(SUM($I117:BE117)&lt;1,IF($C117&lt;=BF$4,1/$E$41,0),0)</f>
        <v>0</v>
      </c>
      <c r="BG117" s="34">
        <f>IF(SUM($I117:BF117)&lt;1,IF($C117&lt;=BG$4,1/$E$41,0),0)</f>
        <v>0</v>
      </c>
      <c r="BH117" s="34">
        <f>IF(SUM($I117:BG117)&lt;1,IF($C117&lt;=BH$4,1/$E$41,0),0)</f>
        <v>0</v>
      </c>
      <c r="BI117" s="34">
        <f>IF(SUM($I117:BH117)&lt;1,IF($C117&lt;=BI$4,1/$E$41,0),0)</f>
        <v>0</v>
      </c>
      <c r="BJ117" s="34">
        <f>IF(SUM($I117:BI117)&lt;1,IF($C117&lt;=BJ$4,1/$E$41,0),0)</f>
        <v>0</v>
      </c>
      <c r="BK117" s="34">
        <f>IF(SUM($I117:BJ117)&lt;1,IF($C117&lt;=BK$4,1/$E$41,0),0)</f>
        <v>0</v>
      </c>
      <c r="BL117" s="34">
        <f>IF(SUM($I117:BK117)&lt;1,IF($C117&lt;=BL$4,1/$E$41,0),0)</f>
        <v>0</v>
      </c>
      <c r="BM117" s="34">
        <f>IF(SUM($I117:BL117)&lt;1,IF($C117&lt;=BM$4,1/$E$41,0),0)</f>
        <v>0</v>
      </c>
      <c r="BN117" s="34">
        <f>IF(SUM($I117:BM117)&lt;1,IF($C117&lt;=BN$4,1/$E$41,0),0)</f>
        <v>0</v>
      </c>
      <c r="BO117" s="34">
        <f>IF(SUM($I117:BN117)&lt;1,IF($C117&lt;=BO$4,1/$E$41,0),0)</f>
        <v>0</v>
      </c>
      <c r="BP117" s="34">
        <f>IF(SUM($I117:BO117)&lt;1,IF($C117&lt;=BP$4,1/$E$41,0),0)</f>
        <v>0</v>
      </c>
      <c r="BQ117" s="34">
        <f>IF(SUM($I117:BP117)&lt;1,IF($C117&lt;=BQ$4,1/$E$41,0),0)</f>
        <v>0</v>
      </c>
      <c r="BR117" s="34">
        <f>IF(SUM($I117:BQ117)&lt;1,IF($C117&lt;=BR$4,1/$E$41,0),0)</f>
        <v>0</v>
      </c>
      <c r="BS117" s="34">
        <f>IF(SUM($I117:BR117)&lt;1,IF($C117&lt;=BS$4,1/$E$41,0),0)</f>
        <v>0</v>
      </c>
      <c r="BT117" s="34">
        <f>IF(SUM($I117:BS117)&lt;1,IF($C117&lt;=BT$4,1/$E$41,0),0)</f>
        <v>0</v>
      </c>
      <c r="BU117" s="34">
        <f>IF(SUM($I117:BT117)&lt;1,IF($C117&lt;=BU$4,1/$E$41,0),0)</f>
        <v>0</v>
      </c>
      <c r="BV117" s="34">
        <f>IF(SUM($I117:BU117)&lt;1,IF($C117&lt;=BV$4,1/$E$41,0),0)</f>
        <v>0</v>
      </c>
      <c r="BW117" s="34">
        <f>IF(SUM($I117:BV117)&lt;1,IF($C117&lt;=BW$4,1/$E$41,0),0)</f>
        <v>0</v>
      </c>
      <c r="BX117" s="34">
        <f>IF(SUM($I117:BW117)&lt;1,IF($C117&lt;=BX$4,1/$E$41,0),0)</f>
        <v>0</v>
      </c>
      <c r="BY117" s="34">
        <f>IF(SUM($I117:BX117)&lt;1,IF($C117&lt;=BY$4,1/$E$41,0),0)</f>
        <v>0</v>
      </c>
      <c r="BZ117" s="34">
        <f>IF(SUM($I117:BY117)&lt;1,IF($C117&lt;=BZ$4,1/$E$41,0),0)</f>
        <v>0</v>
      </c>
      <c r="CA117" s="34">
        <f>IF(SUM($I117:BZ117)&lt;1,IF($C117&lt;=CA$4,1/$E$41,0),0)</f>
        <v>0</v>
      </c>
      <c r="CB117" s="34">
        <f>IF(SUM($I117:CA117)&lt;1,IF($C117&lt;=CB$4,1/$E$41,0),0)</f>
        <v>0</v>
      </c>
      <c r="CC117" s="34">
        <f>IF(SUM($I117:CB117)&lt;1,IF($C117&lt;=CC$4,1/$E$41,0),0)</f>
        <v>0</v>
      </c>
      <c r="CD117" s="34">
        <f>IF(SUM($I117:CC117)&lt;1,IF($C117&lt;=CD$4,1/$E$41,0),0)</f>
        <v>0.25</v>
      </c>
      <c r="CE117" s="34">
        <f>IF(SUM($I117:CD117)&lt;1,IF($C117&lt;=CE$4,1/$E$41,0),0)</f>
        <v>0.25</v>
      </c>
      <c r="CF117" s="34">
        <f>IF(SUM($I117:CE117)&lt;1,IF($C117&lt;=CF$4,1/$E$41,0),0)</f>
        <v>0.25</v>
      </c>
      <c r="CG117" s="34">
        <f>IF(SUM($I117:CF117)&lt;1,IF($C117&lt;=CG$4,1/$E$41,0),0)</f>
        <v>0.25</v>
      </c>
      <c r="CH117" s="34">
        <f>IF(SUM($I117:CG117)&lt;1,IF($C117&lt;=CH$4,1/$E$41,0),0)</f>
        <v>0</v>
      </c>
      <c r="CI117" s="34">
        <f>IF(SUM($I117:CH117)&lt;1,IF($C117&lt;=CI$4,1/$E$41,0),0)</f>
        <v>0</v>
      </c>
      <c r="CJ117" s="34">
        <f>IF(SUM($I117:CI117)&lt;1,IF($C117&lt;=CJ$4,1/$E$41,0),0)</f>
        <v>0</v>
      </c>
      <c r="CK117" s="34">
        <f>IF(SUM($I117:CJ117)&lt;1,IF($C117&lt;=CK$4,1/$E$41,0),0)</f>
        <v>0</v>
      </c>
      <c r="CL117" s="34">
        <f>IF(SUM($I117:CK117)&lt;1,IF($C117&lt;=CL$4,1/$E$41,0),0)</f>
        <v>0</v>
      </c>
      <c r="CM117" s="34">
        <f>IF(SUM($I117:CL117)&lt;1,IF($C117&lt;=CM$4,1/$E$41,0),0)</f>
        <v>0</v>
      </c>
      <c r="CN117" s="34">
        <f>IF(SUM($I117:CM117)&lt;1,IF($C117&lt;=CN$4,1/$E$41,0),0)</f>
        <v>0</v>
      </c>
      <c r="CO117" s="34">
        <f>IF(SUM($I117:CN117)&lt;1,IF($C117&lt;=CO$4,1/$E$41,0),0)</f>
        <v>0</v>
      </c>
      <c r="CP117" s="34">
        <f>IF(SUM($I117:CO117)&lt;1,IF($C117&lt;=CP$4,1/$E$41,0),0)</f>
        <v>0</v>
      </c>
      <c r="CQ117" s="34">
        <f>IF(SUM($I117:CP117)&lt;1,IF($C117&lt;=CQ$4,1/$E$41,0),0)</f>
        <v>0</v>
      </c>
      <c r="CR117" s="34">
        <f>IF(SUM($I117:CQ117)&lt;1,IF($C117&lt;=CR$4,1/$E$41,0),0)</f>
        <v>0</v>
      </c>
      <c r="CS117" s="34">
        <f>IF(SUM($I117:CR117)&lt;1,IF($C117&lt;=CS$4,1/$E$41,0),0)</f>
        <v>0</v>
      </c>
      <c r="CT117" s="34">
        <f>IF(SUM($I117:CS117)&lt;1,IF($C117&lt;=CT$4,1/$E$41,0),0)</f>
        <v>0</v>
      </c>
      <c r="CU117" s="34">
        <f>IF(SUM($I117:CT117)&lt;1,IF($C117&lt;=CU$4,1/$E$41,0),0)</f>
        <v>0</v>
      </c>
      <c r="CV117" s="34">
        <f>IF(SUM($I117:CU117)&lt;1,IF($C117&lt;=CV$4,1/$E$41,0),0)</f>
        <v>0</v>
      </c>
      <c r="CW117" s="34">
        <f>IF(SUM($I117:CV117)&lt;1,IF($C117&lt;=CW$4,1/$E$41,0),0)</f>
        <v>0</v>
      </c>
      <c r="CX117" s="34">
        <f>IF(SUM($I117:CW117)&lt;1,IF($C117&lt;=CX$4,1/$E$41,0),0)</f>
        <v>0</v>
      </c>
      <c r="CY117" s="34">
        <f>IF(SUM($I117:CX117)&lt;1,IF($C117&lt;=CY$4,1/$E$41,0),0)</f>
        <v>0</v>
      </c>
      <c r="CZ117" s="34">
        <f>IF(SUM($I117:CY117)&lt;1,IF($C117&lt;=CZ$4,1/$E$41,0),0)</f>
        <v>0</v>
      </c>
      <c r="DA117" s="34">
        <f>IF(SUM($I117:CZ117)&lt;1,IF($C117&lt;=DA$4,1/$E$41,0),0)</f>
        <v>0</v>
      </c>
      <c r="DB117" s="34">
        <f>IF(SUM($I117:DA117)&lt;1,IF($C117&lt;=DB$4,1/$E$41,0),0)</f>
        <v>0</v>
      </c>
      <c r="DC117" s="34">
        <f>IF(SUM($I117:DB117)&lt;1,IF($C117&lt;=DC$4,1/$E$41,0),0)</f>
        <v>0</v>
      </c>
      <c r="DD117" s="34">
        <f>IF(SUM($I117:DC117)&lt;1,IF($C117&lt;=DD$4,1/$E$41,0),0)</f>
        <v>0</v>
      </c>
      <c r="DE117" s="34">
        <f>IF(SUM($I117:DD117)&lt;1,IF($C117&lt;=DE$4,1/$E$41,0),0)</f>
        <v>0</v>
      </c>
      <c r="DF117" s="34">
        <f>IF(SUM($I117:DE117)&lt;1,IF($C117&lt;=DF$4,1/$E$41,0),0)</f>
        <v>0</v>
      </c>
      <c r="DG117" s="34">
        <f>IF(SUM($I117:DF117)&lt;1,IF($C117&lt;=DG$4,1/$E$41,0),0)</f>
        <v>0</v>
      </c>
      <c r="DH117" s="34">
        <f>IF(SUM($I117:DG117)&lt;1,IF($C117&lt;=DH$4,1/$E$41,0),0)</f>
        <v>0</v>
      </c>
      <c r="DI117" s="34">
        <f>IF(SUM($I117:DH117)&lt;1,IF($C117&lt;=DI$4,1/$E$41,0),0)</f>
        <v>0</v>
      </c>
      <c r="DJ117" s="34">
        <f>IF(SUM($I117:DI117)&lt;1,IF($C117&lt;=DJ$4,1/$E$41,0),0)</f>
        <v>0</v>
      </c>
      <c r="DK117" s="34">
        <f>IF(SUM($I117:DJ117)&lt;1,IF($C117&lt;=DK$4,1/$E$41,0),0)</f>
        <v>0</v>
      </c>
      <c r="DL117" s="34">
        <f>IF(SUM($I117:DK117)&lt;1,IF($C117&lt;=DL$4,1/$E$41,0),0)</f>
        <v>0</v>
      </c>
      <c r="DM117" s="34">
        <f>IF(SUM($I117:DL117)&lt;1,IF($C117&lt;=DM$4,1/$E$41,0),0)</f>
        <v>0</v>
      </c>
    </row>
    <row r="118" spans="3:117" outlineLevel="1" x14ac:dyDescent="0.15">
      <c r="C118" s="50">
        <f t="shared" si="51"/>
        <v>74</v>
      </c>
      <c r="D118" s="5" t="s">
        <v>18</v>
      </c>
      <c r="E118" s="19">
        <f t="shared" si="50"/>
        <v>0</v>
      </c>
      <c r="I118" s="9"/>
      <c r="J118" s="34">
        <f>IF(SUM($I118:I118)&lt;1,IF($C118&lt;=J$4,1/$E$41,0),0)</f>
        <v>0</v>
      </c>
      <c r="K118" s="34">
        <f>IF(SUM($I118:J118)&lt;1,IF($C118&lt;=K$4,1/$E$41,0),0)</f>
        <v>0</v>
      </c>
      <c r="L118" s="34">
        <f>IF(SUM($I118:K118)&lt;1,IF($C118&lt;=L$4,1/$E$41,0),0)</f>
        <v>0</v>
      </c>
      <c r="M118" s="34">
        <f>IF(SUM($I118:L118)&lt;1,IF($C118&lt;=M$4,1/$E$41,0),0)</f>
        <v>0</v>
      </c>
      <c r="N118" s="34">
        <f>IF(SUM($I118:M118)&lt;1,IF($C118&lt;=N$4,1/$E$41,0),0)</f>
        <v>0</v>
      </c>
      <c r="O118" s="34">
        <f>IF(SUM($I118:N118)&lt;1,IF($C118&lt;=O$4,1/$E$41,0),0)</f>
        <v>0</v>
      </c>
      <c r="P118" s="34">
        <f>IF(SUM($I118:O118)&lt;1,IF($C118&lt;=P$4,1/$E$41,0),0)</f>
        <v>0</v>
      </c>
      <c r="Q118" s="34">
        <f>IF(SUM($I118:P118)&lt;1,IF($C118&lt;=Q$4,1/$E$41,0),0)</f>
        <v>0</v>
      </c>
      <c r="R118" s="34">
        <f>IF(SUM($I118:Q118)&lt;1,IF($C118&lt;=R$4,1/$E$41,0),0)</f>
        <v>0</v>
      </c>
      <c r="S118" s="34">
        <f>IF(SUM($I118:R118)&lt;1,IF($C118&lt;=S$4,1/$E$41,0),0)</f>
        <v>0</v>
      </c>
      <c r="T118" s="34">
        <f>IF(SUM($I118:S118)&lt;1,IF($C118&lt;=T$4,1/$E$41,0),0)</f>
        <v>0</v>
      </c>
      <c r="U118" s="34">
        <f>IF(SUM($I118:T118)&lt;1,IF($C118&lt;=U$4,1/$E$41,0),0)</f>
        <v>0</v>
      </c>
      <c r="V118" s="34">
        <f>IF(SUM($I118:U118)&lt;1,IF($C118&lt;=V$4,1/$E$41,0),0)</f>
        <v>0</v>
      </c>
      <c r="W118" s="34">
        <f>IF(SUM($I118:V118)&lt;1,IF($C118&lt;=W$4,1/$E$41,0),0)</f>
        <v>0</v>
      </c>
      <c r="X118" s="34">
        <f>IF(SUM($I118:W118)&lt;1,IF($C118&lt;=X$4,1/$E$41,0),0)</f>
        <v>0</v>
      </c>
      <c r="Y118" s="34">
        <f>IF(SUM($I118:X118)&lt;1,IF($C118&lt;=Y$4,1/$E$41,0),0)</f>
        <v>0</v>
      </c>
      <c r="Z118" s="34">
        <f>IF(SUM($I118:Y118)&lt;1,IF($C118&lt;=Z$4,1/$E$41,0),0)</f>
        <v>0</v>
      </c>
      <c r="AA118" s="34">
        <f>IF(SUM($I118:Z118)&lt;1,IF($C118&lt;=AA$4,1/$E$41,0),0)</f>
        <v>0</v>
      </c>
      <c r="AB118" s="34">
        <f>IF(SUM($I118:AA118)&lt;1,IF($C118&lt;=AB$4,1/$E$41,0),0)</f>
        <v>0</v>
      </c>
      <c r="AC118" s="34">
        <f>IF(SUM($I118:AB118)&lt;1,IF($C118&lt;=AC$4,1/$E$41,0),0)</f>
        <v>0</v>
      </c>
      <c r="AD118" s="34">
        <f>IF(SUM($I118:AC118)&lt;1,IF($C118&lt;=AD$4,1/$E$41,0),0)</f>
        <v>0</v>
      </c>
      <c r="AE118" s="34">
        <f>IF(SUM($I118:AD118)&lt;1,IF($C118&lt;=AE$4,1/$E$41,0),0)</f>
        <v>0</v>
      </c>
      <c r="AF118" s="34">
        <f>IF(SUM($I118:AE118)&lt;1,IF($C118&lt;=AF$4,1/$E$41,0),0)</f>
        <v>0</v>
      </c>
      <c r="AG118" s="34">
        <f>IF(SUM($I118:AF118)&lt;1,IF($C118&lt;=AG$4,1/$E$41,0),0)</f>
        <v>0</v>
      </c>
      <c r="AH118" s="34">
        <f>IF(SUM($I118:AG118)&lt;1,IF($C118&lt;=AH$4,1/$E$41,0),0)</f>
        <v>0</v>
      </c>
      <c r="AI118" s="34">
        <f>IF(SUM($I118:AH118)&lt;1,IF($C118&lt;=AI$4,1/$E$41,0),0)</f>
        <v>0</v>
      </c>
      <c r="AJ118" s="34">
        <f>IF(SUM($I118:AI118)&lt;1,IF($C118&lt;=AJ$4,1/$E$41,0),0)</f>
        <v>0</v>
      </c>
      <c r="AK118" s="34">
        <f>IF(SUM($I118:AJ118)&lt;1,IF($C118&lt;=AK$4,1/$E$41,0),0)</f>
        <v>0</v>
      </c>
      <c r="AL118" s="34">
        <f>IF(SUM($I118:AK118)&lt;1,IF($C118&lt;=AL$4,1/$E$41,0),0)</f>
        <v>0</v>
      </c>
      <c r="AM118" s="34">
        <f>IF(SUM($I118:AL118)&lt;1,IF($C118&lt;=AM$4,1/$E$41,0),0)</f>
        <v>0</v>
      </c>
      <c r="AN118" s="34">
        <f>IF(SUM($I118:AM118)&lt;1,IF($C118&lt;=AN$4,1/$E$41,0),0)</f>
        <v>0</v>
      </c>
      <c r="AO118" s="34">
        <f>IF(SUM($I118:AN118)&lt;1,IF($C118&lt;=AO$4,1/$E$41,0),0)</f>
        <v>0</v>
      </c>
      <c r="AP118" s="34">
        <f>IF(SUM($I118:AO118)&lt;1,IF($C118&lt;=AP$4,1/$E$41,0),0)</f>
        <v>0</v>
      </c>
      <c r="AQ118" s="34">
        <f>IF(SUM($I118:AP118)&lt;1,IF($C118&lt;=AQ$4,1/$E$41,0),0)</f>
        <v>0</v>
      </c>
      <c r="AR118" s="34">
        <f>IF(SUM($I118:AQ118)&lt;1,IF($C118&lt;=AR$4,1/$E$41,0),0)</f>
        <v>0</v>
      </c>
      <c r="AS118" s="34">
        <f>IF(SUM($I118:AR118)&lt;1,IF($C118&lt;=AS$4,1/$E$41,0),0)</f>
        <v>0</v>
      </c>
      <c r="AT118" s="34">
        <f>IF(SUM($I118:AS118)&lt;1,IF($C118&lt;=AT$4,1/$E$41,0),0)</f>
        <v>0</v>
      </c>
      <c r="AU118" s="34">
        <f>IF(SUM($I118:AT118)&lt;1,IF($C118&lt;=AU$4,1/$E$41,0),0)</f>
        <v>0</v>
      </c>
      <c r="AV118" s="34">
        <f>IF(SUM($I118:AU118)&lt;1,IF($C118&lt;=AV$4,1/$E$41,0),0)</f>
        <v>0</v>
      </c>
      <c r="AW118" s="34">
        <f>IF(SUM($I118:AV118)&lt;1,IF($C118&lt;=AW$4,1/$E$41,0),0)</f>
        <v>0</v>
      </c>
      <c r="AX118" s="34">
        <f>IF(SUM($I118:AW118)&lt;1,IF($C118&lt;=AX$4,1/$E$41,0),0)</f>
        <v>0</v>
      </c>
      <c r="AY118" s="34">
        <f>IF(SUM($I118:AX118)&lt;1,IF($C118&lt;=AY$4,1/$E$41,0),0)</f>
        <v>0</v>
      </c>
      <c r="AZ118" s="34">
        <f>IF(SUM($I118:AY118)&lt;1,IF($C118&lt;=AZ$4,1/$E$41,0),0)</f>
        <v>0</v>
      </c>
      <c r="BA118" s="34">
        <f>IF(SUM($I118:AZ118)&lt;1,IF($C118&lt;=BA$4,1/$E$41,0),0)</f>
        <v>0</v>
      </c>
      <c r="BB118" s="34">
        <f>IF(SUM($I118:BA118)&lt;1,IF($C118&lt;=BB$4,1/$E$41,0),0)</f>
        <v>0</v>
      </c>
      <c r="BC118" s="34">
        <f>IF(SUM($I118:BB118)&lt;1,IF($C118&lt;=BC$4,1/$E$41,0),0)</f>
        <v>0</v>
      </c>
      <c r="BD118" s="34">
        <f>IF(SUM($I118:BC118)&lt;1,IF($C118&lt;=BD$4,1/$E$41,0),0)</f>
        <v>0</v>
      </c>
      <c r="BE118" s="34">
        <f>IF(SUM($I118:BD118)&lt;1,IF($C118&lt;=BE$4,1/$E$41,0),0)</f>
        <v>0</v>
      </c>
      <c r="BF118" s="34">
        <f>IF(SUM($I118:BE118)&lt;1,IF($C118&lt;=BF$4,1/$E$41,0),0)</f>
        <v>0</v>
      </c>
      <c r="BG118" s="34">
        <f>IF(SUM($I118:BF118)&lt;1,IF($C118&lt;=BG$4,1/$E$41,0),0)</f>
        <v>0</v>
      </c>
      <c r="BH118" s="34">
        <f>IF(SUM($I118:BG118)&lt;1,IF($C118&lt;=BH$4,1/$E$41,0),0)</f>
        <v>0</v>
      </c>
      <c r="BI118" s="34">
        <f>IF(SUM($I118:BH118)&lt;1,IF($C118&lt;=BI$4,1/$E$41,0),0)</f>
        <v>0</v>
      </c>
      <c r="BJ118" s="34">
        <f>IF(SUM($I118:BI118)&lt;1,IF($C118&lt;=BJ$4,1/$E$41,0),0)</f>
        <v>0</v>
      </c>
      <c r="BK118" s="34">
        <f>IF(SUM($I118:BJ118)&lt;1,IF($C118&lt;=BK$4,1/$E$41,0),0)</f>
        <v>0</v>
      </c>
      <c r="BL118" s="34">
        <f>IF(SUM($I118:BK118)&lt;1,IF($C118&lt;=BL$4,1/$E$41,0),0)</f>
        <v>0</v>
      </c>
      <c r="BM118" s="34">
        <f>IF(SUM($I118:BL118)&lt;1,IF($C118&lt;=BM$4,1/$E$41,0),0)</f>
        <v>0</v>
      </c>
      <c r="BN118" s="34">
        <f>IF(SUM($I118:BM118)&lt;1,IF($C118&lt;=BN$4,1/$E$41,0),0)</f>
        <v>0</v>
      </c>
      <c r="BO118" s="34">
        <f>IF(SUM($I118:BN118)&lt;1,IF($C118&lt;=BO$4,1/$E$41,0),0)</f>
        <v>0</v>
      </c>
      <c r="BP118" s="34">
        <f>IF(SUM($I118:BO118)&lt;1,IF($C118&lt;=BP$4,1/$E$41,0),0)</f>
        <v>0</v>
      </c>
      <c r="BQ118" s="34">
        <f>IF(SUM($I118:BP118)&lt;1,IF($C118&lt;=BQ$4,1/$E$41,0),0)</f>
        <v>0</v>
      </c>
      <c r="BR118" s="34">
        <f>IF(SUM($I118:BQ118)&lt;1,IF($C118&lt;=BR$4,1/$E$41,0),0)</f>
        <v>0</v>
      </c>
      <c r="BS118" s="34">
        <f>IF(SUM($I118:BR118)&lt;1,IF($C118&lt;=BS$4,1/$E$41,0),0)</f>
        <v>0</v>
      </c>
      <c r="BT118" s="34">
        <f>IF(SUM($I118:BS118)&lt;1,IF($C118&lt;=BT$4,1/$E$41,0),0)</f>
        <v>0</v>
      </c>
      <c r="BU118" s="34">
        <f>IF(SUM($I118:BT118)&lt;1,IF($C118&lt;=BU$4,1/$E$41,0),0)</f>
        <v>0</v>
      </c>
      <c r="BV118" s="34">
        <f>IF(SUM($I118:BU118)&lt;1,IF($C118&lt;=BV$4,1/$E$41,0),0)</f>
        <v>0</v>
      </c>
      <c r="BW118" s="34">
        <f>IF(SUM($I118:BV118)&lt;1,IF($C118&lt;=BW$4,1/$E$41,0),0)</f>
        <v>0</v>
      </c>
      <c r="BX118" s="34">
        <f>IF(SUM($I118:BW118)&lt;1,IF($C118&lt;=BX$4,1/$E$41,0),0)</f>
        <v>0</v>
      </c>
      <c r="BY118" s="34">
        <f>IF(SUM($I118:BX118)&lt;1,IF($C118&lt;=BY$4,1/$E$41,0),0)</f>
        <v>0</v>
      </c>
      <c r="BZ118" s="34">
        <f>IF(SUM($I118:BY118)&lt;1,IF($C118&lt;=BZ$4,1/$E$41,0),0)</f>
        <v>0</v>
      </c>
      <c r="CA118" s="34">
        <f>IF(SUM($I118:BZ118)&lt;1,IF($C118&lt;=CA$4,1/$E$41,0),0)</f>
        <v>0</v>
      </c>
      <c r="CB118" s="34">
        <f>IF(SUM($I118:CA118)&lt;1,IF($C118&lt;=CB$4,1/$E$41,0),0)</f>
        <v>0</v>
      </c>
      <c r="CC118" s="34">
        <f>IF(SUM($I118:CB118)&lt;1,IF($C118&lt;=CC$4,1/$E$41,0),0)</f>
        <v>0</v>
      </c>
      <c r="CD118" s="34">
        <f>IF(SUM($I118:CC118)&lt;1,IF($C118&lt;=CD$4,1/$E$41,0),0)</f>
        <v>0</v>
      </c>
      <c r="CE118" s="34">
        <f>IF(SUM($I118:CD118)&lt;1,IF($C118&lt;=CE$4,1/$E$41,0),0)</f>
        <v>0.25</v>
      </c>
      <c r="CF118" s="34">
        <f>IF(SUM($I118:CE118)&lt;1,IF($C118&lt;=CF$4,1/$E$41,0),0)</f>
        <v>0.25</v>
      </c>
      <c r="CG118" s="34">
        <f>IF(SUM($I118:CF118)&lt;1,IF($C118&lt;=CG$4,1/$E$41,0),0)</f>
        <v>0.25</v>
      </c>
      <c r="CH118" s="34">
        <f>IF(SUM($I118:CG118)&lt;1,IF($C118&lt;=CH$4,1/$E$41,0),0)</f>
        <v>0.25</v>
      </c>
      <c r="CI118" s="34">
        <f>IF(SUM($I118:CH118)&lt;1,IF($C118&lt;=CI$4,1/$E$41,0),0)</f>
        <v>0</v>
      </c>
      <c r="CJ118" s="34">
        <f>IF(SUM($I118:CI118)&lt;1,IF($C118&lt;=CJ$4,1/$E$41,0),0)</f>
        <v>0</v>
      </c>
      <c r="CK118" s="34">
        <f>IF(SUM($I118:CJ118)&lt;1,IF($C118&lt;=CK$4,1/$E$41,0),0)</f>
        <v>0</v>
      </c>
      <c r="CL118" s="34">
        <f>IF(SUM($I118:CK118)&lt;1,IF($C118&lt;=CL$4,1/$E$41,0),0)</f>
        <v>0</v>
      </c>
      <c r="CM118" s="34">
        <f>IF(SUM($I118:CL118)&lt;1,IF($C118&lt;=CM$4,1/$E$41,0),0)</f>
        <v>0</v>
      </c>
      <c r="CN118" s="34">
        <f>IF(SUM($I118:CM118)&lt;1,IF($C118&lt;=CN$4,1/$E$41,0),0)</f>
        <v>0</v>
      </c>
      <c r="CO118" s="34">
        <f>IF(SUM($I118:CN118)&lt;1,IF($C118&lt;=CO$4,1/$E$41,0),0)</f>
        <v>0</v>
      </c>
      <c r="CP118" s="34">
        <f>IF(SUM($I118:CO118)&lt;1,IF($C118&lt;=CP$4,1/$E$41,0),0)</f>
        <v>0</v>
      </c>
      <c r="CQ118" s="34">
        <f>IF(SUM($I118:CP118)&lt;1,IF($C118&lt;=CQ$4,1/$E$41,0),0)</f>
        <v>0</v>
      </c>
      <c r="CR118" s="34">
        <f>IF(SUM($I118:CQ118)&lt;1,IF($C118&lt;=CR$4,1/$E$41,0),0)</f>
        <v>0</v>
      </c>
      <c r="CS118" s="34">
        <f>IF(SUM($I118:CR118)&lt;1,IF($C118&lt;=CS$4,1/$E$41,0),0)</f>
        <v>0</v>
      </c>
      <c r="CT118" s="34">
        <f>IF(SUM($I118:CS118)&lt;1,IF($C118&lt;=CT$4,1/$E$41,0),0)</f>
        <v>0</v>
      </c>
      <c r="CU118" s="34">
        <f>IF(SUM($I118:CT118)&lt;1,IF($C118&lt;=CU$4,1/$E$41,0),0)</f>
        <v>0</v>
      </c>
      <c r="CV118" s="34">
        <f>IF(SUM($I118:CU118)&lt;1,IF($C118&lt;=CV$4,1/$E$41,0),0)</f>
        <v>0</v>
      </c>
      <c r="CW118" s="34">
        <f>IF(SUM($I118:CV118)&lt;1,IF($C118&lt;=CW$4,1/$E$41,0),0)</f>
        <v>0</v>
      </c>
      <c r="CX118" s="34">
        <f>IF(SUM($I118:CW118)&lt;1,IF($C118&lt;=CX$4,1/$E$41,0),0)</f>
        <v>0</v>
      </c>
      <c r="CY118" s="34">
        <f>IF(SUM($I118:CX118)&lt;1,IF($C118&lt;=CY$4,1/$E$41,0),0)</f>
        <v>0</v>
      </c>
      <c r="CZ118" s="34">
        <f>IF(SUM($I118:CY118)&lt;1,IF($C118&lt;=CZ$4,1/$E$41,0),0)</f>
        <v>0</v>
      </c>
      <c r="DA118" s="34">
        <f>IF(SUM($I118:CZ118)&lt;1,IF($C118&lt;=DA$4,1/$E$41,0),0)</f>
        <v>0</v>
      </c>
      <c r="DB118" s="34">
        <f>IF(SUM($I118:DA118)&lt;1,IF($C118&lt;=DB$4,1/$E$41,0),0)</f>
        <v>0</v>
      </c>
      <c r="DC118" s="34">
        <f>IF(SUM($I118:DB118)&lt;1,IF($C118&lt;=DC$4,1/$E$41,0),0)</f>
        <v>0</v>
      </c>
      <c r="DD118" s="34">
        <f>IF(SUM($I118:DC118)&lt;1,IF($C118&lt;=DD$4,1/$E$41,0),0)</f>
        <v>0</v>
      </c>
      <c r="DE118" s="34">
        <f>IF(SUM($I118:DD118)&lt;1,IF($C118&lt;=DE$4,1/$E$41,0),0)</f>
        <v>0</v>
      </c>
      <c r="DF118" s="34">
        <f>IF(SUM($I118:DE118)&lt;1,IF($C118&lt;=DF$4,1/$E$41,0),0)</f>
        <v>0</v>
      </c>
      <c r="DG118" s="34">
        <f>IF(SUM($I118:DF118)&lt;1,IF($C118&lt;=DG$4,1/$E$41,0),0)</f>
        <v>0</v>
      </c>
      <c r="DH118" s="34">
        <f>IF(SUM($I118:DG118)&lt;1,IF($C118&lt;=DH$4,1/$E$41,0),0)</f>
        <v>0</v>
      </c>
      <c r="DI118" s="34">
        <f>IF(SUM($I118:DH118)&lt;1,IF($C118&lt;=DI$4,1/$E$41,0),0)</f>
        <v>0</v>
      </c>
      <c r="DJ118" s="34">
        <f>IF(SUM($I118:DI118)&lt;1,IF($C118&lt;=DJ$4,1/$E$41,0),0)</f>
        <v>0</v>
      </c>
      <c r="DK118" s="34">
        <f>IF(SUM($I118:DJ118)&lt;1,IF($C118&lt;=DK$4,1/$E$41,0),0)</f>
        <v>0</v>
      </c>
      <c r="DL118" s="34">
        <f>IF(SUM($I118:DK118)&lt;1,IF($C118&lt;=DL$4,1/$E$41,0),0)</f>
        <v>0</v>
      </c>
      <c r="DM118" s="34">
        <f>IF(SUM($I118:DL118)&lt;1,IF($C118&lt;=DM$4,1/$E$41,0),0)</f>
        <v>0</v>
      </c>
    </row>
    <row r="119" spans="3:117" outlineLevel="1" x14ac:dyDescent="0.15">
      <c r="C119" s="50">
        <f t="shared" si="51"/>
        <v>75</v>
      </c>
      <c r="D119" s="5" t="s">
        <v>18</v>
      </c>
      <c r="E119" s="19">
        <f t="shared" si="50"/>
        <v>0</v>
      </c>
      <c r="I119" s="9"/>
      <c r="J119" s="34">
        <f>IF(SUM($I119:I119)&lt;1,IF($C119&lt;=J$4,1/$E$41,0),0)</f>
        <v>0</v>
      </c>
      <c r="K119" s="34">
        <f>IF(SUM($I119:J119)&lt;1,IF($C119&lt;=K$4,1/$E$41,0),0)</f>
        <v>0</v>
      </c>
      <c r="L119" s="34">
        <f>IF(SUM($I119:K119)&lt;1,IF($C119&lt;=L$4,1/$E$41,0),0)</f>
        <v>0</v>
      </c>
      <c r="M119" s="34">
        <f>IF(SUM($I119:L119)&lt;1,IF($C119&lt;=M$4,1/$E$41,0),0)</f>
        <v>0</v>
      </c>
      <c r="N119" s="34">
        <f>IF(SUM($I119:M119)&lt;1,IF($C119&lt;=N$4,1/$E$41,0),0)</f>
        <v>0</v>
      </c>
      <c r="O119" s="34">
        <f>IF(SUM($I119:N119)&lt;1,IF($C119&lt;=O$4,1/$E$41,0),0)</f>
        <v>0</v>
      </c>
      <c r="P119" s="34">
        <f>IF(SUM($I119:O119)&lt;1,IF($C119&lt;=P$4,1/$E$41,0),0)</f>
        <v>0</v>
      </c>
      <c r="Q119" s="34">
        <f>IF(SUM($I119:P119)&lt;1,IF($C119&lt;=Q$4,1/$E$41,0),0)</f>
        <v>0</v>
      </c>
      <c r="R119" s="34">
        <f>IF(SUM($I119:Q119)&lt;1,IF($C119&lt;=R$4,1/$E$41,0),0)</f>
        <v>0</v>
      </c>
      <c r="S119" s="34">
        <f>IF(SUM($I119:R119)&lt;1,IF($C119&lt;=S$4,1/$E$41,0),0)</f>
        <v>0</v>
      </c>
      <c r="T119" s="34">
        <f>IF(SUM($I119:S119)&lt;1,IF($C119&lt;=T$4,1/$E$41,0),0)</f>
        <v>0</v>
      </c>
      <c r="U119" s="34">
        <f>IF(SUM($I119:T119)&lt;1,IF($C119&lt;=U$4,1/$E$41,0),0)</f>
        <v>0</v>
      </c>
      <c r="V119" s="34">
        <f>IF(SUM($I119:U119)&lt;1,IF($C119&lt;=V$4,1/$E$41,0),0)</f>
        <v>0</v>
      </c>
      <c r="W119" s="34">
        <f>IF(SUM($I119:V119)&lt;1,IF($C119&lt;=W$4,1/$E$41,0),0)</f>
        <v>0</v>
      </c>
      <c r="X119" s="34">
        <f>IF(SUM($I119:W119)&lt;1,IF($C119&lt;=X$4,1/$E$41,0),0)</f>
        <v>0</v>
      </c>
      <c r="Y119" s="34">
        <f>IF(SUM($I119:X119)&lt;1,IF($C119&lt;=Y$4,1/$E$41,0),0)</f>
        <v>0</v>
      </c>
      <c r="Z119" s="34">
        <f>IF(SUM($I119:Y119)&lt;1,IF($C119&lt;=Z$4,1/$E$41,0),0)</f>
        <v>0</v>
      </c>
      <c r="AA119" s="34">
        <f>IF(SUM($I119:Z119)&lt;1,IF($C119&lt;=AA$4,1/$E$41,0),0)</f>
        <v>0</v>
      </c>
      <c r="AB119" s="34">
        <f>IF(SUM($I119:AA119)&lt;1,IF($C119&lt;=AB$4,1/$E$41,0),0)</f>
        <v>0</v>
      </c>
      <c r="AC119" s="34">
        <f>IF(SUM($I119:AB119)&lt;1,IF($C119&lt;=AC$4,1/$E$41,0),0)</f>
        <v>0</v>
      </c>
      <c r="AD119" s="34">
        <f>IF(SUM($I119:AC119)&lt;1,IF($C119&lt;=AD$4,1/$E$41,0),0)</f>
        <v>0</v>
      </c>
      <c r="AE119" s="34">
        <f>IF(SUM($I119:AD119)&lt;1,IF($C119&lt;=AE$4,1/$E$41,0),0)</f>
        <v>0</v>
      </c>
      <c r="AF119" s="34">
        <f>IF(SUM($I119:AE119)&lt;1,IF($C119&lt;=AF$4,1/$E$41,0),0)</f>
        <v>0</v>
      </c>
      <c r="AG119" s="34">
        <f>IF(SUM($I119:AF119)&lt;1,IF($C119&lt;=AG$4,1/$E$41,0),0)</f>
        <v>0</v>
      </c>
      <c r="AH119" s="34">
        <f>IF(SUM($I119:AG119)&lt;1,IF($C119&lt;=AH$4,1/$E$41,0),0)</f>
        <v>0</v>
      </c>
      <c r="AI119" s="34">
        <f>IF(SUM($I119:AH119)&lt;1,IF($C119&lt;=AI$4,1/$E$41,0),0)</f>
        <v>0</v>
      </c>
      <c r="AJ119" s="34">
        <f>IF(SUM($I119:AI119)&lt;1,IF($C119&lt;=AJ$4,1/$E$41,0),0)</f>
        <v>0</v>
      </c>
      <c r="AK119" s="34">
        <f>IF(SUM($I119:AJ119)&lt;1,IF($C119&lt;=AK$4,1/$E$41,0),0)</f>
        <v>0</v>
      </c>
      <c r="AL119" s="34">
        <f>IF(SUM($I119:AK119)&lt;1,IF($C119&lt;=AL$4,1/$E$41,0),0)</f>
        <v>0</v>
      </c>
      <c r="AM119" s="34">
        <f>IF(SUM($I119:AL119)&lt;1,IF($C119&lt;=AM$4,1/$E$41,0),0)</f>
        <v>0</v>
      </c>
      <c r="AN119" s="34">
        <f>IF(SUM($I119:AM119)&lt;1,IF($C119&lt;=AN$4,1/$E$41,0),0)</f>
        <v>0</v>
      </c>
      <c r="AO119" s="34">
        <f>IF(SUM($I119:AN119)&lt;1,IF($C119&lt;=AO$4,1/$E$41,0),0)</f>
        <v>0</v>
      </c>
      <c r="AP119" s="34">
        <f>IF(SUM($I119:AO119)&lt;1,IF($C119&lt;=AP$4,1/$E$41,0),0)</f>
        <v>0</v>
      </c>
      <c r="AQ119" s="34">
        <f>IF(SUM($I119:AP119)&lt;1,IF($C119&lt;=AQ$4,1/$E$41,0),0)</f>
        <v>0</v>
      </c>
      <c r="AR119" s="34">
        <f>IF(SUM($I119:AQ119)&lt;1,IF($C119&lt;=AR$4,1/$E$41,0),0)</f>
        <v>0</v>
      </c>
      <c r="AS119" s="34">
        <f>IF(SUM($I119:AR119)&lt;1,IF($C119&lt;=AS$4,1/$E$41,0),0)</f>
        <v>0</v>
      </c>
      <c r="AT119" s="34">
        <f>IF(SUM($I119:AS119)&lt;1,IF($C119&lt;=AT$4,1/$E$41,0),0)</f>
        <v>0</v>
      </c>
      <c r="AU119" s="34">
        <f>IF(SUM($I119:AT119)&lt;1,IF($C119&lt;=AU$4,1/$E$41,0),0)</f>
        <v>0</v>
      </c>
      <c r="AV119" s="34">
        <f>IF(SUM($I119:AU119)&lt;1,IF($C119&lt;=AV$4,1/$E$41,0),0)</f>
        <v>0</v>
      </c>
      <c r="AW119" s="34">
        <f>IF(SUM($I119:AV119)&lt;1,IF($C119&lt;=AW$4,1/$E$41,0),0)</f>
        <v>0</v>
      </c>
      <c r="AX119" s="34">
        <f>IF(SUM($I119:AW119)&lt;1,IF($C119&lt;=AX$4,1/$E$41,0),0)</f>
        <v>0</v>
      </c>
      <c r="AY119" s="34">
        <f>IF(SUM($I119:AX119)&lt;1,IF($C119&lt;=AY$4,1/$E$41,0),0)</f>
        <v>0</v>
      </c>
      <c r="AZ119" s="34">
        <f>IF(SUM($I119:AY119)&lt;1,IF($C119&lt;=AZ$4,1/$E$41,0),0)</f>
        <v>0</v>
      </c>
      <c r="BA119" s="34">
        <f>IF(SUM($I119:AZ119)&lt;1,IF($C119&lt;=BA$4,1/$E$41,0),0)</f>
        <v>0</v>
      </c>
      <c r="BB119" s="34">
        <f>IF(SUM($I119:BA119)&lt;1,IF($C119&lt;=BB$4,1/$E$41,0),0)</f>
        <v>0</v>
      </c>
      <c r="BC119" s="34">
        <f>IF(SUM($I119:BB119)&lt;1,IF($C119&lt;=BC$4,1/$E$41,0),0)</f>
        <v>0</v>
      </c>
      <c r="BD119" s="34">
        <f>IF(SUM($I119:BC119)&lt;1,IF($C119&lt;=BD$4,1/$E$41,0),0)</f>
        <v>0</v>
      </c>
      <c r="BE119" s="34">
        <f>IF(SUM($I119:BD119)&lt;1,IF($C119&lt;=BE$4,1/$E$41,0),0)</f>
        <v>0</v>
      </c>
      <c r="BF119" s="34">
        <f>IF(SUM($I119:BE119)&lt;1,IF($C119&lt;=BF$4,1/$E$41,0),0)</f>
        <v>0</v>
      </c>
      <c r="BG119" s="34">
        <f>IF(SUM($I119:BF119)&lt;1,IF($C119&lt;=BG$4,1/$E$41,0),0)</f>
        <v>0</v>
      </c>
      <c r="BH119" s="34">
        <f>IF(SUM($I119:BG119)&lt;1,IF($C119&lt;=BH$4,1/$E$41,0),0)</f>
        <v>0</v>
      </c>
      <c r="BI119" s="34">
        <f>IF(SUM($I119:BH119)&lt;1,IF($C119&lt;=BI$4,1/$E$41,0),0)</f>
        <v>0</v>
      </c>
      <c r="BJ119" s="34">
        <f>IF(SUM($I119:BI119)&lt;1,IF($C119&lt;=BJ$4,1/$E$41,0),0)</f>
        <v>0</v>
      </c>
      <c r="BK119" s="34">
        <f>IF(SUM($I119:BJ119)&lt;1,IF($C119&lt;=BK$4,1/$E$41,0),0)</f>
        <v>0</v>
      </c>
      <c r="BL119" s="34">
        <f>IF(SUM($I119:BK119)&lt;1,IF($C119&lt;=BL$4,1/$E$41,0),0)</f>
        <v>0</v>
      </c>
      <c r="BM119" s="34">
        <f>IF(SUM($I119:BL119)&lt;1,IF($C119&lt;=BM$4,1/$E$41,0),0)</f>
        <v>0</v>
      </c>
      <c r="BN119" s="34">
        <f>IF(SUM($I119:BM119)&lt;1,IF($C119&lt;=BN$4,1/$E$41,0),0)</f>
        <v>0</v>
      </c>
      <c r="BO119" s="34">
        <f>IF(SUM($I119:BN119)&lt;1,IF($C119&lt;=BO$4,1/$E$41,0),0)</f>
        <v>0</v>
      </c>
      <c r="BP119" s="34">
        <f>IF(SUM($I119:BO119)&lt;1,IF($C119&lt;=BP$4,1/$E$41,0),0)</f>
        <v>0</v>
      </c>
      <c r="BQ119" s="34">
        <f>IF(SUM($I119:BP119)&lt;1,IF($C119&lt;=BQ$4,1/$E$41,0),0)</f>
        <v>0</v>
      </c>
      <c r="BR119" s="34">
        <f>IF(SUM($I119:BQ119)&lt;1,IF($C119&lt;=BR$4,1/$E$41,0),0)</f>
        <v>0</v>
      </c>
      <c r="BS119" s="34">
        <f>IF(SUM($I119:BR119)&lt;1,IF($C119&lt;=BS$4,1/$E$41,0),0)</f>
        <v>0</v>
      </c>
      <c r="BT119" s="34">
        <f>IF(SUM($I119:BS119)&lt;1,IF($C119&lt;=BT$4,1/$E$41,0),0)</f>
        <v>0</v>
      </c>
      <c r="BU119" s="34">
        <f>IF(SUM($I119:BT119)&lt;1,IF($C119&lt;=BU$4,1/$E$41,0),0)</f>
        <v>0</v>
      </c>
      <c r="BV119" s="34">
        <f>IF(SUM($I119:BU119)&lt;1,IF($C119&lt;=BV$4,1/$E$41,0),0)</f>
        <v>0</v>
      </c>
      <c r="BW119" s="34">
        <f>IF(SUM($I119:BV119)&lt;1,IF($C119&lt;=BW$4,1/$E$41,0),0)</f>
        <v>0</v>
      </c>
      <c r="BX119" s="34">
        <f>IF(SUM($I119:BW119)&lt;1,IF($C119&lt;=BX$4,1/$E$41,0),0)</f>
        <v>0</v>
      </c>
      <c r="BY119" s="34">
        <f>IF(SUM($I119:BX119)&lt;1,IF($C119&lt;=BY$4,1/$E$41,0),0)</f>
        <v>0</v>
      </c>
      <c r="BZ119" s="34">
        <f>IF(SUM($I119:BY119)&lt;1,IF($C119&lt;=BZ$4,1/$E$41,0),0)</f>
        <v>0</v>
      </c>
      <c r="CA119" s="34">
        <f>IF(SUM($I119:BZ119)&lt;1,IF($C119&lt;=CA$4,1/$E$41,0),0)</f>
        <v>0</v>
      </c>
      <c r="CB119" s="34">
        <f>IF(SUM($I119:CA119)&lt;1,IF($C119&lt;=CB$4,1/$E$41,0),0)</f>
        <v>0</v>
      </c>
      <c r="CC119" s="34">
        <f>IF(SUM($I119:CB119)&lt;1,IF($C119&lt;=CC$4,1/$E$41,0),0)</f>
        <v>0</v>
      </c>
      <c r="CD119" s="34">
        <f>IF(SUM($I119:CC119)&lt;1,IF($C119&lt;=CD$4,1/$E$41,0),0)</f>
        <v>0</v>
      </c>
      <c r="CE119" s="34">
        <f>IF(SUM($I119:CD119)&lt;1,IF($C119&lt;=CE$4,1/$E$41,0),0)</f>
        <v>0</v>
      </c>
      <c r="CF119" s="34">
        <f>IF(SUM($I119:CE119)&lt;1,IF($C119&lt;=CF$4,1/$E$41,0),0)</f>
        <v>0.25</v>
      </c>
      <c r="CG119" s="34">
        <f>IF(SUM($I119:CF119)&lt;1,IF($C119&lt;=CG$4,1/$E$41,0),0)</f>
        <v>0.25</v>
      </c>
      <c r="CH119" s="34">
        <f>IF(SUM($I119:CG119)&lt;1,IF($C119&lt;=CH$4,1/$E$41,0),0)</f>
        <v>0.25</v>
      </c>
      <c r="CI119" s="34">
        <f>IF(SUM($I119:CH119)&lt;1,IF($C119&lt;=CI$4,1/$E$41,0),0)</f>
        <v>0.25</v>
      </c>
      <c r="CJ119" s="34">
        <f>IF(SUM($I119:CI119)&lt;1,IF($C119&lt;=CJ$4,1/$E$41,0),0)</f>
        <v>0</v>
      </c>
      <c r="CK119" s="34">
        <f>IF(SUM($I119:CJ119)&lt;1,IF($C119&lt;=CK$4,1/$E$41,0),0)</f>
        <v>0</v>
      </c>
      <c r="CL119" s="34">
        <f>IF(SUM($I119:CK119)&lt;1,IF($C119&lt;=CL$4,1/$E$41,0),0)</f>
        <v>0</v>
      </c>
      <c r="CM119" s="34">
        <f>IF(SUM($I119:CL119)&lt;1,IF($C119&lt;=CM$4,1/$E$41,0),0)</f>
        <v>0</v>
      </c>
      <c r="CN119" s="34">
        <f>IF(SUM($I119:CM119)&lt;1,IF($C119&lt;=CN$4,1/$E$41,0),0)</f>
        <v>0</v>
      </c>
      <c r="CO119" s="34">
        <f>IF(SUM($I119:CN119)&lt;1,IF($C119&lt;=CO$4,1/$E$41,0),0)</f>
        <v>0</v>
      </c>
      <c r="CP119" s="34">
        <f>IF(SUM($I119:CO119)&lt;1,IF($C119&lt;=CP$4,1/$E$41,0),0)</f>
        <v>0</v>
      </c>
      <c r="CQ119" s="34">
        <f>IF(SUM($I119:CP119)&lt;1,IF($C119&lt;=CQ$4,1/$E$41,0),0)</f>
        <v>0</v>
      </c>
      <c r="CR119" s="34">
        <f>IF(SUM($I119:CQ119)&lt;1,IF($C119&lt;=CR$4,1/$E$41,0),0)</f>
        <v>0</v>
      </c>
      <c r="CS119" s="34">
        <f>IF(SUM($I119:CR119)&lt;1,IF($C119&lt;=CS$4,1/$E$41,0),0)</f>
        <v>0</v>
      </c>
      <c r="CT119" s="34">
        <f>IF(SUM($I119:CS119)&lt;1,IF($C119&lt;=CT$4,1/$E$41,0),0)</f>
        <v>0</v>
      </c>
      <c r="CU119" s="34">
        <f>IF(SUM($I119:CT119)&lt;1,IF($C119&lt;=CU$4,1/$E$41,0),0)</f>
        <v>0</v>
      </c>
      <c r="CV119" s="34">
        <f>IF(SUM($I119:CU119)&lt;1,IF($C119&lt;=CV$4,1/$E$41,0),0)</f>
        <v>0</v>
      </c>
      <c r="CW119" s="34">
        <f>IF(SUM($I119:CV119)&lt;1,IF($C119&lt;=CW$4,1/$E$41,0),0)</f>
        <v>0</v>
      </c>
      <c r="CX119" s="34">
        <f>IF(SUM($I119:CW119)&lt;1,IF($C119&lt;=CX$4,1/$E$41,0),0)</f>
        <v>0</v>
      </c>
      <c r="CY119" s="34">
        <f>IF(SUM($I119:CX119)&lt;1,IF($C119&lt;=CY$4,1/$E$41,0),0)</f>
        <v>0</v>
      </c>
      <c r="CZ119" s="34">
        <f>IF(SUM($I119:CY119)&lt;1,IF($C119&lt;=CZ$4,1/$E$41,0),0)</f>
        <v>0</v>
      </c>
      <c r="DA119" s="34">
        <f>IF(SUM($I119:CZ119)&lt;1,IF($C119&lt;=DA$4,1/$E$41,0),0)</f>
        <v>0</v>
      </c>
      <c r="DB119" s="34">
        <f>IF(SUM($I119:DA119)&lt;1,IF($C119&lt;=DB$4,1/$E$41,0),0)</f>
        <v>0</v>
      </c>
      <c r="DC119" s="34">
        <f>IF(SUM($I119:DB119)&lt;1,IF($C119&lt;=DC$4,1/$E$41,0),0)</f>
        <v>0</v>
      </c>
      <c r="DD119" s="34">
        <f>IF(SUM($I119:DC119)&lt;1,IF($C119&lt;=DD$4,1/$E$41,0),0)</f>
        <v>0</v>
      </c>
      <c r="DE119" s="34">
        <f>IF(SUM($I119:DD119)&lt;1,IF($C119&lt;=DE$4,1/$E$41,0),0)</f>
        <v>0</v>
      </c>
      <c r="DF119" s="34">
        <f>IF(SUM($I119:DE119)&lt;1,IF($C119&lt;=DF$4,1/$E$41,0),0)</f>
        <v>0</v>
      </c>
      <c r="DG119" s="34">
        <f>IF(SUM($I119:DF119)&lt;1,IF($C119&lt;=DG$4,1/$E$41,0),0)</f>
        <v>0</v>
      </c>
      <c r="DH119" s="34">
        <f>IF(SUM($I119:DG119)&lt;1,IF($C119&lt;=DH$4,1/$E$41,0),0)</f>
        <v>0</v>
      </c>
      <c r="DI119" s="34">
        <f>IF(SUM($I119:DH119)&lt;1,IF($C119&lt;=DI$4,1/$E$41,0),0)</f>
        <v>0</v>
      </c>
      <c r="DJ119" s="34">
        <f>IF(SUM($I119:DI119)&lt;1,IF($C119&lt;=DJ$4,1/$E$41,0),0)</f>
        <v>0</v>
      </c>
      <c r="DK119" s="34">
        <f>IF(SUM($I119:DJ119)&lt;1,IF($C119&lt;=DK$4,1/$E$41,0),0)</f>
        <v>0</v>
      </c>
      <c r="DL119" s="34">
        <f>IF(SUM($I119:DK119)&lt;1,IF($C119&lt;=DL$4,1/$E$41,0),0)</f>
        <v>0</v>
      </c>
      <c r="DM119" s="34">
        <f>IF(SUM($I119:DL119)&lt;1,IF($C119&lt;=DM$4,1/$E$41,0),0)</f>
        <v>0</v>
      </c>
    </row>
    <row r="120" spans="3:117" outlineLevel="1" x14ac:dyDescent="0.15">
      <c r="C120" s="50">
        <f t="shared" si="51"/>
        <v>76</v>
      </c>
      <c r="D120" s="5" t="s">
        <v>18</v>
      </c>
      <c r="E120" s="19">
        <f t="shared" si="50"/>
        <v>0</v>
      </c>
      <c r="I120" s="9"/>
      <c r="J120" s="34">
        <f>IF(SUM($I120:I120)&lt;1,IF($C120&lt;=J$4,1/$E$41,0),0)</f>
        <v>0</v>
      </c>
      <c r="K120" s="34">
        <f>IF(SUM($I120:J120)&lt;1,IF($C120&lt;=K$4,1/$E$41,0),0)</f>
        <v>0</v>
      </c>
      <c r="L120" s="34">
        <f>IF(SUM($I120:K120)&lt;1,IF($C120&lt;=L$4,1/$E$41,0),0)</f>
        <v>0</v>
      </c>
      <c r="M120" s="34">
        <f>IF(SUM($I120:L120)&lt;1,IF($C120&lt;=M$4,1/$E$41,0),0)</f>
        <v>0</v>
      </c>
      <c r="N120" s="34">
        <f>IF(SUM($I120:M120)&lt;1,IF($C120&lt;=N$4,1/$E$41,0),0)</f>
        <v>0</v>
      </c>
      <c r="O120" s="34">
        <f>IF(SUM($I120:N120)&lt;1,IF($C120&lt;=O$4,1/$E$41,0),0)</f>
        <v>0</v>
      </c>
      <c r="P120" s="34">
        <f>IF(SUM($I120:O120)&lt;1,IF($C120&lt;=P$4,1/$E$41,0),0)</f>
        <v>0</v>
      </c>
      <c r="Q120" s="34">
        <f>IF(SUM($I120:P120)&lt;1,IF($C120&lt;=Q$4,1/$E$41,0),0)</f>
        <v>0</v>
      </c>
      <c r="R120" s="34">
        <f>IF(SUM($I120:Q120)&lt;1,IF($C120&lt;=R$4,1/$E$41,0),0)</f>
        <v>0</v>
      </c>
      <c r="S120" s="34">
        <f>IF(SUM($I120:R120)&lt;1,IF($C120&lt;=S$4,1/$E$41,0),0)</f>
        <v>0</v>
      </c>
      <c r="T120" s="34">
        <f>IF(SUM($I120:S120)&lt;1,IF($C120&lt;=T$4,1/$E$41,0),0)</f>
        <v>0</v>
      </c>
      <c r="U120" s="34">
        <f>IF(SUM($I120:T120)&lt;1,IF($C120&lt;=U$4,1/$E$41,0),0)</f>
        <v>0</v>
      </c>
      <c r="V120" s="34">
        <f>IF(SUM($I120:U120)&lt;1,IF($C120&lt;=V$4,1/$E$41,0),0)</f>
        <v>0</v>
      </c>
      <c r="W120" s="34">
        <f>IF(SUM($I120:V120)&lt;1,IF($C120&lt;=W$4,1/$E$41,0),0)</f>
        <v>0</v>
      </c>
      <c r="X120" s="34">
        <f>IF(SUM($I120:W120)&lt;1,IF($C120&lt;=X$4,1/$E$41,0),0)</f>
        <v>0</v>
      </c>
      <c r="Y120" s="34">
        <f>IF(SUM($I120:X120)&lt;1,IF($C120&lt;=Y$4,1/$E$41,0),0)</f>
        <v>0</v>
      </c>
      <c r="Z120" s="34">
        <f>IF(SUM($I120:Y120)&lt;1,IF($C120&lt;=Z$4,1/$E$41,0),0)</f>
        <v>0</v>
      </c>
      <c r="AA120" s="34">
        <f>IF(SUM($I120:Z120)&lt;1,IF($C120&lt;=AA$4,1/$E$41,0),0)</f>
        <v>0</v>
      </c>
      <c r="AB120" s="34">
        <f>IF(SUM($I120:AA120)&lt;1,IF($C120&lt;=AB$4,1/$E$41,0),0)</f>
        <v>0</v>
      </c>
      <c r="AC120" s="34">
        <f>IF(SUM($I120:AB120)&lt;1,IF($C120&lt;=AC$4,1/$E$41,0),0)</f>
        <v>0</v>
      </c>
      <c r="AD120" s="34">
        <f>IF(SUM($I120:AC120)&lt;1,IF($C120&lt;=AD$4,1/$E$41,0),0)</f>
        <v>0</v>
      </c>
      <c r="AE120" s="34">
        <f>IF(SUM($I120:AD120)&lt;1,IF($C120&lt;=AE$4,1/$E$41,0),0)</f>
        <v>0</v>
      </c>
      <c r="AF120" s="34">
        <f>IF(SUM($I120:AE120)&lt;1,IF($C120&lt;=AF$4,1/$E$41,0),0)</f>
        <v>0</v>
      </c>
      <c r="AG120" s="34">
        <f>IF(SUM($I120:AF120)&lt;1,IF($C120&lt;=AG$4,1/$E$41,0),0)</f>
        <v>0</v>
      </c>
      <c r="AH120" s="34">
        <f>IF(SUM($I120:AG120)&lt;1,IF($C120&lt;=AH$4,1/$E$41,0),0)</f>
        <v>0</v>
      </c>
      <c r="AI120" s="34">
        <f>IF(SUM($I120:AH120)&lt;1,IF($C120&lt;=AI$4,1/$E$41,0),0)</f>
        <v>0</v>
      </c>
      <c r="AJ120" s="34">
        <f>IF(SUM($I120:AI120)&lt;1,IF($C120&lt;=AJ$4,1/$E$41,0),0)</f>
        <v>0</v>
      </c>
      <c r="AK120" s="34">
        <f>IF(SUM($I120:AJ120)&lt;1,IF($C120&lt;=AK$4,1/$E$41,0),0)</f>
        <v>0</v>
      </c>
      <c r="AL120" s="34">
        <f>IF(SUM($I120:AK120)&lt;1,IF($C120&lt;=AL$4,1/$E$41,0),0)</f>
        <v>0</v>
      </c>
      <c r="AM120" s="34">
        <f>IF(SUM($I120:AL120)&lt;1,IF($C120&lt;=AM$4,1/$E$41,0),0)</f>
        <v>0</v>
      </c>
      <c r="AN120" s="34">
        <f>IF(SUM($I120:AM120)&lt;1,IF($C120&lt;=AN$4,1/$E$41,0),0)</f>
        <v>0</v>
      </c>
      <c r="AO120" s="34">
        <f>IF(SUM($I120:AN120)&lt;1,IF($C120&lt;=AO$4,1/$E$41,0),0)</f>
        <v>0</v>
      </c>
      <c r="AP120" s="34">
        <f>IF(SUM($I120:AO120)&lt;1,IF($C120&lt;=AP$4,1/$E$41,0),0)</f>
        <v>0</v>
      </c>
      <c r="AQ120" s="34">
        <f>IF(SUM($I120:AP120)&lt;1,IF($C120&lt;=AQ$4,1/$E$41,0),0)</f>
        <v>0</v>
      </c>
      <c r="AR120" s="34">
        <f>IF(SUM($I120:AQ120)&lt;1,IF($C120&lt;=AR$4,1/$E$41,0),0)</f>
        <v>0</v>
      </c>
      <c r="AS120" s="34">
        <f>IF(SUM($I120:AR120)&lt;1,IF($C120&lt;=AS$4,1/$E$41,0),0)</f>
        <v>0</v>
      </c>
      <c r="AT120" s="34">
        <f>IF(SUM($I120:AS120)&lt;1,IF($C120&lt;=AT$4,1/$E$41,0),0)</f>
        <v>0</v>
      </c>
      <c r="AU120" s="34">
        <f>IF(SUM($I120:AT120)&lt;1,IF($C120&lt;=AU$4,1/$E$41,0),0)</f>
        <v>0</v>
      </c>
      <c r="AV120" s="34">
        <f>IF(SUM($I120:AU120)&lt;1,IF($C120&lt;=AV$4,1/$E$41,0),0)</f>
        <v>0</v>
      </c>
      <c r="AW120" s="34">
        <f>IF(SUM($I120:AV120)&lt;1,IF($C120&lt;=AW$4,1/$E$41,0),0)</f>
        <v>0</v>
      </c>
      <c r="AX120" s="34">
        <f>IF(SUM($I120:AW120)&lt;1,IF($C120&lt;=AX$4,1/$E$41,0),0)</f>
        <v>0</v>
      </c>
      <c r="AY120" s="34">
        <f>IF(SUM($I120:AX120)&lt;1,IF($C120&lt;=AY$4,1/$E$41,0),0)</f>
        <v>0</v>
      </c>
      <c r="AZ120" s="34">
        <f>IF(SUM($I120:AY120)&lt;1,IF($C120&lt;=AZ$4,1/$E$41,0),0)</f>
        <v>0</v>
      </c>
      <c r="BA120" s="34">
        <f>IF(SUM($I120:AZ120)&lt;1,IF($C120&lt;=BA$4,1/$E$41,0),0)</f>
        <v>0</v>
      </c>
      <c r="BB120" s="34">
        <f>IF(SUM($I120:BA120)&lt;1,IF($C120&lt;=BB$4,1/$E$41,0),0)</f>
        <v>0</v>
      </c>
      <c r="BC120" s="34">
        <f>IF(SUM($I120:BB120)&lt;1,IF($C120&lt;=BC$4,1/$E$41,0),0)</f>
        <v>0</v>
      </c>
      <c r="BD120" s="34">
        <f>IF(SUM($I120:BC120)&lt;1,IF($C120&lt;=BD$4,1/$E$41,0),0)</f>
        <v>0</v>
      </c>
      <c r="BE120" s="34">
        <f>IF(SUM($I120:BD120)&lt;1,IF($C120&lt;=BE$4,1/$E$41,0),0)</f>
        <v>0</v>
      </c>
      <c r="BF120" s="34">
        <f>IF(SUM($I120:BE120)&lt;1,IF($C120&lt;=BF$4,1/$E$41,0),0)</f>
        <v>0</v>
      </c>
      <c r="BG120" s="34">
        <f>IF(SUM($I120:BF120)&lt;1,IF($C120&lt;=BG$4,1/$E$41,0),0)</f>
        <v>0</v>
      </c>
      <c r="BH120" s="34">
        <f>IF(SUM($I120:BG120)&lt;1,IF($C120&lt;=BH$4,1/$E$41,0),0)</f>
        <v>0</v>
      </c>
      <c r="BI120" s="34">
        <f>IF(SUM($I120:BH120)&lt;1,IF($C120&lt;=BI$4,1/$E$41,0),0)</f>
        <v>0</v>
      </c>
      <c r="BJ120" s="34">
        <f>IF(SUM($I120:BI120)&lt;1,IF($C120&lt;=BJ$4,1/$E$41,0),0)</f>
        <v>0</v>
      </c>
      <c r="BK120" s="34">
        <f>IF(SUM($I120:BJ120)&lt;1,IF($C120&lt;=BK$4,1/$E$41,0),0)</f>
        <v>0</v>
      </c>
      <c r="BL120" s="34">
        <f>IF(SUM($I120:BK120)&lt;1,IF($C120&lt;=BL$4,1/$E$41,0),0)</f>
        <v>0</v>
      </c>
      <c r="BM120" s="34">
        <f>IF(SUM($I120:BL120)&lt;1,IF($C120&lt;=BM$4,1/$E$41,0),0)</f>
        <v>0</v>
      </c>
      <c r="BN120" s="34">
        <f>IF(SUM($I120:BM120)&lt;1,IF($C120&lt;=BN$4,1/$E$41,0),0)</f>
        <v>0</v>
      </c>
      <c r="BO120" s="34">
        <f>IF(SUM($I120:BN120)&lt;1,IF($C120&lt;=BO$4,1/$E$41,0),0)</f>
        <v>0</v>
      </c>
      <c r="BP120" s="34">
        <f>IF(SUM($I120:BO120)&lt;1,IF($C120&lt;=BP$4,1/$E$41,0),0)</f>
        <v>0</v>
      </c>
      <c r="BQ120" s="34">
        <f>IF(SUM($I120:BP120)&lt;1,IF($C120&lt;=BQ$4,1/$E$41,0),0)</f>
        <v>0</v>
      </c>
      <c r="BR120" s="34">
        <f>IF(SUM($I120:BQ120)&lt;1,IF($C120&lt;=BR$4,1/$E$41,0),0)</f>
        <v>0</v>
      </c>
      <c r="BS120" s="34">
        <f>IF(SUM($I120:BR120)&lt;1,IF($C120&lt;=BS$4,1/$E$41,0),0)</f>
        <v>0</v>
      </c>
      <c r="BT120" s="34">
        <f>IF(SUM($I120:BS120)&lt;1,IF($C120&lt;=BT$4,1/$E$41,0),0)</f>
        <v>0</v>
      </c>
      <c r="BU120" s="34">
        <f>IF(SUM($I120:BT120)&lt;1,IF($C120&lt;=BU$4,1/$E$41,0),0)</f>
        <v>0</v>
      </c>
      <c r="BV120" s="34">
        <f>IF(SUM($I120:BU120)&lt;1,IF($C120&lt;=BV$4,1/$E$41,0),0)</f>
        <v>0</v>
      </c>
      <c r="BW120" s="34">
        <f>IF(SUM($I120:BV120)&lt;1,IF($C120&lt;=BW$4,1/$E$41,0),0)</f>
        <v>0</v>
      </c>
      <c r="BX120" s="34">
        <f>IF(SUM($I120:BW120)&lt;1,IF($C120&lt;=BX$4,1/$E$41,0),0)</f>
        <v>0</v>
      </c>
      <c r="BY120" s="34">
        <f>IF(SUM($I120:BX120)&lt;1,IF($C120&lt;=BY$4,1/$E$41,0),0)</f>
        <v>0</v>
      </c>
      <c r="BZ120" s="34">
        <f>IF(SUM($I120:BY120)&lt;1,IF($C120&lt;=BZ$4,1/$E$41,0),0)</f>
        <v>0</v>
      </c>
      <c r="CA120" s="34">
        <f>IF(SUM($I120:BZ120)&lt;1,IF($C120&lt;=CA$4,1/$E$41,0),0)</f>
        <v>0</v>
      </c>
      <c r="CB120" s="34">
        <f>IF(SUM($I120:CA120)&lt;1,IF($C120&lt;=CB$4,1/$E$41,0),0)</f>
        <v>0</v>
      </c>
      <c r="CC120" s="34">
        <f>IF(SUM($I120:CB120)&lt;1,IF($C120&lt;=CC$4,1/$E$41,0),0)</f>
        <v>0</v>
      </c>
      <c r="CD120" s="34">
        <f>IF(SUM($I120:CC120)&lt;1,IF($C120&lt;=CD$4,1/$E$41,0),0)</f>
        <v>0</v>
      </c>
      <c r="CE120" s="34">
        <f>IF(SUM($I120:CD120)&lt;1,IF($C120&lt;=CE$4,1/$E$41,0),0)</f>
        <v>0</v>
      </c>
      <c r="CF120" s="34">
        <f>IF(SUM($I120:CE120)&lt;1,IF($C120&lt;=CF$4,1/$E$41,0),0)</f>
        <v>0</v>
      </c>
      <c r="CG120" s="34">
        <f>IF(SUM($I120:CF120)&lt;1,IF($C120&lt;=CG$4,1/$E$41,0),0)</f>
        <v>0.25</v>
      </c>
      <c r="CH120" s="34">
        <f>IF(SUM($I120:CG120)&lt;1,IF($C120&lt;=CH$4,1/$E$41,0),0)</f>
        <v>0.25</v>
      </c>
      <c r="CI120" s="34">
        <f>IF(SUM($I120:CH120)&lt;1,IF($C120&lt;=CI$4,1/$E$41,0),0)</f>
        <v>0.25</v>
      </c>
      <c r="CJ120" s="34">
        <f>IF(SUM($I120:CI120)&lt;1,IF($C120&lt;=CJ$4,1/$E$41,0),0)</f>
        <v>0.25</v>
      </c>
      <c r="CK120" s="34">
        <f>IF(SUM($I120:CJ120)&lt;1,IF($C120&lt;=CK$4,1/$E$41,0),0)</f>
        <v>0</v>
      </c>
      <c r="CL120" s="34">
        <f>IF(SUM($I120:CK120)&lt;1,IF($C120&lt;=CL$4,1/$E$41,0),0)</f>
        <v>0</v>
      </c>
      <c r="CM120" s="34">
        <f>IF(SUM($I120:CL120)&lt;1,IF($C120&lt;=CM$4,1/$E$41,0),0)</f>
        <v>0</v>
      </c>
      <c r="CN120" s="34">
        <f>IF(SUM($I120:CM120)&lt;1,IF($C120&lt;=CN$4,1/$E$41,0),0)</f>
        <v>0</v>
      </c>
      <c r="CO120" s="34">
        <f>IF(SUM($I120:CN120)&lt;1,IF($C120&lt;=CO$4,1/$E$41,0),0)</f>
        <v>0</v>
      </c>
      <c r="CP120" s="34">
        <f>IF(SUM($I120:CO120)&lt;1,IF($C120&lt;=CP$4,1/$E$41,0),0)</f>
        <v>0</v>
      </c>
      <c r="CQ120" s="34">
        <f>IF(SUM($I120:CP120)&lt;1,IF($C120&lt;=CQ$4,1/$E$41,0),0)</f>
        <v>0</v>
      </c>
      <c r="CR120" s="34">
        <f>IF(SUM($I120:CQ120)&lt;1,IF($C120&lt;=CR$4,1/$E$41,0),0)</f>
        <v>0</v>
      </c>
      <c r="CS120" s="34">
        <f>IF(SUM($I120:CR120)&lt;1,IF($C120&lt;=CS$4,1/$E$41,0),0)</f>
        <v>0</v>
      </c>
      <c r="CT120" s="34">
        <f>IF(SUM($I120:CS120)&lt;1,IF($C120&lt;=CT$4,1/$E$41,0),0)</f>
        <v>0</v>
      </c>
      <c r="CU120" s="34">
        <f>IF(SUM($I120:CT120)&lt;1,IF($C120&lt;=CU$4,1/$E$41,0),0)</f>
        <v>0</v>
      </c>
      <c r="CV120" s="34">
        <f>IF(SUM($I120:CU120)&lt;1,IF($C120&lt;=CV$4,1/$E$41,0),0)</f>
        <v>0</v>
      </c>
      <c r="CW120" s="34">
        <f>IF(SUM($I120:CV120)&lt;1,IF($C120&lt;=CW$4,1/$E$41,0),0)</f>
        <v>0</v>
      </c>
      <c r="CX120" s="34">
        <f>IF(SUM($I120:CW120)&lt;1,IF($C120&lt;=CX$4,1/$E$41,0),0)</f>
        <v>0</v>
      </c>
      <c r="CY120" s="34">
        <f>IF(SUM($I120:CX120)&lt;1,IF($C120&lt;=CY$4,1/$E$41,0),0)</f>
        <v>0</v>
      </c>
      <c r="CZ120" s="34">
        <f>IF(SUM($I120:CY120)&lt;1,IF($C120&lt;=CZ$4,1/$E$41,0),0)</f>
        <v>0</v>
      </c>
      <c r="DA120" s="34">
        <f>IF(SUM($I120:CZ120)&lt;1,IF($C120&lt;=DA$4,1/$E$41,0),0)</f>
        <v>0</v>
      </c>
      <c r="DB120" s="34">
        <f>IF(SUM($I120:DA120)&lt;1,IF($C120&lt;=DB$4,1/$E$41,0),0)</f>
        <v>0</v>
      </c>
      <c r="DC120" s="34">
        <f>IF(SUM($I120:DB120)&lt;1,IF($C120&lt;=DC$4,1/$E$41,0),0)</f>
        <v>0</v>
      </c>
      <c r="DD120" s="34">
        <f>IF(SUM($I120:DC120)&lt;1,IF($C120&lt;=DD$4,1/$E$41,0),0)</f>
        <v>0</v>
      </c>
      <c r="DE120" s="34">
        <f>IF(SUM($I120:DD120)&lt;1,IF($C120&lt;=DE$4,1/$E$41,0),0)</f>
        <v>0</v>
      </c>
      <c r="DF120" s="34">
        <f>IF(SUM($I120:DE120)&lt;1,IF($C120&lt;=DF$4,1/$E$41,0),0)</f>
        <v>0</v>
      </c>
      <c r="DG120" s="34">
        <f>IF(SUM($I120:DF120)&lt;1,IF($C120&lt;=DG$4,1/$E$41,0),0)</f>
        <v>0</v>
      </c>
      <c r="DH120" s="34">
        <f>IF(SUM($I120:DG120)&lt;1,IF($C120&lt;=DH$4,1/$E$41,0),0)</f>
        <v>0</v>
      </c>
      <c r="DI120" s="34">
        <f>IF(SUM($I120:DH120)&lt;1,IF($C120&lt;=DI$4,1/$E$41,0),0)</f>
        <v>0</v>
      </c>
      <c r="DJ120" s="34">
        <f>IF(SUM($I120:DI120)&lt;1,IF($C120&lt;=DJ$4,1/$E$41,0),0)</f>
        <v>0</v>
      </c>
      <c r="DK120" s="34">
        <f>IF(SUM($I120:DJ120)&lt;1,IF($C120&lt;=DK$4,1/$E$41,0),0)</f>
        <v>0</v>
      </c>
      <c r="DL120" s="34">
        <f>IF(SUM($I120:DK120)&lt;1,IF($C120&lt;=DL$4,1/$E$41,0),0)</f>
        <v>0</v>
      </c>
      <c r="DM120" s="34">
        <f>IF(SUM($I120:DL120)&lt;1,IF($C120&lt;=DM$4,1/$E$41,0),0)</f>
        <v>0</v>
      </c>
    </row>
    <row r="121" spans="3:117" outlineLevel="1" x14ac:dyDescent="0.15">
      <c r="C121" s="50">
        <f t="shared" si="51"/>
        <v>77</v>
      </c>
      <c r="D121" s="5" t="s">
        <v>18</v>
      </c>
      <c r="E121" s="19">
        <f t="shared" si="50"/>
        <v>0</v>
      </c>
      <c r="I121" s="9"/>
      <c r="J121" s="34">
        <f>IF(SUM($I121:I121)&lt;1,IF($C121&lt;=J$4,1/$E$41,0),0)</f>
        <v>0</v>
      </c>
      <c r="K121" s="34">
        <f>IF(SUM($I121:J121)&lt;1,IF($C121&lt;=K$4,1/$E$41,0),0)</f>
        <v>0</v>
      </c>
      <c r="L121" s="34">
        <f>IF(SUM($I121:K121)&lt;1,IF($C121&lt;=L$4,1/$E$41,0),0)</f>
        <v>0</v>
      </c>
      <c r="M121" s="34">
        <f>IF(SUM($I121:L121)&lt;1,IF($C121&lt;=M$4,1/$E$41,0),0)</f>
        <v>0</v>
      </c>
      <c r="N121" s="34">
        <f>IF(SUM($I121:M121)&lt;1,IF($C121&lt;=N$4,1/$E$41,0),0)</f>
        <v>0</v>
      </c>
      <c r="O121" s="34">
        <f>IF(SUM($I121:N121)&lt;1,IF($C121&lt;=O$4,1/$E$41,0),0)</f>
        <v>0</v>
      </c>
      <c r="P121" s="34">
        <f>IF(SUM($I121:O121)&lt;1,IF($C121&lt;=P$4,1/$E$41,0),0)</f>
        <v>0</v>
      </c>
      <c r="Q121" s="34">
        <f>IF(SUM($I121:P121)&lt;1,IF($C121&lt;=Q$4,1/$E$41,0),0)</f>
        <v>0</v>
      </c>
      <c r="R121" s="34">
        <f>IF(SUM($I121:Q121)&lt;1,IF($C121&lt;=R$4,1/$E$41,0),0)</f>
        <v>0</v>
      </c>
      <c r="S121" s="34">
        <f>IF(SUM($I121:R121)&lt;1,IF($C121&lt;=S$4,1/$E$41,0),0)</f>
        <v>0</v>
      </c>
      <c r="T121" s="34">
        <f>IF(SUM($I121:S121)&lt;1,IF($C121&lt;=T$4,1/$E$41,0),0)</f>
        <v>0</v>
      </c>
      <c r="U121" s="34">
        <f>IF(SUM($I121:T121)&lt;1,IF($C121&lt;=U$4,1/$E$41,0),0)</f>
        <v>0</v>
      </c>
      <c r="V121" s="34">
        <f>IF(SUM($I121:U121)&lt;1,IF($C121&lt;=V$4,1/$E$41,0),0)</f>
        <v>0</v>
      </c>
      <c r="W121" s="34">
        <f>IF(SUM($I121:V121)&lt;1,IF($C121&lt;=W$4,1/$E$41,0),0)</f>
        <v>0</v>
      </c>
      <c r="X121" s="34">
        <f>IF(SUM($I121:W121)&lt;1,IF($C121&lt;=X$4,1/$E$41,0),0)</f>
        <v>0</v>
      </c>
      <c r="Y121" s="34">
        <f>IF(SUM($I121:X121)&lt;1,IF($C121&lt;=Y$4,1/$E$41,0),0)</f>
        <v>0</v>
      </c>
      <c r="Z121" s="34">
        <f>IF(SUM($I121:Y121)&lt;1,IF($C121&lt;=Z$4,1/$E$41,0),0)</f>
        <v>0</v>
      </c>
      <c r="AA121" s="34">
        <f>IF(SUM($I121:Z121)&lt;1,IF($C121&lt;=AA$4,1/$E$41,0),0)</f>
        <v>0</v>
      </c>
      <c r="AB121" s="34">
        <f>IF(SUM($I121:AA121)&lt;1,IF($C121&lt;=AB$4,1/$E$41,0),0)</f>
        <v>0</v>
      </c>
      <c r="AC121" s="34">
        <f>IF(SUM($I121:AB121)&lt;1,IF($C121&lt;=AC$4,1/$E$41,0),0)</f>
        <v>0</v>
      </c>
      <c r="AD121" s="34">
        <f>IF(SUM($I121:AC121)&lt;1,IF($C121&lt;=AD$4,1/$E$41,0),0)</f>
        <v>0</v>
      </c>
      <c r="AE121" s="34">
        <f>IF(SUM($I121:AD121)&lt;1,IF($C121&lt;=AE$4,1/$E$41,0),0)</f>
        <v>0</v>
      </c>
      <c r="AF121" s="34">
        <f>IF(SUM($I121:AE121)&lt;1,IF($C121&lt;=AF$4,1/$E$41,0),0)</f>
        <v>0</v>
      </c>
      <c r="AG121" s="34">
        <f>IF(SUM($I121:AF121)&lt;1,IF($C121&lt;=AG$4,1/$E$41,0),0)</f>
        <v>0</v>
      </c>
      <c r="AH121" s="34">
        <f>IF(SUM($I121:AG121)&lt;1,IF($C121&lt;=AH$4,1/$E$41,0),0)</f>
        <v>0</v>
      </c>
      <c r="AI121" s="34">
        <f>IF(SUM($I121:AH121)&lt;1,IF($C121&lt;=AI$4,1/$E$41,0),0)</f>
        <v>0</v>
      </c>
      <c r="AJ121" s="34">
        <f>IF(SUM($I121:AI121)&lt;1,IF($C121&lt;=AJ$4,1/$E$41,0),0)</f>
        <v>0</v>
      </c>
      <c r="AK121" s="34">
        <f>IF(SUM($I121:AJ121)&lt;1,IF($C121&lt;=AK$4,1/$E$41,0),0)</f>
        <v>0</v>
      </c>
      <c r="AL121" s="34">
        <f>IF(SUM($I121:AK121)&lt;1,IF($C121&lt;=AL$4,1/$E$41,0),0)</f>
        <v>0</v>
      </c>
      <c r="AM121" s="34">
        <f>IF(SUM($I121:AL121)&lt;1,IF($C121&lt;=AM$4,1/$E$41,0),0)</f>
        <v>0</v>
      </c>
      <c r="AN121" s="34">
        <f>IF(SUM($I121:AM121)&lt;1,IF($C121&lt;=AN$4,1/$E$41,0),0)</f>
        <v>0</v>
      </c>
      <c r="AO121" s="34">
        <f>IF(SUM($I121:AN121)&lt;1,IF($C121&lt;=AO$4,1/$E$41,0),0)</f>
        <v>0</v>
      </c>
      <c r="AP121" s="34">
        <f>IF(SUM($I121:AO121)&lt;1,IF($C121&lt;=AP$4,1/$E$41,0),0)</f>
        <v>0</v>
      </c>
      <c r="AQ121" s="34">
        <f>IF(SUM($I121:AP121)&lt;1,IF($C121&lt;=AQ$4,1/$E$41,0),0)</f>
        <v>0</v>
      </c>
      <c r="AR121" s="34">
        <f>IF(SUM($I121:AQ121)&lt;1,IF($C121&lt;=AR$4,1/$E$41,0),0)</f>
        <v>0</v>
      </c>
      <c r="AS121" s="34">
        <f>IF(SUM($I121:AR121)&lt;1,IF($C121&lt;=AS$4,1/$E$41,0),0)</f>
        <v>0</v>
      </c>
      <c r="AT121" s="34">
        <f>IF(SUM($I121:AS121)&lt;1,IF($C121&lt;=AT$4,1/$E$41,0),0)</f>
        <v>0</v>
      </c>
      <c r="AU121" s="34">
        <f>IF(SUM($I121:AT121)&lt;1,IF($C121&lt;=AU$4,1/$E$41,0),0)</f>
        <v>0</v>
      </c>
      <c r="AV121" s="34">
        <f>IF(SUM($I121:AU121)&lt;1,IF($C121&lt;=AV$4,1/$E$41,0),0)</f>
        <v>0</v>
      </c>
      <c r="AW121" s="34">
        <f>IF(SUM($I121:AV121)&lt;1,IF($C121&lt;=AW$4,1/$E$41,0),0)</f>
        <v>0</v>
      </c>
      <c r="AX121" s="34">
        <f>IF(SUM($I121:AW121)&lt;1,IF($C121&lt;=AX$4,1/$E$41,0),0)</f>
        <v>0</v>
      </c>
      <c r="AY121" s="34">
        <f>IF(SUM($I121:AX121)&lt;1,IF($C121&lt;=AY$4,1/$E$41,0),0)</f>
        <v>0</v>
      </c>
      <c r="AZ121" s="34">
        <f>IF(SUM($I121:AY121)&lt;1,IF($C121&lt;=AZ$4,1/$E$41,0),0)</f>
        <v>0</v>
      </c>
      <c r="BA121" s="34">
        <f>IF(SUM($I121:AZ121)&lt;1,IF($C121&lt;=BA$4,1/$E$41,0),0)</f>
        <v>0</v>
      </c>
      <c r="BB121" s="34">
        <f>IF(SUM($I121:BA121)&lt;1,IF($C121&lt;=BB$4,1/$E$41,0),0)</f>
        <v>0</v>
      </c>
      <c r="BC121" s="34">
        <f>IF(SUM($I121:BB121)&lt;1,IF($C121&lt;=BC$4,1/$E$41,0),0)</f>
        <v>0</v>
      </c>
      <c r="BD121" s="34">
        <f>IF(SUM($I121:BC121)&lt;1,IF($C121&lt;=BD$4,1/$E$41,0),0)</f>
        <v>0</v>
      </c>
      <c r="BE121" s="34">
        <f>IF(SUM($I121:BD121)&lt;1,IF($C121&lt;=BE$4,1/$E$41,0),0)</f>
        <v>0</v>
      </c>
      <c r="BF121" s="34">
        <f>IF(SUM($I121:BE121)&lt;1,IF($C121&lt;=BF$4,1/$E$41,0),0)</f>
        <v>0</v>
      </c>
      <c r="BG121" s="34">
        <f>IF(SUM($I121:BF121)&lt;1,IF($C121&lt;=BG$4,1/$E$41,0),0)</f>
        <v>0</v>
      </c>
      <c r="BH121" s="34">
        <f>IF(SUM($I121:BG121)&lt;1,IF($C121&lt;=BH$4,1/$E$41,0),0)</f>
        <v>0</v>
      </c>
      <c r="BI121" s="34">
        <f>IF(SUM($I121:BH121)&lt;1,IF($C121&lt;=BI$4,1/$E$41,0),0)</f>
        <v>0</v>
      </c>
      <c r="BJ121" s="34">
        <f>IF(SUM($I121:BI121)&lt;1,IF($C121&lt;=BJ$4,1/$E$41,0),0)</f>
        <v>0</v>
      </c>
      <c r="BK121" s="34">
        <f>IF(SUM($I121:BJ121)&lt;1,IF($C121&lt;=BK$4,1/$E$41,0),0)</f>
        <v>0</v>
      </c>
      <c r="BL121" s="34">
        <f>IF(SUM($I121:BK121)&lt;1,IF($C121&lt;=BL$4,1/$E$41,0),0)</f>
        <v>0</v>
      </c>
      <c r="BM121" s="34">
        <f>IF(SUM($I121:BL121)&lt;1,IF($C121&lt;=BM$4,1/$E$41,0),0)</f>
        <v>0</v>
      </c>
      <c r="BN121" s="34">
        <f>IF(SUM($I121:BM121)&lt;1,IF($C121&lt;=BN$4,1/$E$41,0),0)</f>
        <v>0</v>
      </c>
      <c r="BO121" s="34">
        <f>IF(SUM($I121:BN121)&lt;1,IF($C121&lt;=BO$4,1/$E$41,0),0)</f>
        <v>0</v>
      </c>
      <c r="BP121" s="34">
        <f>IF(SUM($I121:BO121)&lt;1,IF($C121&lt;=BP$4,1/$E$41,0),0)</f>
        <v>0</v>
      </c>
      <c r="BQ121" s="34">
        <f>IF(SUM($I121:BP121)&lt;1,IF($C121&lt;=BQ$4,1/$E$41,0),0)</f>
        <v>0</v>
      </c>
      <c r="BR121" s="34">
        <f>IF(SUM($I121:BQ121)&lt;1,IF($C121&lt;=BR$4,1/$E$41,0),0)</f>
        <v>0</v>
      </c>
      <c r="BS121" s="34">
        <f>IF(SUM($I121:BR121)&lt;1,IF($C121&lt;=BS$4,1/$E$41,0),0)</f>
        <v>0</v>
      </c>
      <c r="BT121" s="34">
        <f>IF(SUM($I121:BS121)&lt;1,IF($C121&lt;=BT$4,1/$E$41,0),0)</f>
        <v>0</v>
      </c>
      <c r="BU121" s="34">
        <f>IF(SUM($I121:BT121)&lt;1,IF($C121&lt;=BU$4,1/$E$41,0),0)</f>
        <v>0</v>
      </c>
      <c r="BV121" s="34">
        <f>IF(SUM($I121:BU121)&lt;1,IF($C121&lt;=BV$4,1/$E$41,0),0)</f>
        <v>0</v>
      </c>
      <c r="BW121" s="34">
        <f>IF(SUM($I121:BV121)&lt;1,IF($C121&lt;=BW$4,1/$E$41,0),0)</f>
        <v>0</v>
      </c>
      <c r="BX121" s="34">
        <f>IF(SUM($I121:BW121)&lt;1,IF($C121&lt;=BX$4,1/$E$41,0),0)</f>
        <v>0</v>
      </c>
      <c r="BY121" s="34">
        <f>IF(SUM($I121:BX121)&lt;1,IF($C121&lt;=BY$4,1/$E$41,0),0)</f>
        <v>0</v>
      </c>
      <c r="BZ121" s="34">
        <f>IF(SUM($I121:BY121)&lt;1,IF($C121&lt;=BZ$4,1/$E$41,0),0)</f>
        <v>0</v>
      </c>
      <c r="CA121" s="34">
        <f>IF(SUM($I121:BZ121)&lt;1,IF($C121&lt;=CA$4,1/$E$41,0),0)</f>
        <v>0</v>
      </c>
      <c r="CB121" s="34">
        <f>IF(SUM($I121:CA121)&lt;1,IF($C121&lt;=CB$4,1/$E$41,0),0)</f>
        <v>0</v>
      </c>
      <c r="CC121" s="34">
        <f>IF(SUM($I121:CB121)&lt;1,IF($C121&lt;=CC$4,1/$E$41,0),0)</f>
        <v>0</v>
      </c>
      <c r="CD121" s="34">
        <f>IF(SUM($I121:CC121)&lt;1,IF($C121&lt;=CD$4,1/$E$41,0),0)</f>
        <v>0</v>
      </c>
      <c r="CE121" s="34">
        <f>IF(SUM($I121:CD121)&lt;1,IF($C121&lt;=CE$4,1/$E$41,0),0)</f>
        <v>0</v>
      </c>
      <c r="CF121" s="34">
        <f>IF(SUM($I121:CE121)&lt;1,IF($C121&lt;=CF$4,1/$E$41,0),0)</f>
        <v>0</v>
      </c>
      <c r="CG121" s="34">
        <f>IF(SUM($I121:CF121)&lt;1,IF($C121&lt;=CG$4,1/$E$41,0),0)</f>
        <v>0</v>
      </c>
      <c r="CH121" s="34">
        <f>IF(SUM($I121:CG121)&lt;1,IF($C121&lt;=CH$4,1/$E$41,0),0)</f>
        <v>0.25</v>
      </c>
      <c r="CI121" s="34">
        <f>IF(SUM($I121:CH121)&lt;1,IF($C121&lt;=CI$4,1/$E$41,0),0)</f>
        <v>0.25</v>
      </c>
      <c r="CJ121" s="34">
        <f>IF(SUM($I121:CI121)&lt;1,IF($C121&lt;=CJ$4,1/$E$41,0),0)</f>
        <v>0.25</v>
      </c>
      <c r="CK121" s="34">
        <f>IF(SUM($I121:CJ121)&lt;1,IF($C121&lt;=CK$4,1/$E$41,0),0)</f>
        <v>0.25</v>
      </c>
      <c r="CL121" s="34">
        <f>IF(SUM($I121:CK121)&lt;1,IF($C121&lt;=CL$4,1/$E$41,0),0)</f>
        <v>0</v>
      </c>
      <c r="CM121" s="34">
        <f>IF(SUM($I121:CL121)&lt;1,IF($C121&lt;=CM$4,1/$E$41,0),0)</f>
        <v>0</v>
      </c>
      <c r="CN121" s="34">
        <f>IF(SUM($I121:CM121)&lt;1,IF($C121&lt;=CN$4,1/$E$41,0),0)</f>
        <v>0</v>
      </c>
      <c r="CO121" s="34">
        <f>IF(SUM($I121:CN121)&lt;1,IF($C121&lt;=CO$4,1/$E$41,0),0)</f>
        <v>0</v>
      </c>
      <c r="CP121" s="34">
        <f>IF(SUM($I121:CO121)&lt;1,IF($C121&lt;=CP$4,1/$E$41,0),0)</f>
        <v>0</v>
      </c>
      <c r="CQ121" s="34">
        <f>IF(SUM($I121:CP121)&lt;1,IF($C121&lt;=CQ$4,1/$E$41,0),0)</f>
        <v>0</v>
      </c>
      <c r="CR121" s="34">
        <f>IF(SUM($I121:CQ121)&lt;1,IF($C121&lt;=CR$4,1/$E$41,0),0)</f>
        <v>0</v>
      </c>
      <c r="CS121" s="34">
        <f>IF(SUM($I121:CR121)&lt;1,IF($C121&lt;=CS$4,1/$E$41,0),0)</f>
        <v>0</v>
      </c>
      <c r="CT121" s="34">
        <f>IF(SUM($I121:CS121)&lt;1,IF($C121&lt;=CT$4,1/$E$41,0),0)</f>
        <v>0</v>
      </c>
      <c r="CU121" s="34">
        <f>IF(SUM($I121:CT121)&lt;1,IF($C121&lt;=CU$4,1/$E$41,0),0)</f>
        <v>0</v>
      </c>
      <c r="CV121" s="34">
        <f>IF(SUM($I121:CU121)&lt;1,IF($C121&lt;=CV$4,1/$E$41,0),0)</f>
        <v>0</v>
      </c>
      <c r="CW121" s="34">
        <f>IF(SUM($I121:CV121)&lt;1,IF($C121&lt;=CW$4,1/$E$41,0),0)</f>
        <v>0</v>
      </c>
      <c r="CX121" s="34">
        <f>IF(SUM($I121:CW121)&lt;1,IF($C121&lt;=CX$4,1/$E$41,0),0)</f>
        <v>0</v>
      </c>
      <c r="CY121" s="34">
        <f>IF(SUM($I121:CX121)&lt;1,IF($C121&lt;=CY$4,1/$E$41,0),0)</f>
        <v>0</v>
      </c>
      <c r="CZ121" s="34">
        <f>IF(SUM($I121:CY121)&lt;1,IF($C121&lt;=CZ$4,1/$E$41,0),0)</f>
        <v>0</v>
      </c>
      <c r="DA121" s="34">
        <f>IF(SUM($I121:CZ121)&lt;1,IF($C121&lt;=DA$4,1/$E$41,0),0)</f>
        <v>0</v>
      </c>
      <c r="DB121" s="34">
        <f>IF(SUM($I121:DA121)&lt;1,IF($C121&lt;=DB$4,1/$E$41,0),0)</f>
        <v>0</v>
      </c>
      <c r="DC121" s="34">
        <f>IF(SUM($I121:DB121)&lt;1,IF($C121&lt;=DC$4,1/$E$41,0),0)</f>
        <v>0</v>
      </c>
      <c r="DD121" s="34">
        <f>IF(SUM($I121:DC121)&lt;1,IF($C121&lt;=DD$4,1/$E$41,0),0)</f>
        <v>0</v>
      </c>
      <c r="DE121" s="34">
        <f>IF(SUM($I121:DD121)&lt;1,IF($C121&lt;=DE$4,1/$E$41,0),0)</f>
        <v>0</v>
      </c>
      <c r="DF121" s="34">
        <f>IF(SUM($I121:DE121)&lt;1,IF($C121&lt;=DF$4,1/$E$41,0),0)</f>
        <v>0</v>
      </c>
      <c r="DG121" s="34">
        <f>IF(SUM($I121:DF121)&lt;1,IF($C121&lt;=DG$4,1/$E$41,0),0)</f>
        <v>0</v>
      </c>
      <c r="DH121" s="34">
        <f>IF(SUM($I121:DG121)&lt;1,IF($C121&lt;=DH$4,1/$E$41,0),0)</f>
        <v>0</v>
      </c>
      <c r="DI121" s="34">
        <f>IF(SUM($I121:DH121)&lt;1,IF($C121&lt;=DI$4,1/$E$41,0),0)</f>
        <v>0</v>
      </c>
      <c r="DJ121" s="34">
        <f>IF(SUM($I121:DI121)&lt;1,IF($C121&lt;=DJ$4,1/$E$41,0),0)</f>
        <v>0</v>
      </c>
      <c r="DK121" s="34">
        <f>IF(SUM($I121:DJ121)&lt;1,IF($C121&lt;=DK$4,1/$E$41,0),0)</f>
        <v>0</v>
      </c>
      <c r="DL121" s="34">
        <f>IF(SUM($I121:DK121)&lt;1,IF($C121&lt;=DL$4,1/$E$41,0),0)</f>
        <v>0</v>
      </c>
      <c r="DM121" s="34">
        <f>IF(SUM($I121:DL121)&lt;1,IF($C121&lt;=DM$4,1/$E$41,0),0)</f>
        <v>0</v>
      </c>
    </row>
    <row r="122" spans="3:117" outlineLevel="1" x14ac:dyDescent="0.15">
      <c r="C122" s="50">
        <f t="shared" si="51"/>
        <v>78</v>
      </c>
      <c r="D122" s="5" t="s">
        <v>18</v>
      </c>
      <c r="E122" s="19">
        <f t="shared" si="50"/>
        <v>0</v>
      </c>
      <c r="I122" s="9"/>
      <c r="J122" s="34">
        <f>IF(SUM($I122:I122)&lt;1,IF($C122&lt;=J$4,1/$E$41,0),0)</f>
        <v>0</v>
      </c>
      <c r="K122" s="34">
        <f>IF(SUM($I122:J122)&lt;1,IF($C122&lt;=K$4,1/$E$41,0),0)</f>
        <v>0</v>
      </c>
      <c r="L122" s="34">
        <f>IF(SUM($I122:K122)&lt;1,IF($C122&lt;=L$4,1/$E$41,0),0)</f>
        <v>0</v>
      </c>
      <c r="M122" s="34">
        <f>IF(SUM($I122:L122)&lt;1,IF($C122&lt;=M$4,1/$E$41,0),0)</f>
        <v>0</v>
      </c>
      <c r="N122" s="34">
        <f>IF(SUM($I122:M122)&lt;1,IF($C122&lt;=N$4,1/$E$41,0),0)</f>
        <v>0</v>
      </c>
      <c r="O122" s="34">
        <f>IF(SUM($I122:N122)&lt;1,IF($C122&lt;=O$4,1/$E$41,0),0)</f>
        <v>0</v>
      </c>
      <c r="P122" s="34">
        <f>IF(SUM($I122:O122)&lt;1,IF($C122&lt;=P$4,1/$E$41,0),0)</f>
        <v>0</v>
      </c>
      <c r="Q122" s="34">
        <f>IF(SUM($I122:P122)&lt;1,IF($C122&lt;=Q$4,1/$E$41,0),0)</f>
        <v>0</v>
      </c>
      <c r="R122" s="34">
        <f>IF(SUM($I122:Q122)&lt;1,IF($C122&lt;=R$4,1/$E$41,0),0)</f>
        <v>0</v>
      </c>
      <c r="S122" s="34">
        <f>IF(SUM($I122:R122)&lt;1,IF($C122&lt;=S$4,1/$E$41,0),0)</f>
        <v>0</v>
      </c>
      <c r="T122" s="34">
        <f>IF(SUM($I122:S122)&lt;1,IF($C122&lt;=T$4,1/$E$41,0),0)</f>
        <v>0</v>
      </c>
      <c r="U122" s="34">
        <f>IF(SUM($I122:T122)&lt;1,IF($C122&lt;=U$4,1/$E$41,0),0)</f>
        <v>0</v>
      </c>
      <c r="V122" s="34">
        <f>IF(SUM($I122:U122)&lt;1,IF($C122&lt;=V$4,1/$E$41,0),0)</f>
        <v>0</v>
      </c>
      <c r="W122" s="34">
        <f>IF(SUM($I122:V122)&lt;1,IF($C122&lt;=W$4,1/$E$41,0),0)</f>
        <v>0</v>
      </c>
      <c r="X122" s="34">
        <f>IF(SUM($I122:W122)&lt;1,IF($C122&lt;=X$4,1/$E$41,0),0)</f>
        <v>0</v>
      </c>
      <c r="Y122" s="34">
        <f>IF(SUM($I122:X122)&lt;1,IF($C122&lt;=Y$4,1/$E$41,0),0)</f>
        <v>0</v>
      </c>
      <c r="Z122" s="34">
        <f>IF(SUM($I122:Y122)&lt;1,IF($C122&lt;=Z$4,1/$E$41,0),0)</f>
        <v>0</v>
      </c>
      <c r="AA122" s="34">
        <f>IF(SUM($I122:Z122)&lt;1,IF($C122&lt;=AA$4,1/$E$41,0),0)</f>
        <v>0</v>
      </c>
      <c r="AB122" s="34">
        <f>IF(SUM($I122:AA122)&lt;1,IF($C122&lt;=AB$4,1/$E$41,0),0)</f>
        <v>0</v>
      </c>
      <c r="AC122" s="34">
        <f>IF(SUM($I122:AB122)&lt;1,IF($C122&lt;=AC$4,1/$E$41,0),0)</f>
        <v>0</v>
      </c>
      <c r="AD122" s="34">
        <f>IF(SUM($I122:AC122)&lt;1,IF($C122&lt;=AD$4,1/$E$41,0),0)</f>
        <v>0</v>
      </c>
      <c r="AE122" s="34">
        <f>IF(SUM($I122:AD122)&lt;1,IF($C122&lt;=AE$4,1/$E$41,0),0)</f>
        <v>0</v>
      </c>
      <c r="AF122" s="34">
        <f>IF(SUM($I122:AE122)&lt;1,IF($C122&lt;=AF$4,1/$E$41,0),0)</f>
        <v>0</v>
      </c>
      <c r="AG122" s="34">
        <f>IF(SUM($I122:AF122)&lt;1,IF($C122&lt;=AG$4,1/$E$41,0),0)</f>
        <v>0</v>
      </c>
      <c r="AH122" s="34">
        <f>IF(SUM($I122:AG122)&lt;1,IF($C122&lt;=AH$4,1/$E$41,0),0)</f>
        <v>0</v>
      </c>
      <c r="AI122" s="34">
        <f>IF(SUM($I122:AH122)&lt;1,IF($C122&lt;=AI$4,1/$E$41,0),0)</f>
        <v>0</v>
      </c>
      <c r="AJ122" s="34">
        <f>IF(SUM($I122:AI122)&lt;1,IF($C122&lt;=AJ$4,1/$E$41,0),0)</f>
        <v>0</v>
      </c>
      <c r="AK122" s="34">
        <f>IF(SUM($I122:AJ122)&lt;1,IF($C122&lt;=AK$4,1/$E$41,0),0)</f>
        <v>0</v>
      </c>
      <c r="AL122" s="34">
        <f>IF(SUM($I122:AK122)&lt;1,IF($C122&lt;=AL$4,1/$E$41,0),0)</f>
        <v>0</v>
      </c>
      <c r="AM122" s="34">
        <f>IF(SUM($I122:AL122)&lt;1,IF($C122&lt;=AM$4,1/$E$41,0),0)</f>
        <v>0</v>
      </c>
      <c r="AN122" s="34">
        <f>IF(SUM($I122:AM122)&lt;1,IF($C122&lt;=AN$4,1/$E$41,0),0)</f>
        <v>0</v>
      </c>
      <c r="AO122" s="34">
        <f>IF(SUM($I122:AN122)&lt;1,IF($C122&lt;=AO$4,1/$E$41,0),0)</f>
        <v>0</v>
      </c>
      <c r="AP122" s="34">
        <f>IF(SUM($I122:AO122)&lt;1,IF($C122&lt;=AP$4,1/$E$41,0),0)</f>
        <v>0</v>
      </c>
      <c r="AQ122" s="34">
        <f>IF(SUM($I122:AP122)&lt;1,IF($C122&lt;=AQ$4,1/$E$41,0),0)</f>
        <v>0</v>
      </c>
      <c r="AR122" s="34">
        <f>IF(SUM($I122:AQ122)&lt;1,IF($C122&lt;=AR$4,1/$E$41,0),0)</f>
        <v>0</v>
      </c>
      <c r="AS122" s="34">
        <f>IF(SUM($I122:AR122)&lt;1,IF($C122&lt;=AS$4,1/$E$41,0),0)</f>
        <v>0</v>
      </c>
      <c r="AT122" s="34">
        <f>IF(SUM($I122:AS122)&lt;1,IF($C122&lt;=AT$4,1/$E$41,0),0)</f>
        <v>0</v>
      </c>
      <c r="AU122" s="34">
        <f>IF(SUM($I122:AT122)&lt;1,IF($C122&lt;=AU$4,1/$E$41,0),0)</f>
        <v>0</v>
      </c>
      <c r="AV122" s="34">
        <f>IF(SUM($I122:AU122)&lt;1,IF($C122&lt;=AV$4,1/$E$41,0),0)</f>
        <v>0</v>
      </c>
      <c r="AW122" s="34">
        <f>IF(SUM($I122:AV122)&lt;1,IF($C122&lt;=AW$4,1/$E$41,0),0)</f>
        <v>0</v>
      </c>
      <c r="AX122" s="34">
        <f>IF(SUM($I122:AW122)&lt;1,IF($C122&lt;=AX$4,1/$E$41,0),0)</f>
        <v>0</v>
      </c>
      <c r="AY122" s="34">
        <f>IF(SUM($I122:AX122)&lt;1,IF($C122&lt;=AY$4,1/$E$41,0),0)</f>
        <v>0</v>
      </c>
      <c r="AZ122" s="34">
        <f>IF(SUM($I122:AY122)&lt;1,IF($C122&lt;=AZ$4,1/$E$41,0),0)</f>
        <v>0</v>
      </c>
      <c r="BA122" s="34">
        <f>IF(SUM($I122:AZ122)&lt;1,IF($C122&lt;=BA$4,1/$E$41,0),0)</f>
        <v>0</v>
      </c>
      <c r="BB122" s="34">
        <f>IF(SUM($I122:BA122)&lt;1,IF($C122&lt;=BB$4,1/$E$41,0),0)</f>
        <v>0</v>
      </c>
      <c r="BC122" s="34">
        <f>IF(SUM($I122:BB122)&lt;1,IF($C122&lt;=BC$4,1/$E$41,0),0)</f>
        <v>0</v>
      </c>
      <c r="BD122" s="34">
        <f>IF(SUM($I122:BC122)&lt;1,IF($C122&lt;=BD$4,1/$E$41,0),0)</f>
        <v>0</v>
      </c>
      <c r="BE122" s="34">
        <f>IF(SUM($I122:BD122)&lt;1,IF($C122&lt;=BE$4,1/$E$41,0),0)</f>
        <v>0</v>
      </c>
      <c r="BF122" s="34">
        <f>IF(SUM($I122:BE122)&lt;1,IF($C122&lt;=BF$4,1/$E$41,0),0)</f>
        <v>0</v>
      </c>
      <c r="BG122" s="34">
        <f>IF(SUM($I122:BF122)&lt;1,IF($C122&lt;=BG$4,1/$E$41,0),0)</f>
        <v>0</v>
      </c>
      <c r="BH122" s="34">
        <f>IF(SUM($I122:BG122)&lt;1,IF($C122&lt;=BH$4,1/$E$41,0),0)</f>
        <v>0</v>
      </c>
      <c r="BI122" s="34">
        <f>IF(SUM($I122:BH122)&lt;1,IF($C122&lt;=BI$4,1/$E$41,0),0)</f>
        <v>0</v>
      </c>
      <c r="BJ122" s="34">
        <f>IF(SUM($I122:BI122)&lt;1,IF($C122&lt;=BJ$4,1/$E$41,0),0)</f>
        <v>0</v>
      </c>
      <c r="BK122" s="34">
        <f>IF(SUM($I122:BJ122)&lt;1,IF($C122&lt;=BK$4,1/$E$41,0),0)</f>
        <v>0</v>
      </c>
      <c r="BL122" s="34">
        <f>IF(SUM($I122:BK122)&lt;1,IF($C122&lt;=BL$4,1/$E$41,0),0)</f>
        <v>0</v>
      </c>
      <c r="BM122" s="34">
        <f>IF(SUM($I122:BL122)&lt;1,IF($C122&lt;=BM$4,1/$E$41,0),0)</f>
        <v>0</v>
      </c>
      <c r="BN122" s="34">
        <f>IF(SUM($I122:BM122)&lt;1,IF($C122&lt;=BN$4,1/$E$41,0),0)</f>
        <v>0</v>
      </c>
      <c r="BO122" s="34">
        <f>IF(SUM($I122:BN122)&lt;1,IF($C122&lt;=BO$4,1/$E$41,0),0)</f>
        <v>0</v>
      </c>
      <c r="BP122" s="34">
        <f>IF(SUM($I122:BO122)&lt;1,IF($C122&lt;=BP$4,1/$E$41,0),0)</f>
        <v>0</v>
      </c>
      <c r="BQ122" s="34">
        <f>IF(SUM($I122:BP122)&lt;1,IF($C122&lt;=BQ$4,1/$E$41,0),0)</f>
        <v>0</v>
      </c>
      <c r="BR122" s="34">
        <f>IF(SUM($I122:BQ122)&lt;1,IF($C122&lt;=BR$4,1/$E$41,0),0)</f>
        <v>0</v>
      </c>
      <c r="BS122" s="34">
        <f>IF(SUM($I122:BR122)&lt;1,IF($C122&lt;=BS$4,1/$E$41,0),0)</f>
        <v>0</v>
      </c>
      <c r="BT122" s="34">
        <f>IF(SUM($I122:BS122)&lt;1,IF($C122&lt;=BT$4,1/$E$41,0),0)</f>
        <v>0</v>
      </c>
      <c r="BU122" s="34">
        <f>IF(SUM($I122:BT122)&lt;1,IF($C122&lt;=BU$4,1/$E$41,0),0)</f>
        <v>0</v>
      </c>
      <c r="BV122" s="34">
        <f>IF(SUM($I122:BU122)&lt;1,IF($C122&lt;=BV$4,1/$E$41,0),0)</f>
        <v>0</v>
      </c>
      <c r="BW122" s="34">
        <f>IF(SUM($I122:BV122)&lt;1,IF($C122&lt;=BW$4,1/$E$41,0),0)</f>
        <v>0</v>
      </c>
      <c r="BX122" s="34">
        <f>IF(SUM($I122:BW122)&lt;1,IF($C122&lt;=BX$4,1/$E$41,0),0)</f>
        <v>0</v>
      </c>
      <c r="BY122" s="34">
        <f>IF(SUM($I122:BX122)&lt;1,IF($C122&lt;=BY$4,1/$E$41,0),0)</f>
        <v>0</v>
      </c>
      <c r="BZ122" s="34">
        <f>IF(SUM($I122:BY122)&lt;1,IF($C122&lt;=BZ$4,1/$E$41,0),0)</f>
        <v>0</v>
      </c>
      <c r="CA122" s="34">
        <f>IF(SUM($I122:BZ122)&lt;1,IF($C122&lt;=CA$4,1/$E$41,0),0)</f>
        <v>0</v>
      </c>
      <c r="CB122" s="34">
        <f>IF(SUM($I122:CA122)&lt;1,IF($C122&lt;=CB$4,1/$E$41,0),0)</f>
        <v>0</v>
      </c>
      <c r="CC122" s="34">
        <f>IF(SUM($I122:CB122)&lt;1,IF($C122&lt;=CC$4,1/$E$41,0),0)</f>
        <v>0</v>
      </c>
      <c r="CD122" s="34">
        <f>IF(SUM($I122:CC122)&lt;1,IF($C122&lt;=CD$4,1/$E$41,0),0)</f>
        <v>0</v>
      </c>
      <c r="CE122" s="34">
        <f>IF(SUM($I122:CD122)&lt;1,IF($C122&lt;=CE$4,1/$E$41,0),0)</f>
        <v>0</v>
      </c>
      <c r="CF122" s="34">
        <f>IF(SUM($I122:CE122)&lt;1,IF($C122&lt;=CF$4,1/$E$41,0),0)</f>
        <v>0</v>
      </c>
      <c r="CG122" s="34">
        <f>IF(SUM($I122:CF122)&lt;1,IF($C122&lt;=CG$4,1/$E$41,0),0)</f>
        <v>0</v>
      </c>
      <c r="CH122" s="34">
        <f>IF(SUM($I122:CG122)&lt;1,IF($C122&lt;=CH$4,1/$E$41,0),0)</f>
        <v>0</v>
      </c>
      <c r="CI122" s="34">
        <f>IF(SUM($I122:CH122)&lt;1,IF($C122&lt;=CI$4,1/$E$41,0),0)</f>
        <v>0.25</v>
      </c>
      <c r="CJ122" s="34">
        <f>IF(SUM($I122:CI122)&lt;1,IF($C122&lt;=CJ$4,1/$E$41,0),0)</f>
        <v>0.25</v>
      </c>
      <c r="CK122" s="34">
        <f>IF(SUM($I122:CJ122)&lt;1,IF($C122&lt;=CK$4,1/$E$41,0),0)</f>
        <v>0.25</v>
      </c>
      <c r="CL122" s="34">
        <f>IF(SUM($I122:CK122)&lt;1,IF($C122&lt;=CL$4,1/$E$41,0),0)</f>
        <v>0.25</v>
      </c>
      <c r="CM122" s="34">
        <f>IF(SUM($I122:CL122)&lt;1,IF($C122&lt;=CM$4,1/$E$41,0),0)</f>
        <v>0</v>
      </c>
      <c r="CN122" s="34">
        <f>IF(SUM($I122:CM122)&lt;1,IF($C122&lt;=CN$4,1/$E$41,0),0)</f>
        <v>0</v>
      </c>
      <c r="CO122" s="34">
        <f>IF(SUM($I122:CN122)&lt;1,IF($C122&lt;=CO$4,1/$E$41,0),0)</f>
        <v>0</v>
      </c>
      <c r="CP122" s="34">
        <f>IF(SUM($I122:CO122)&lt;1,IF($C122&lt;=CP$4,1/$E$41,0),0)</f>
        <v>0</v>
      </c>
      <c r="CQ122" s="34">
        <f>IF(SUM($I122:CP122)&lt;1,IF($C122&lt;=CQ$4,1/$E$41,0),0)</f>
        <v>0</v>
      </c>
      <c r="CR122" s="34">
        <f>IF(SUM($I122:CQ122)&lt;1,IF($C122&lt;=CR$4,1/$E$41,0),0)</f>
        <v>0</v>
      </c>
      <c r="CS122" s="34">
        <f>IF(SUM($I122:CR122)&lt;1,IF($C122&lt;=CS$4,1/$E$41,0),0)</f>
        <v>0</v>
      </c>
      <c r="CT122" s="34">
        <f>IF(SUM($I122:CS122)&lt;1,IF($C122&lt;=CT$4,1/$E$41,0),0)</f>
        <v>0</v>
      </c>
      <c r="CU122" s="34">
        <f>IF(SUM($I122:CT122)&lt;1,IF($C122&lt;=CU$4,1/$E$41,0),0)</f>
        <v>0</v>
      </c>
      <c r="CV122" s="34">
        <f>IF(SUM($I122:CU122)&lt;1,IF($C122&lt;=CV$4,1/$E$41,0),0)</f>
        <v>0</v>
      </c>
      <c r="CW122" s="34">
        <f>IF(SUM($I122:CV122)&lt;1,IF($C122&lt;=CW$4,1/$E$41,0),0)</f>
        <v>0</v>
      </c>
      <c r="CX122" s="34">
        <f>IF(SUM($I122:CW122)&lt;1,IF($C122&lt;=CX$4,1/$E$41,0),0)</f>
        <v>0</v>
      </c>
      <c r="CY122" s="34">
        <f>IF(SUM($I122:CX122)&lt;1,IF($C122&lt;=CY$4,1/$E$41,0),0)</f>
        <v>0</v>
      </c>
      <c r="CZ122" s="34">
        <f>IF(SUM($I122:CY122)&lt;1,IF($C122&lt;=CZ$4,1/$E$41,0),0)</f>
        <v>0</v>
      </c>
      <c r="DA122" s="34">
        <f>IF(SUM($I122:CZ122)&lt;1,IF($C122&lt;=DA$4,1/$E$41,0),0)</f>
        <v>0</v>
      </c>
      <c r="DB122" s="34">
        <f>IF(SUM($I122:DA122)&lt;1,IF($C122&lt;=DB$4,1/$E$41,0),0)</f>
        <v>0</v>
      </c>
      <c r="DC122" s="34">
        <f>IF(SUM($I122:DB122)&lt;1,IF($C122&lt;=DC$4,1/$E$41,0),0)</f>
        <v>0</v>
      </c>
      <c r="DD122" s="34">
        <f>IF(SUM($I122:DC122)&lt;1,IF($C122&lt;=DD$4,1/$E$41,0),0)</f>
        <v>0</v>
      </c>
      <c r="DE122" s="34">
        <f>IF(SUM($I122:DD122)&lt;1,IF($C122&lt;=DE$4,1/$E$41,0),0)</f>
        <v>0</v>
      </c>
      <c r="DF122" s="34">
        <f>IF(SUM($I122:DE122)&lt;1,IF($C122&lt;=DF$4,1/$E$41,0),0)</f>
        <v>0</v>
      </c>
      <c r="DG122" s="34">
        <f>IF(SUM($I122:DF122)&lt;1,IF($C122&lt;=DG$4,1/$E$41,0),0)</f>
        <v>0</v>
      </c>
      <c r="DH122" s="34">
        <f>IF(SUM($I122:DG122)&lt;1,IF($C122&lt;=DH$4,1/$E$41,0),0)</f>
        <v>0</v>
      </c>
      <c r="DI122" s="34">
        <f>IF(SUM($I122:DH122)&lt;1,IF($C122&lt;=DI$4,1/$E$41,0),0)</f>
        <v>0</v>
      </c>
      <c r="DJ122" s="34">
        <f>IF(SUM($I122:DI122)&lt;1,IF($C122&lt;=DJ$4,1/$E$41,0),0)</f>
        <v>0</v>
      </c>
      <c r="DK122" s="34">
        <f>IF(SUM($I122:DJ122)&lt;1,IF($C122&lt;=DK$4,1/$E$41,0),0)</f>
        <v>0</v>
      </c>
      <c r="DL122" s="34">
        <f>IF(SUM($I122:DK122)&lt;1,IF($C122&lt;=DL$4,1/$E$41,0),0)</f>
        <v>0</v>
      </c>
      <c r="DM122" s="34">
        <f>IF(SUM($I122:DL122)&lt;1,IF($C122&lt;=DM$4,1/$E$41,0),0)</f>
        <v>0</v>
      </c>
    </row>
    <row r="123" spans="3:117" outlineLevel="1" x14ac:dyDescent="0.15">
      <c r="C123" s="50">
        <f t="shared" si="51"/>
        <v>79</v>
      </c>
      <c r="D123" s="5" t="s">
        <v>18</v>
      </c>
      <c r="E123" s="19">
        <f t="shared" si="50"/>
        <v>0</v>
      </c>
      <c r="I123" s="9"/>
      <c r="J123" s="34">
        <f>IF(SUM($I123:I123)&lt;1,IF($C123&lt;=J$4,1/$E$41,0),0)</f>
        <v>0</v>
      </c>
      <c r="K123" s="34">
        <f>IF(SUM($I123:J123)&lt;1,IF($C123&lt;=K$4,1/$E$41,0),0)</f>
        <v>0</v>
      </c>
      <c r="L123" s="34">
        <f>IF(SUM($I123:K123)&lt;1,IF($C123&lt;=L$4,1/$E$41,0),0)</f>
        <v>0</v>
      </c>
      <c r="M123" s="34">
        <f>IF(SUM($I123:L123)&lt;1,IF($C123&lt;=M$4,1/$E$41,0),0)</f>
        <v>0</v>
      </c>
      <c r="N123" s="34">
        <f>IF(SUM($I123:M123)&lt;1,IF($C123&lt;=N$4,1/$E$41,0),0)</f>
        <v>0</v>
      </c>
      <c r="O123" s="34">
        <f>IF(SUM($I123:N123)&lt;1,IF($C123&lt;=O$4,1/$E$41,0),0)</f>
        <v>0</v>
      </c>
      <c r="P123" s="34">
        <f>IF(SUM($I123:O123)&lt;1,IF($C123&lt;=P$4,1/$E$41,0),0)</f>
        <v>0</v>
      </c>
      <c r="Q123" s="34">
        <f>IF(SUM($I123:P123)&lt;1,IF($C123&lt;=Q$4,1/$E$41,0),0)</f>
        <v>0</v>
      </c>
      <c r="R123" s="34">
        <f>IF(SUM($I123:Q123)&lt;1,IF($C123&lt;=R$4,1/$E$41,0),0)</f>
        <v>0</v>
      </c>
      <c r="S123" s="34">
        <f>IF(SUM($I123:R123)&lt;1,IF($C123&lt;=S$4,1/$E$41,0),0)</f>
        <v>0</v>
      </c>
      <c r="T123" s="34">
        <f>IF(SUM($I123:S123)&lt;1,IF($C123&lt;=T$4,1/$E$41,0),0)</f>
        <v>0</v>
      </c>
      <c r="U123" s="34">
        <f>IF(SUM($I123:T123)&lt;1,IF($C123&lt;=U$4,1/$E$41,0),0)</f>
        <v>0</v>
      </c>
      <c r="V123" s="34">
        <f>IF(SUM($I123:U123)&lt;1,IF($C123&lt;=V$4,1/$E$41,0),0)</f>
        <v>0</v>
      </c>
      <c r="W123" s="34">
        <f>IF(SUM($I123:V123)&lt;1,IF($C123&lt;=W$4,1/$E$41,0),0)</f>
        <v>0</v>
      </c>
      <c r="X123" s="34">
        <f>IF(SUM($I123:W123)&lt;1,IF($C123&lt;=X$4,1/$E$41,0),0)</f>
        <v>0</v>
      </c>
      <c r="Y123" s="34">
        <f>IF(SUM($I123:X123)&lt;1,IF($C123&lt;=Y$4,1/$E$41,0),0)</f>
        <v>0</v>
      </c>
      <c r="Z123" s="34">
        <f>IF(SUM($I123:Y123)&lt;1,IF($C123&lt;=Z$4,1/$E$41,0),0)</f>
        <v>0</v>
      </c>
      <c r="AA123" s="34">
        <f>IF(SUM($I123:Z123)&lt;1,IF($C123&lt;=AA$4,1/$E$41,0),0)</f>
        <v>0</v>
      </c>
      <c r="AB123" s="34">
        <f>IF(SUM($I123:AA123)&lt;1,IF($C123&lt;=AB$4,1/$E$41,0),0)</f>
        <v>0</v>
      </c>
      <c r="AC123" s="34">
        <f>IF(SUM($I123:AB123)&lt;1,IF($C123&lt;=AC$4,1/$E$41,0),0)</f>
        <v>0</v>
      </c>
      <c r="AD123" s="34">
        <f>IF(SUM($I123:AC123)&lt;1,IF($C123&lt;=AD$4,1/$E$41,0),0)</f>
        <v>0</v>
      </c>
      <c r="AE123" s="34">
        <f>IF(SUM($I123:AD123)&lt;1,IF($C123&lt;=AE$4,1/$E$41,0),0)</f>
        <v>0</v>
      </c>
      <c r="AF123" s="34">
        <f>IF(SUM($I123:AE123)&lt;1,IF($C123&lt;=AF$4,1/$E$41,0),0)</f>
        <v>0</v>
      </c>
      <c r="AG123" s="34">
        <f>IF(SUM($I123:AF123)&lt;1,IF($C123&lt;=AG$4,1/$E$41,0),0)</f>
        <v>0</v>
      </c>
      <c r="AH123" s="34">
        <f>IF(SUM($I123:AG123)&lt;1,IF($C123&lt;=AH$4,1/$E$41,0),0)</f>
        <v>0</v>
      </c>
      <c r="AI123" s="34">
        <f>IF(SUM($I123:AH123)&lt;1,IF($C123&lt;=AI$4,1/$E$41,0),0)</f>
        <v>0</v>
      </c>
      <c r="AJ123" s="34">
        <f>IF(SUM($I123:AI123)&lt;1,IF($C123&lt;=AJ$4,1/$E$41,0),0)</f>
        <v>0</v>
      </c>
      <c r="AK123" s="34">
        <f>IF(SUM($I123:AJ123)&lt;1,IF($C123&lt;=AK$4,1/$E$41,0),0)</f>
        <v>0</v>
      </c>
      <c r="AL123" s="34">
        <f>IF(SUM($I123:AK123)&lt;1,IF($C123&lt;=AL$4,1/$E$41,0),0)</f>
        <v>0</v>
      </c>
      <c r="AM123" s="34">
        <f>IF(SUM($I123:AL123)&lt;1,IF($C123&lt;=AM$4,1/$E$41,0),0)</f>
        <v>0</v>
      </c>
      <c r="AN123" s="34">
        <f>IF(SUM($I123:AM123)&lt;1,IF($C123&lt;=AN$4,1/$E$41,0),0)</f>
        <v>0</v>
      </c>
      <c r="AO123" s="34">
        <f>IF(SUM($I123:AN123)&lt;1,IF($C123&lt;=AO$4,1/$E$41,0),0)</f>
        <v>0</v>
      </c>
      <c r="AP123" s="34">
        <f>IF(SUM($I123:AO123)&lt;1,IF($C123&lt;=AP$4,1/$E$41,0),0)</f>
        <v>0</v>
      </c>
      <c r="AQ123" s="34">
        <f>IF(SUM($I123:AP123)&lt;1,IF($C123&lt;=AQ$4,1/$E$41,0),0)</f>
        <v>0</v>
      </c>
      <c r="AR123" s="34">
        <f>IF(SUM($I123:AQ123)&lt;1,IF($C123&lt;=AR$4,1/$E$41,0),0)</f>
        <v>0</v>
      </c>
      <c r="AS123" s="34">
        <f>IF(SUM($I123:AR123)&lt;1,IF($C123&lt;=AS$4,1/$E$41,0),0)</f>
        <v>0</v>
      </c>
      <c r="AT123" s="34">
        <f>IF(SUM($I123:AS123)&lt;1,IF($C123&lt;=AT$4,1/$E$41,0),0)</f>
        <v>0</v>
      </c>
      <c r="AU123" s="34">
        <f>IF(SUM($I123:AT123)&lt;1,IF($C123&lt;=AU$4,1/$E$41,0),0)</f>
        <v>0</v>
      </c>
      <c r="AV123" s="34">
        <f>IF(SUM($I123:AU123)&lt;1,IF($C123&lt;=AV$4,1/$E$41,0),0)</f>
        <v>0</v>
      </c>
      <c r="AW123" s="34">
        <f>IF(SUM($I123:AV123)&lt;1,IF($C123&lt;=AW$4,1/$E$41,0),0)</f>
        <v>0</v>
      </c>
      <c r="AX123" s="34">
        <f>IF(SUM($I123:AW123)&lt;1,IF($C123&lt;=AX$4,1/$E$41,0),0)</f>
        <v>0</v>
      </c>
      <c r="AY123" s="34">
        <f>IF(SUM($I123:AX123)&lt;1,IF($C123&lt;=AY$4,1/$E$41,0),0)</f>
        <v>0</v>
      </c>
      <c r="AZ123" s="34">
        <f>IF(SUM($I123:AY123)&lt;1,IF($C123&lt;=AZ$4,1/$E$41,0),0)</f>
        <v>0</v>
      </c>
      <c r="BA123" s="34">
        <f>IF(SUM($I123:AZ123)&lt;1,IF($C123&lt;=BA$4,1/$E$41,0),0)</f>
        <v>0</v>
      </c>
      <c r="BB123" s="34">
        <f>IF(SUM($I123:BA123)&lt;1,IF($C123&lt;=BB$4,1/$E$41,0),0)</f>
        <v>0</v>
      </c>
      <c r="BC123" s="34">
        <f>IF(SUM($I123:BB123)&lt;1,IF($C123&lt;=BC$4,1/$E$41,0),0)</f>
        <v>0</v>
      </c>
      <c r="BD123" s="34">
        <f>IF(SUM($I123:BC123)&lt;1,IF($C123&lt;=BD$4,1/$E$41,0),0)</f>
        <v>0</v>
      </c>
      <c r="BE123" s="34">
        <f>IF(SUM($I123:BD123)&lt;1,IF($C123&lt;=BE$4,1/$E$41,0),0)</f>
        <v>0</v>
      </c>
      <c r="BF123" s="34">
        <f>IF(SUM($I123:BE123)&lt;1,IF($C123&lt;=BF$4,1/$E$41,0),0)</f>
        <v>0</v>
      </c>
      <c r="BG123" s="34">
        <f>IF(SUM($I123:BF123)&lt;1,IF($C123&lt;=BG$4,1/$E$41,0),0)</f>
        <v>0</v>
      </c>
      <c r="BH123" s="34">
        <f>IF(SUM($I123:BG123)&lt;1,IF($C123&lt;=BH$4,1/$E$41,0),0)</f>
        <v>0</v>
      </c>
      <c r="BI123" s="34">
        <f>IF(SUM($I123:BH123)&lt;1,IF($C123&lt;=BI$4,1/$E$41,0),0)</f>
        <v>0</v>
      </c>
      <c r="BJ123" s="34">
        <f>IF(SUM($I123:BI123)&lt;1,IF($C123&lt;=BJ$4,1/$E$41,0),0)</f>
        <v>0</v>
      </c>
      <c r="BK123" s="34">
        <f>IF(SUM($I123:BJ123)&lt;1,IF($C123&lt;=BK$4,1/$E$41,0),0)</f>
        <v>0</v>
      </c>
      <c r="BL123" s="34">
        <f>IF(SUM($I123:BK123)&lt;1,IF($C123&lt;=BL$4,1/$E$41,0),0)</f>
        <v>0</v>
      </c>
      <c r="BM123" s="34">
        <f>IF(SUM($I123:BL123)&lt;1,IF($C123&lt;=BM$4,1/$E$41,0),0)</f>
        <v>0</v>
      </c>
      <c r="BN123" s="34">
        <f>IF(SUM($I123:BM123)&lt;1,IF($C123&lt;=BN$4,1/$E$41,0),0)</f>
        <v>0</v>
      </c>
      <c r="BO123" s="34">
        <f>IF(SUM($I123:BN123)&lt;1,IF($C123&lt;=BO$4,1/$E$41,0),0)</f>
        <v>0</v>
      </c>
      <c r="BP123" s="34">
        <f>IF(SUM($I123:BO123)&lt;1,IF($C123&lt;=BP$4,1/$E$41,0),0)</f>
        <v>0</v>
      </c>
      <c r="BQ123" s="34">
        <f>IF(SUM($I123:BP123)&lt;1,IF($C123&lt;=BQ$4,1/$E$41,0),0)</f>
        <v>0</v>
      </c>
      <c r="BR123" s="34">
        <f>IF(SUM($I123:BQ123)&lt;1,IF($C123&lt;=BR$4,1/$E$41,0),0)</f>
        <v>0</v>
      </c>
      <c r="BS123" s="34">
        <f>IF(SUM($I123:BR123)&lt;1,IF($C123&lt;=BS$4,1/$E$41,0),0)</f>
        <v>0</v>
      </c>
      <c r="BT123" s="34">
        <f>IF(SUM($I123:BS123)&lt;1,IF($C123&lt;=BT$4,1/$E$41,0),0)</f>
        <v>0</v>
      </c>
      <c r="BU123" s="34">
        <f>IF(SUM($I123:BT123)&lt;1,IF($C123&lt;=BU$4,1/$E$41,0),0)</f>
        <v>0</v>
      </c>
      <c r="BV123" s="34">
        <f>IF(SUM($I123:BU123)&lt;1,IF($C123&lt;=BV$4,1/$E$41,0),0)</f>
        <v>0</v>
      </c>
      <c r="BW123" s="34">
        <f>IF(SUM($I123:BV123)&lt;1,IF($C123&lt;=BW$4,1/$E$41,0),0)</f>
        <v>0</v>
      </c>
      <c r="BX123" s="34">
        <f>IF(SUM($I123:BW123)&lt;1,IF($C123&lt;=BX$4,1/$E$41,0),0)</f>
        <v>0</v>
      </c>
      <c r="BY123" s="34">
        <f>IF(SUM($I123:BX123)&lt;1,IF($C123&lt;=BY$4,1/$E$41,0),0)</f>
        <v>0</v>
      </c>
      <c r="BZ123" s="34">
        <f>IF(SUM($I123:BY123)&lt;1,IF($C123&lt;=BZ$4,1/$E$41,0),0)</f>
        <v>0</v>
      </c>
      <c r="CA123" s="34">
        <f>IF(SUM($I123:BZ123)&lt;1,IF($C123&lt;=CA$4,1/$E$41,0),0)</f>
        <v>0</v>
      </c>
      <c r="CB123" s="34">
        <f>IF(SUM($I123:CA123)&lt;1,IF($C123&lt;=CB$4,1/$E$41,0),0)</f>
        <v>0</v>
      </c>
      <c r="CC123" s="34">
        <f>IF(SUM($I123:CB123)&lt;1,IF($C123&lt;=CC$4,1/$E$41,0),0)</f>
        <v>0</v>
      </c>
      <c r="CD123" s="34">
        <f>IF(SUM($I123:CC123)&lt;1,IF($C123&lt;=CD$4,1/$E$41,0),0)</f>
        <v>0</v>
      </c>
      <c r="CE123" s="34">
        <f>IF(SUM($I123:CD123)&lt;1,IF($C123&lt;=CE$4,1/$E$41,0),0)</f>
        <v>0</v>
      </c>
      <c r="CF123" s="34">
        <f>IF(SUM($I123:CE123)&lt;1,IF($C123&lt;=CF$4,1/$E$41,0),0)</f>
        <v>0</v>
      </c>
      <c r="CG123" s="34">
        <f>IF(SUM($I123:CF123)&lt;1,IF($C123&lt;=CG$4,1/$E$41,0),0)</f>
        <v>0</v>
      </c>
      <c r="CH123" s="34">
        <f>IF(SUM($I123:CG123)&lt;1,IF($C123&lt;=CH$4,1/$E$41,0),0)</f>
        <v>0</v>
      </c>
      <c r="CI123" s="34">
        <f>IF(SUM($I123:CH123)&lt;1,IF($C123&lt;=CI$4,1/$E$41,0),0)</f>
        <v>0</v>
      </c>
      <c r="CJ123" s="34">
        <f>IF(SUM($I123:CI123)&lt;1,IF($C123&lt;=CJ$4,1/$E$41,0),0)</f>
        <v>0.25</v>
      </c>
      <c r="CK123" s="34">
        <f>IF(SUM($I123:CJ123)&lt;1,IF($C123&lt;=CK$4,1/$E$41,0),0)</f>
        <v>0.25</v>
      </c>
      <c r="CL123" s="34">
        <f>IF(SUM($I123:CK123)&lt;1,IF($C123&lt;=CL$4,1/$E$41,0),0)</f>
        <v>0.25</v>
      </c>
      <c r="CM123" s="34">
        <f>IF(SUM($I123:CL123)&lt;1,IF($C123&lt;=CM$4,1/$E$41,0),0)</f>
        <v>0.25</v>
      </c>
      <c r="CN123" s="34">
        <f>IF(SUM($I123:CM123)&lt;1,IF($C123&lt;=CN$4,1/$E$41,0),0)</f>
        <v>0</v>
      </c>
      <c r="CO123" s="34">
        <f>IF(SUM($I123:CN123)&lt;1,IF($C123&lt;=CO$4,1/$E$41,0),0)</f>
        <v>0</v>
      </c>
      <c r="CP123" s="34">
        <f>IF(SUM($I123:CO123)&lt;1,IF($C123&lt;=CP$4,1/$E$41,0),0)</f>
        <v>0</v>
      </c>
      <c r="CQ123" s="34">
        <f>IF(SUM($I123:CP123)&lt;1,IF($C123&lt;=CQ$4,1/$E$41,0),0)</f>
        <v>0</v>
      </c>
      <c r="CR123" s="34">
        <f>IF(SUM($I123:CQ123)&lt;1,IF($C123&lt;=CR$4,1/$E$41,0),0)</f>
        <v>0</v>
      </c>
      <c r="CS123" s="34">
        <f>IF(SUM($I123:CR123)&lt;1,IF($C123&lt;=CS$4,1/$E$41,0),0)</f>
        <v>0</v>
      </c>
      <c r="CT123" s="34">
        <f>IF(SUM($I123:CS123)&lt;1,IF($C123&lt;=CT$4,1/$E$41,0),0)</f>
        <v>0</v>
      </c>
      <c r="CU123" s="34">
        <f>IF(SUM($I123:CT123)&lt;1,IF($C123&lt;=CU$4,1/$E$41,0),0)</f>
        <v>0</v>
      </c>
      <c r="CV123" s="34">
        <f>IF(SUM($I123:CU123)&lt;1,IF($C123&lt;=CV$4,1/$E$41,0),0)</f>
        <v>0</v>
      </c>
      <c r="CW123" s="34">
        <f>IF(SUM($I123:CV123)&lt;1,IF($C123&lt;=CW$4,1/$E$41,0),0)</f>
        <v>0</v>
      </c>
      <c r="CX123" s="34">
        <f>IF(SUM($I123:CW123)&lt;1,IF($C123&lt;=CX$4,1/$E$41,0),0)</f>
        <v>0</v>
      </c>
      <c r="CY123" s="34">
        <f>IF(SUM($I123:CX123)&lt;1,IF($C123&lt;=CY$4,1/$E$41,0),0)</f>
        <v>0</v>
      </c>
      <c r="CZ123" s="34">
        <f>IF(SUM($I123:CY123)&lt;1,IF($C123&lt;=CZ$4,1/$E$41,0),0)</f>
        <v>0</v>
      </c>
      <c r="DA123" s="34">
        <f>IF(SUM($I123:CZ123)&lt;1,IF($C123&lt;=DA$4,1/$E$41,0),0)</f>
        <v>0</v>
      </c>
      <c r="DB123" s="34">
        <f>IF(SUM($I123:DA123)&lt;1,IF($C123&lt;=DB$4,1/$E$41,0),0)</f>
        <v>0</v>
      </c>
      <c r="DC123" s="34">
        <f>IF(SUM($I123:DB123)&lt;1,IF($C123&lt;=DC$4,1/$E$41,0),0)</f>
        <v>0</v>
      </c>
      <c r="DD123" s="34">
        <f>IF(SUM($I123:DC123)&lt;1,IF($C123&lt;=DD$4,1/$E$41,0),0)</f>
        <v>0</v>
      </c>
      <c r="DE123" s="34">
        <f>IF(SUM($I123:DD123)&lt;1,IF($C123&lt;=DE$4,1/$E$41,0),0)</f>
        <v>0</v>
      </c>
      <c r="DF123" s="34">
        <f>IF(SUM($I123:DE123)&lt;1,IF($C123&lt;=DF$4,1/$E$41,0),0)</f>
        <v>0</v>
      </c>
      <c r="DG123" s="34">
        <f>IF(SUM($I123:DF123)&lt;1,IF($C123&lt;=DG$4,1/$E$41,0),0)</f>
        <v>0</v>
      </c>
      <c r="DH123" s="34">
        <f>IF(SUM($I123:DG123)&lt;1,IF($C123&lt;=DH$4,1/$E$41,0),0)</f>
        <v>0</v>
      </c>
      <c r="DI123" s="34">
        <f>IF(SUM($I123:DH123)&lt;1,IF($C123&lt;=DI$4,1/$E$41,0),0)</f>
        <v>0</v>
      </c>
      <c r="DJ123" s="34">
        <f>IF(SUM($I123:DI123)&lt;1,IF($C123&lt;=DJ$4,1/$E$41,0),0)</f>
        <v>0</v>
      </c>
      <c r="DK123" s="34">
        <f>IF(SUM($I123:DJ123)&lt;1,IF($C123&lt;=DK$4,1/$E$41,0),0)</f>
        <v>0</v>
      </c>
      <c r="DL123" s="34">
        <f>IF(SUM($I123:DK123)&lt;1,IF($C123&lt;=DL$4,1/$E$41,0),0)</f>
        <v>0</v>
      </c>
      <c r="DM123" s="34">
        <f>IF(SUM($I123:DL123)&lt;1,IF($C123&lt;=DM$4,1/$E$41,0),0)</f>
        <v>0</v>
      </c>
    </row>
    <row r="124" spans="3:117" outlineLevel="1" x14ac:dyDescent="0.15">
      <c r="C124" s="50">
        <f t="shared" si="51"/>
        <v>80</v>
      </c>
      <c r="D124" s="5" t="s">
        <v>18</v>
      </c>
      <c r="E124" s="19">
        <f t="shared" si="50"/>
        <v>0</v>
      </c>
      <c r="I124" s="9"/>
      <c r="J124" s="34">
        <f>IF(SUM($I124:I124)&lt;1,IF($C124&lt;=J$4,1/$E$41,0),0)</f>
        <v>0</v>
      </c>
      <c r="K124" s="34">
        <f>IF(SUM($I124:J124)&lt;1,IF($C124&lt;=K$4,1/$E$41,0),0)</f>
        <v>0</v>
      </c>
      <c r="L124" s="34">
        <f>IF(SUM($I124:K124)&lt;1,IF($C124&lt;=L$4,1/$E$41,0),0)</f>
        <v>0</v>
      </c>
      <c r="M124" s="34">
        <f>IF(SUM($I124:L124)&lt;1,IF($C124&lt;=M$4,1/$E$41,0),0)</f>
        <v>0</v>
      </c>
      <c r="N124" s="34">
        <f>IF(SUM($I124:M124)&lt;1,IF($C124&lt;=N$4,1/$E$41,0),0)</f>
        <v>0</v>
      </c>
      <c r="O124" s="34">
        <f>IF(SUM($I124:N124)&lt;1,IF($C124&lt;=O$4,1/$E$41,0),0)</f>
        <v>0</v>
      </c>
      <c r="P124" s="34">
        <f>IF(SUM($I124:O124)&lt;1,IF($C124&lt;=P$4,1/$E$41,0),0)</f>
        <v>0</v>
      </c>
      <c r="Q124" s="34">
        <f>IF(SUM($I124:P124)&lt;1,IF($C124&lt;=Q$4,1/$E$41,0),0)</f>
        <v>0</v>
      </c>
      <c r="R124" s="34">
        <f>IF(SUM($I124:Q124)&lt;1,IF($C124&lt;=R$4,1/$E$41,0),0)</f>
        <v>0</v>
      </c>
      <c r="S124" s="34">
        <f>IF(SUM($I124:R124)&lt;1,IF($C124&lt;=S$4,1/$E$41,0),0)</f>
        <v>0</v>
      </c>
      <c r="T124" s="34">
        <f>IF(SUM($I124:S124)&lt;1,IF($C124&lt;=T$4,1/$E$41,0),0)</f>
        <v>0</v>
      </c>
      <c r="U124" s="34">
        <f>IF(SUM($I124:T124)&lt;1,IF($C124&lt;=U$4,1/$E$41,0),0)</f>
        <v>0</v>
      </c>
      <c r="V124" s="34">
        <f>IF(SUM($I124:U124)&lt;1,IF($C124&lt;=V$4,1/$E$41,0),0)</f>
        <v>0</v>
      </c>
      <c r="W124" s="34">
        <f>IF(SUM($I124:V124)&lt;1,IF($C124&lt;=W$4,1/$E$41,0),0)</f>
        <v>0</v>
      </c>
      <c r="X124" s="34">
        <f>IF(SUM($I124:W124)&lt;1,IF($C124&lt;=X$4,1/$E$41,0),0)</f>
        <v>0</v>
      </c>
      <c r="Y124" s="34">
        <f>IF(SUM($I124:X124)&lt;1,IF($C124&lt;=Y$4,1/$E$41,0),0)</f>
        <v>0</v>
      </c>
      <c r="Z124" s="34">
        <f>IF(SUM($I124:Y124)&lt;1,IF($C124&lt;=Z$4,1/$E$41,0),0)</f>
        <v>0</v>
      </c>
      <c r="AA124" s="34">
        <f>IF(SUM($I124:Z124)&lt;1,IF($C124&lt;=AA$4,1/$E$41,0),0)</f>
        <v>0</v>
      </c>
      <c r="AB124" s="34">
        <f>IF(SUM($I124:AA124)&lt;1,IF($C124&lt;=AB$4,1/$E$41,0),0)</f>
        <v>0</v>
      </c>
      <c r="AC124" s="34">
        <f>IF(SUM($I124:AB124)&lt;1,IF($C124&lt;=AC$4,1/$E$41,0),0)</f>
        <v>0</v>
      </c>
      <c r="AD124" s="34">
        <f>IF(SUM($I124:AC124)&lt;1,IF($C124&lt;=AD$4,1/$E$41,0),0)</f>
        <v>0</v>
      </c>
      <c r="AE124" s="34">
        <f>IF(SUM($I124:AD124)&lt;1,IF($C124&lt;=AE$4,1/$E$41,0),0)</f>
        <v>0</v>
      </c>
      <c r="AF124" s="34">
        <f>IF(SUM($I124:AE124)&lt;1,IF($C124&lt;=AF$4,1/$E$41,0),0)</f>
        <v>0</v>
      </c>
      <c r="AG124" s="34">
        <f>IF(SUM($I124:AF124)&lt;1,IF($C124&lt;=AG$4,1/$E$41,0),0)</f>
        <v>0</v>
      </c>
      <c r="AH124" s="34">
        <f>IF(SUM($I124:AG124)&lt;1,IF($C124&lt;=AH$4,1/$E$41,0),0)</f>
        <v>0</v>
      </c>
      <c r="AI124" s="34">
        <f>IF(SUM($I124:AH124)&lt;1,IF($C124&lt;=AI$4,1/$E$41,0),0)</f>
        <v>0</v>
      </c>
      <c r="AJ124" s="34">
        <f>IF(SUM($I124:AI124)&lt;1,IF($C124&lt;=AJ$4,1/$E$41,0),0)</f>
        <v>0</v>
      </c>
      <c r="AK124" s="34">
        <f>IF(SUM($I124:AJ124)&lt;1,IF($C124&lt;=AK$4,1/$E$41,0),0)</f>
        <v>0</v>
      </c>
      <c r="AL124" s="34">
        <f>IF(SUM($I124:AK124)&lt;1,IF($C124&lt;=AL$4,1/$E$41,0),0)</f>
        <v>0</v>
      </c>
      <c r="AM124" s="34">
        <f>IF(SUM($I124:AL124)&lt;1,IF($C124&lt;=AM$4,1/$E$41,0),0)</f>
        <v>0</v>
      </c>
      <c r="AN124" s="34">
        <f>IF(SUM($I124:AM124)&lt;1,IF($C124&lt;=AN$4,1/$E$41,0),0)</f>
        <v>0</v>
      </c>
      <c r="AO124" s="34">
        <f>IF(SUM($I124:AN124)&lt;1,IF($C124&lt;=AO$4,1/$E$41,0),0)</f>
        <v>0</v>
      </c>
      <c r="AP124" s="34">
        <f>IF(SUM($I124:AO124)&lt;1,IF($C124&lt;=AP$4,1/$E$41,0),0)</f>
        <v>0</v>
      </c>
      <c r="AQ124" s="34">
        <f>IF(SUM($I124:AP124)&lt;1,IF($C124&lt;=AQ$4,1/$E$41,0),0)</f>
        <v>0</v>
      </c>
      <c r="AR124" s="34">
        <f>IF(SUM($I124:AQ124)&lt;1,IF($C124&lt;=AR$4,1/$E$41,0),0)</f>
        <v>0</v>
      </c>
      <c r="AS124" s="34">
        <f>IF(SUM($I124:AR124)&lt;1,IF($C124&lt;=AS$4,1/$E$41,0),0)</f>
        <v>0</v>
      </c>
      <c r="AT124" s="34">
        <f>IF(SUM($I124:AS124)&lt;1,IF($C124&lt;=AT$4,1/$E$41,0),0)</f>
        <v>0</v>
      </c>
      <c r="AU124" s="34">
        <f>IF(SUM($I124:AT124)&lt;1,IF($C124&lt;=AU$4,1/$E$41,0),0)</f>
        <v>0</v>
      </c>
      <c r="AV124" s="34">
        <f>IF(SUM($I124:AU124)&lt;1,IF($C124&lt;=AV$4,1/$E$41,0),0)</f>
        <v>0</v>
      </c>
      <c r="AW124" s="34">
        <f>IF(SUM($I124:AV124)&lt;1,IF($C124&lt;=AW$4,1/$E$41,0),0)</f>
        <v>0</v>
      </c>
      <c r="AX124" s="34">
        <f>IF(SUM($I124:AW124)&lt;1,IF($C124&lt;=AX$4,1/$E$41,0),0)</f>
        <v>0</v>
      </c>
      <c r="AY124" s="34">
        <f>IF(SUM($I124:AX124)&lt;1,IF($C124&lt;=AY$4,1/$E$41,0),0)</f>
        <v>0</v>
      </c>
      <c r="AZ124" s="34">
        <f>IF(SUM($I124:AY124)&lt;1,IF($C124&lt;=AZ$4,1/$E$41,0),0)</f>
        <v>0</v>
      </c>
      <c r="BA124" s="34">
        <f>IF(SUM($I124:AZ124)&lt;1,IF($C124&lt;=BA$4,1/$E$41,0),0)</f>
        <v>0</v>
      </c>
      <c r="BB124" s="34">
        <f>IF(SUM($I124:BA124)&lt;1,IF($C124&lt;=BB$4,1/$E$41,0),0)</f>
        <v>0</v>
      </c>
      <c r="BC124" s="34">
        <f>IF(SUM($I124:BB124)&lt;1,IF($C124&lt;=BC$4,1/$E$41,0),0)</f>
        <v>0</v>
      </c>
      <c r="BD124" s="34">
        <f>IF(SUM($I124:BC124)&lt;1,IF($C124&lt;=BD$4,1/$E$41,0),0)</f>
        <v>0</v>
      </c>
      <c r="BE124" s="34">
        <f>IF(SUM($I124:BD124)&lt;1,IF($C124&lt;=BE$4,1/$E$41,0),0)</f>
        <v>0</v>
      </c>
      <c r="BF124" s="34">
        <f>IF(SUM($I124:BE124)&lt;1,IF($C124&lt;=BF$4,1/$E$41,0),0)</f>
        <v>0</v>
      </c>
      <c r="BG124" s="34">
        <f>IF(SUM($I124:BF124)&lt;1,IF($C124&lt;=BG$4,1/$E$41,0),0)</f>
        <v>0</v>
      </c>
      <c r="BH124" s="34">
        <f>IF(SUM($I124:BG124)&lt;1,IF($C124&lt;=BH$4,1/$E$41,0),0)</f>
        <v>0</v>
      </c>
      <c r="BI124" s="34">
        <f>IF(SUM($I124:BH124)&lt;1,IF($C124&lt;=BI$4,1/$E$41,0),0)</f>
        <v>0</v>
      </c>
      <c r="BJ124" s="34">
        <f>IF(SUM($I124:BI124)&lt;1,IF($C124&lt;=BJ$4,1/$E$41,0),0)</f>
        <v>0</v>
      </c>
      <c r="BK124" s="34">
        <f>IF(SUM($I124:BJ124)&lt;1,IF($C124&lt;=BK$4,1/$E$41,0),0)</f>
        <v>0</v>
      </c>
      <c r="BL124" s="34">
        <f>IF(SUM($I124:BK124)&lt;1,IF($C124&lt;=BL$4,1/$E$41,0),0)</f>
        <v>0</v>
      </c>
      <c r="BM124" s="34">
        <f>IF(SUM($I124:BL124)&lt;1,IF($C124&lt;=BM$4,1/$E$41,0),0)</f>
        <v>0</v>
      </c>
      <c r="BN124" s="34">
        <f>IF(SUM($I124:BM124)&lt;1,IF($C124&lt;=BN$4,1/$E$41,0),0)</f>
        <v>0</v>
      </c>
      <c r="BO124" s="34">
        <f>IF(SUM($I124:BN124)&lt;1,IF($C124&lt;=BO$4,1/$E$41,0),0)</f>
        <v>0</v>
      </c>
      <c r="BP124" s="34">
        <f>IF(SUM($I124:BO124)&lt;1,IF($C124&lt;=BP$4,1/$E$41,0),0)</f>
        <v>0</v>
      </c>
      <c r="BQ124" s="34">
        <f>IF(SUM($I124:BP124)&lt;1,IF($C124&lt;=BQ$4,1/$E$41,0),0)</f>
        <v>0</v>
      </c>
      <c r="BR124" s="34">
        <f>IF(SUM($I124:BQ124)&lt;1,IF($C124&lt;=BR$4,1/$E$41,0),0)</f>
        <v>0</v>
      </c>
      <c r="BS124" s="34">
        <f>IF(SUM($I124:BR124)&lt;1,IF($C124&lt;=BS$4,1/$E$41,0),0)</f>
        <v>0</v>
      </c>
      <c r="BT124" s="34">
        <f>IF(SUM($I124:BS124)&lt;1,IF($C124&lt;=BT$4,1/$E$41,0),0)</f>
        <v>0</v>
      </c>
      <c r="BU124" s="34">
        <f>IF(SUM($I124:BT124)&lt;1,IF($C124&lt;=BU$4,1/$E$41,0),0)</f>
        <v>0</v>
      </c>
      <c r="BV124" s="34">
        <f>IF(SUM($I124:BU124)&lt;1,IF($C124&lt;=BV$4,1/$E$41,0),0)</f>
        <v>0</v>
      </c>
      <c r="BW124" s="34">
        <f>IF(SUM($I124:BV124)&lt;1,IF($C124&lt;=BW$4,1/$E$41,0),0)</f>
        <v>0</v>
      </c>
      <c r="BX124" s="34">
        <f>IF(SUM($I124:BW124)&lt;1,IF($C124&lt;=BX$4,1/$E$41,0),0)</f>
        <v>0</v>
      </c>
      <c r="BY124" s="34">
        <f>IF(SUM($I124:BX124)&lt;1,IF($C124&lt;=BY$4,1/$E$41,0),0)</f>
        <v>0</v>
      </c>
      <c r="BZ124" s="34">
        <f>IF(SUM($I124:BY124)&lt;1,IF($C124&lt;=BZ$4,1/$E$41,0),0)</f>
        <v>0</v>
      </c>
      <c r="CA124" s="34">
        <f>IF(SUM($I124:BZ124)&lt;1,IF($C124&lt;=CA$4,1/$E$41,0),0)</f>
        <v>0</v>
      </c>
      <c r="CB124" s="34">
        <f>IF(SUM($I124:CA124)&lt;1,IF($C124&lt;=CB$4,1/$E$41,0),0)</f>
        <v>0</v>
      </c>
      <c r="CC124" s="34">
        <f>IF(SUM($I124:CB124)&lt;1,IF($C124&lt;=CC$4,1/$E$41,0),0)</f>
        <v>0</v>
      </c>
      <c r="CD124" s="34">
        <f>IF(SUM($I124:CC124)&lt;1,IF($C124&lt;=CD$4,1/$E$41,0),0)</f>
        <v>0</v>
      </c>
      <c r="CE124" s="34">
        <f>IF(SUM($I124:CD124)&lt;1,IF($C124&lt;=CE$4,1/$E$41,0),0)</f>
        <v>0</v>
      </c>
      <c r="CF124" s="34">
        <f>IF(SUM($I124:CE124)&lt;1,IF($C124&lt;=CF$4,1/$E$41,0),0)</f>
        <v>0</v>
      </c>
      <c r="CG124" s="34">
        <f>IF(SUM($I124:CF124)&lt;1,IF($C124&lt;=CG$4,1/$E$41,0),0)</f>
        <v>0</v>
      </c>
      <c r="CH124" s="34">
        <f>IF(SUM($I124:CG124)&lt;1,IF($C124&lt;=CH$4,1/$E$41,0),0)</f>
        <v>0</v>
      </c>
      <c r="CI124" s="34">
        <f>IF(SUM($I124:CH124)&lt;1,IF($C124&lt;=CI$4,1/$E$41,0),0)</f>
        <v>0</v>
      </c>
      <c r="CJ124" s="34">
        <f>IF(SUM($I124:CI124)&lt;1,IF($C124&lt;=CJ$4,1/$E$41,0),0)</f>
        <v>0</v>
      </c>
      <c r="CK124" s="34">
        <f>IF(SUM($I124:CJ124)&lt;1,IF($C124&lt;=CK$4,1/$E$41,0),0)</f>
        <v>0.25</v>
      </c>
      <c r="CL124" s="34">
        <f>IF(SUM($I124:CK124)&lt;1,IF($C124&lt;=CL$4,1/$E$41,0),0)</f>
        <v>0.25</v>
      </c>
      <c r="CM124" s="34">
        <f>IF(SUM($I124:CL124)&lt;1,IF($C124&lt;=CM$4,1/$E$41,0),0)</f>
        <v>0.25</v>
      </c>
      <c r="CN124" s="34">
        <f>IF(SUM($I124:CM124)&lt;1,IF($C124&lt;=CN$4,1/$E$41,0),0)</f>
        <v>0.25</v>
      </c>
      <c r="CO124" s="34">
        <f>IF(SUM($I124:CN124)&lt;1,IF($C124&lt;=CO$4,1/$E$41,0),0)</f>
        <v>0</v>
      </c>
      <c r="CP124" s="34">
        <f>IF(SUM($I124:CO124)&lt;1,IF($C124&lt;=CP$4,1/$E$41,0),0)</f>
        <v>0</v>
      </c>
      <c r="CQ124" s="34">
        <f>IF(SUM($I124:CP124)&lt;1,IF($C124&lt;=CQ$4,1/$E$41,0),0)</f>
        <v>0</v>
      </c>
      <c r="CR124" s="34">
        <f>IF(SUM($I124:CQ124)&lt;1,IF($C124&lt;=CR$4,1/$E$41,0),0)</f>
        <v>0</v>
      </c>
      <c r="CS124" s="34">
        <f>IF(SUM($I124:CR124)&lt;1,IF($C124&lt;=CS$4,1/$E$41,0),0)</f>
        <v>0</v>
      </c>
      <c r="CT124" s="34">
        <f>IF(SUM($I124:CS124)&lt;1,IF($C124&lt;=CT$4,1/$E$41,0),0)</f>
        <v>0</v>
      </c>
      <c r="CU124" s="34">
        <f>IF(SUM($I124:CT124)&lt;1,IF($C124&lt;=CU$4,1/$E$41,0),0)</f>
        <v>0</v>
      </c>
      <c r="CV124" s="34">
        <f>IF(SUM($I124:CU124)&lt;1,IF($C124&lt;=CV$4,1/$E$41,0),0)</f>
        <v>0</v>
      </c>
      <c r="CW124" s="34">
        <f>IF(SUM($I124:CV124)&lt;1,IF($C124&lt;=CW$4,1/$E$41,0),0)</f>
        <v>0</v>
      </c>
      <c r="CX124" s="34">
        <f>IF(SUM($I124:CW124)&lt;1,IF($C124&lt;=CX$4,1/$E$41,0),0)</f>
        <v>0</v>
      </c>
      <c r="CY124" s="34">
        <f>IF(SUM($I124:CX124)&lt;1,IF($C124&lt;=CY$4,1/$E$41,0),0)</f>
        <v>0</v>
      </c>
      <c r="CZ124" s="34">
        <f>IF(SUM($I124:CY124)&lt;1,IF($C124&lt;=CZ$4,1/$E$41,0),0)</f>
        <v>0</v>
      </c>
      <c r="DA124" s="34">
        <f>IF(SUM($I124:CZ124)&lt;1,IF($C124&lt;=DA$4,1/$E$41,0),0)</f>
        <v>0</v>
      </c>
      <c r="DB124" s="34">
        <f>IF(SUM($I124:DA124)&lt;1,IF($C124&lt;=DB$4,1/$E$41,0),0)</f>
        <v>0</v>
      </c>
      <c r="DC124" s="34">
        <f>IF(SUM($I124:DB124)&lt;1,IF($C124&lt;=DC$4,1/$E$41,0),0)</f>
        <v>0</v>
      </c>
      <c r="DD124" s="34">
        <f>IF(SUM($I124:DC124)&lt;1,IF($C124&lt;=DD$4,1/$E$41,0),0)</f>
        <v>0</v>
      </c>
      <c r="DE124" s="34">
        <f>IF(SUM($I124:DD124)&lt;1,IF($C124&lt;=DE$4,1/$E$41,0),0)</f>
        <v>0</v>
      </c>
      <c r="DF124" s="34">
        <f>IF(SUM($I124:DE124)&lt;1,IF($C124&lt;=DF$4,1/$E$41,0),0)</f>
        <v>0</v>
      </c>
      <c r="DG124" s="34">
        <f>IF(SUM($I124:DF124)&lt;1,IF($C124&lt;=DG$4,1/$E$41,0),0)</f>
        <v>0</v>
      </c>
      <c r="DH124" s="34">
        <f>IF(SUM($I124:DG124)&lt;1,IF($C124&lt;=DH$4,1/$E$41,0),0)</f>
        <v>0</v>
      </c>
      <c r="DI124" s="34">
        <f>IF(SUM($I124:DH124)&lt;1,IF($C124&lt;=DI$4,1/$E$41,0),0)</f>
        <v>0</v>
      </c>
      <c r="DJ124" s="34">
        <f>IF(SUM($I124:DI124)&lt;1,IF($C124&lt;=DJ$4,1/$E$41,0),0)</f>
        <v>0</v>
      </c>
      <c r="DK124" s="34">
        <f>IF(SUM($I124:DJ124)&lt;1,IF($C124&lt;=DK$4,1/$E$41,0),0)</f>
        <v>0</v>
      </c>
      <c r="DL124" s="34">
        <f>IF(SUM($I124:DK124)&lt;1,IF($C124&lt;=DL$4,1/$E$41,0),0)</f>
        <v>0</v>
      </c>
      <c r="DM124" s="34">
        <f>IF(SUM($I124:DL124)&lt;1,IF($C124&lt;=DM$4,1/$E$41,0),0)</f>
        <v>0</v>
      </c>
    </row>
    <row r="125" spans="3:117" outlineLevel="1" x14ac:dyDescent="0.15">
      <c r="C125" s="50">
        <f t="shared" si="51"/>
        <v>81</v>
      </c>
      <c r="D125" s="5" t="s">
        <v>18</v>
      </c>
      <c r="E125" s="19">
        <f t="shared" si="50"/>
        <v>0</v>
      </c>
      <c r="I125" s="9"/>
      <c r="J125" s="34">
        <f>IF(SUM($I125:I125)&lt;1,IF($C125&lt;=J$4,1/$E$41,0),0)</f>
        <v>0</v>
      </c>
      <c r="K125" s="34">
        <f>IF(SUM($I125:J125)&lt;1,IF($C125&lt;=K$4,1/$E$41,0),0)</f>
        <v>0</v>
      </c>
      <c r="L125" s="34">
        <f>IF(SUM($I125:K125)&lt;1,IF($C125&lt;=L$4,1/$E$41,0),0)</f>
        <v>0</v>
      </c>
      <c r="M125" s="34">
        <f>IF(SUM($I125:L125)&lt;1,IF($C125&lt;=M$4,1/$E$41,0),0)</f>
        <v>0</v>
      </c>
      <c r="N125" s="34">
        <f>IF(SUM($I125:M125)&lt;1,IF($C125&lt;=N$4,1/$E$41,0),0)</f>
        <v>0</v>
      </c>
      <c r="O125" s="34">
        <f>IF(SUM($I125:N125)&lt;1,IF($C125&lt;=O$4,1/$E$41,0),0)</f>
        <v>0</v>
      </c>
      <c r="P125" s="34">
        <f>IF(SUM($I125:O125)&lt;1,IF($C125&lt;=P$4,1/$E$41,0),0)</f>
        <v>0</v>
      </c>
      <c r="Q125" s="34">
        <f>IF(SUM($I125:P125)&lt;1,IF($C125&lt;=Q$4,1/$E$41,0),0)</f>
        <v>0</v>
      </c>
      <c r="R125" s="34">
        <f>IF(SUM($I125:Q125)&lt;1,IF($C125&lt;=R$4,1/$E$41,0),0)</f>
        <v>0</v>
      </c>
      <c r="S125" s="34">
        <f>IF(SUM($I125:R125)&lt;1,IF($C125&lt;=S$4,1/$E$41,0),0)</f>
        <v>0</v>
      </c>
      <c r="T125" s="34">
        <f>IF(SUM($I125:S125)&lt;1,IF($C125&lt;=T$4,1/$E$41,0),0)</f>
        <v>0</v>
      </c>
      <c r="U125" s="34">
        <f>IF(SUM($I125:T125)&lt;1,IF($C125&lt;=U$4,1/$E$41,0),0)</f>
        <v>0</v>
      </c>
      <c r="V125" s="34">
        <f>IF(SUM($I125:U125)&lt;1,IF($C125&lt;=V$4,1/$E$41,0),0)</f>
        <v>0</v>
      </c>
      <c r="W125" s="34">
        <f>IF(SUM($I125:V125)&lt;1,IF($C125&lt;=W$4,1/$E$41,0),0)</f>
        <v>0</v>
      </c>
      <c r="X125" s="34">
        <f>IF(SUM($I125:W125)&lt;1,IF($C125&lt;=X$4,1/$E$41,0),0)</f>
        <v>0</v>
      </c>
      <c r="Y125" s="34">
        <f>IF(SUM($I125:X125)&lt;1,IF($C125&lt;=Y$4,1/$E$41,0),0)</f>
        <v>0</v>
      </c>
      <c r="Z125" s="34">
        <f>IF(SUM($I125:Y125)&lt;1,IF($C125&lt;=Z$4,1/$E$41,0),0)</f>
        <v>0</v>
      </c>
      <c r="AA125" s="34">
        <f>IF(SUM($I125:Z125)&lt;1,IF($C125&lt;=AA$4,1/$E$41,0),0)</f>
        <v>0</v>
      </c>
      <c r="AB125" s="34">
        <f>IF(SUM($I125:AA125)&lt;1,IF($C125&lt;=AB$4,1/$E$41,0),0)</f>
        <v>0</v>
      </c>
      <c r="AC125" s="34">
        <f>IF(SUM($I125:AB125)&lt;1,IF($C125&lt;=AC$4,1/$E$41,0),0)</f>
        <v>0</v>
      </c>
      <c r="AD125" s="34">
        <f>IF(SUM($I125:AC125)&lt;1,IF($C125&lt;=AD$4,1/$E$41,0),0)</f>
        <v>0</v>
      </c>
      <c r="AE125" s="34">
        <f>IF(SUM($I125:AD125)&lt;1,IF($C125&lt;=AE$4,1/$E$41,0),0)</f>
        <v>0</v>
      </c>
      <c r="AF125" s="34">
        <f>IF(SUM($I125:AE125)&lt;1,IF($C125&lt;=AF$4,1/$E$41,0),0)</f>
        <v>0</v>
      </c>
      <c r="AG125" s="34">
        <f>IF(SUM($I125:AF125)&lt;1,IF($C125&lt;=AG$4,1/$E$41,0),0)</f>
        <v>0</v>
      </c>
      <c r="AH125" s="34">
        <f>IF(SUM($I125:AG125)&lt;1,IF($C125&lt;=AH$4,1/$E$41,0),0)</f>
        <v>0</v>
      </c>
      <c r="AI125" s="34">
        <f>IF(SUM($I125:AH125)&lt;1,IF($C125&lt;=AI$4,1/$E$41,0),0)</f>
        <v>0</v>
      </c>
      <c r="AJ125" s="34">
        <f>IF(SUM($I125:AI125)&lt;1,IF($C125&lt;=AJ$4,1/$E$41,0),0)</f>
        <v>0</v>
      </c>
      <c r="AK125" s="34">
        <f>IF(SUM($I125:AJ125)&lt;1,IF($C125&lt;=AK$4,1/$E$41,0),0)</f>
        <v>0</v>
      </c>
      <c r="AL125" s="34">
        <f>IF(SUM($I125:AK125)&lt;1,IF($C125&lt;=AL$4,1/$E$41,0),0)</f>
        <v>0</v>
      </c>
      <c r="AM125" s="34">
        <f>IF(SUM($I125:AL125)&lt;1,IF($C125&lt;=AM$4,1/$E$41,0),0)</f>
        <v>0</v>
      </c>
      <c r="AN125" s="34">
        <f>IF(SUM($I125:AM125)&lt;1,IF($C125&lt;=AN$4,1/$E$41,0),0)</f>
        <v>0</v>
      </c>
      <c r="AO125" s="34">
        <f>IF(SUM($I125:AN125)&lt;1,IF($C125&lt;=AO$4,1/$E$41,0),0)</f>
        <v>0</v>
      </c>
      <c r="AP125" s="34">
        <f>IF(SUM($I125:AO125)&lt;1,IF($C125&lt;=AP$4,1/$E$41,0),0)</f>
        <v>0</v>
      </c>
      <c r="AQ125" s="34">
        <f>IF(SUM($I125:AP125)&lt;1,IF($C125&lt;=AQ$4,1/$E$41,0),0)</f>
        <v>0</v>
      </c>
      <c r="AR125" s="34">
        <f>IF(SUM($I125:AQ125)&lt;1,IF($C125&lt;=AR$4,1/$E$41,0),0)</f>
        <v>0</v>
      </c>
      <c r="AS125" s="34">
        <f>IF(SUM($I125:AR125)&lt;1,IF($C125&lt;=AS$4,1/$E$41,0),0)</f>
        <v>0</v>
      </c>
      <c r="AT125" s="34">
        <f>IF(SUM($I125:AS125)&lt;1,IF($C125&lt;=AT$4,1/$E$41,0),0)</f>
        <v>0</v>
      </c>
      <c r="AU125" s="34">
        <f>IF(SUM($I125:AT125)&lt;1,IF($C125&lt;=AU$4,1/$E$41,0),0)</f>
        <v>0</v>
      </c>
      <c r="AV125" s="34">
        <f>IF(SUM($I125:AU125)&lt;1,IF($C125&lt;=AV$4,1/$E$41,0),0)</f>
        <v>0</v>
      </c>
      <c r="AW125" s="34">
        <f>IF(SUM($I125:AV125)&lt;1,IF($C125&lt;=AW$4,1/$E$41,0),0)</f>
        <v>0</v>
      </c>
      <c r="AX125" s="34">
        <f>IF(SUM($I125:AW125)&lt;1,IF($C125&lt;=AX$4,1/$E$41,0),0)</f>
        <v>0</v>
      </c>
      <c r="AY125" s="34">
        <f>IF(SUM($I125:AX125)&lt;1,IF($C125&lt;=AY$4,1/$E$41,0),0)</f>
        <v>0</v>
      </c>
      <c r="AZ125" s="34">
        <f>IF(SUM($I125:AY125)&lt;1,IF($C125&lt;=AZ$4,1/$E$41,0),0)</f>
        <v>0</v>
      </c>
      <c r="BA125" s="34">
        <f>IF(SUM($I125:AZ125)&lt;1,IF($C125&lt;=BA$4,1/$E$41,0),0)</f>
        <v>0</v>
      </c>
      <c r="BB125" s="34">
        <f>IF(SUM($I125:BA125)&lt;1,IF($C125&lt;=BB$4,1/$E$41,0),0)</f>
        <v>0</v>
      </c>
      <c r="BC125" s="34">
        <f>IF(SUM($I125:BB125)&lt;1,IF($C125&lt;=BC$4,1/$E$41,0),0)</f>
        <v>0</v>
      </c>
      <c r="BD125" s="34">
        <f>IF(SUM($I125:BC125)&lt;1,IF($C125&lt;=BD$4,1/$E$41,0),0)</f>
        <v>0</v>
      </c>
      <c r="BE125" s="34">
        <f>IF(SUM($I125:BD125)&lt;1,IF($C125&lt;=BE$4,1/$E$41,0),0)</f>
        <v>0</v>
      </c>
      <c r="BF125" s="34">
        <f>IF(SUM($I125:BE125)&lt;1,IF($C125&lt;=BF$4,1/$E$41,0),0)</f>
        <v>0</v>
      </c>
      <c r="BG125" s="34">
        <f>IF(SUM($I125:BF125)&lt;1,IF($C125&lt;=BG$4,1/$E$41,0),0)</f>
        <v>0</v>
      </c>
      <c r="BH125" s="34">
        <f>IF(SUM($I125:BG125)&lt;1,IF($C125&lt;=BH$4,1/$E$41,0),0)</f>
        <v>0</v>
      </c>
      <c r="BI125" s="34">
        <f>IF(SUM($I125:BH125)&lt;1,IF($C125&lt;=BI$4,1/$E$41,0),0)</f>
        <v>0</v>
      </c>
      <c r="BJ125" s="34">
        <f>IF(SUM($I125:BI125)&lt;1,IF($C125&lt;=BJ$4,1/$E$41,0),0)</f>
        <v>0</v>
      </c>
      <c r="BK125" s="34">
        <f>IF(SUM($I125:BJ125)&lt;1,IF($C125&lt;=BK$4,1/$E$41,0),0)</f>
        <v>0</v>
      </c>
      <c r="BL125" s="34">
        <f>IF(SUM($I125:BK125)&lt;1,IF($C125&lt;=BL$4,1/$E$41,0),0)</f>
        <v>0</v>
      </c>
      <c r="BM125" s="34">
        <f>IF(SUM($I125:BL125)&lt;1,IF($C125&lt;=BM$4,1/$E$41,0),0)</f>
        <v>0</v>
      </c>
      <c r="BN125" s="34">
        <f>IF(SUM($I125:BM125)&lt;1,IF($C125&lt;=BN$4,1/$E$41,0),0)</f>
        <v>0</v>
      </c>
      <c r="BO125" s="34">
        <f>IF(SUM($I125:BN125)&lt;1,IF($C125&lt;=BO$4,1/$E$41,0),0)</f>
        <v>0</v>
      </c>
      <c r="BP125" s="34">
        <f>IF(SUM($I125:BO125)&lt;1,IF($C125&lt;=BP$4,1/$E$41,0),0)</f>
        <v>0</v>
      </c>
      <c r="BQ125" s="34">
        <f>IF(SUM($I125:BP125)&lt;1,IF($C125&lt;=BQ$4,1/$E$41,0),0)</f>
        <v>0</v>
      </c>
      <c r="BR125" s="34">
        <f>IF(SUM($I125:BQ125)&lt;1,IF($C125&lt;=BR$4,1/$E$41,0),0)</f>
        <v>0</v>
      </c>
      <c r="BS125" s="34">
        <f>IF(SUM($I125:BR125)&lt;1,IF($C125&lt;=BS$4,1/$E$41,0),0)</f>
        <v>0</v>
      </c>
      <c r="BT125" s="34">
        <f>IF(SUM($I125:BS125)&lt;1,IF($C125&lt;=BT$4,1/$E$41,0),0)</f>
        <v>0</v>
      </c>
      <c r="BU125" s="34">
        <f>IF(SUM($I125:BT125)&lt;1,IF($C125&lt;=BU$4,1/$E$41,0),0)</f>
        <v>0</v>
      </c>
      <c r="BV125" s="34">
        <f>IF(SUM($I125:BU125)&lt;1,IF($C125&lt;=BV$4,1/$E$41,0),0)</f>
        <v>0</v>
      </c>
      <c r="BW125" s="34">
        <f>IF(SUM($I125:BV125)&lt;1,IF($C125&lt;=BW$4,1/$E$41,0),0)</f>
        <v>0</v>
      </c>
      <c r="BX125" s="34">
        <f>IF(SUM($I125:BW125)&lt;1,IF($C125&lt;=BX$4,1/$E$41,0),0)</f>
        <v>0</v>
      </c>
      <c r="BY125" s="34">
        <f>IF(SUM($I125:BX125)&lt;1,IF($C125&lt;=BY$4,1/$E$41,0),0)</f>
        <v>0</v>
      </c>
      <c r="BZ125" s="34">
        <f>IF(SUM($I125:BY125)&lt;1,IF($C125&lt;=BZ$4,1/$E$41,0),0)</f>
        <v>0</v>
      </c>
      <c r="CA125" s="34">
        <f>IF(SUM($I125:BZ125)&lt;1,IF($C125&lt;=CA$4,1/$E$41,0),0)</f>
        <v>0</v>
      </c>
      <c r="CB125" s="34">
        <f>IF(SUM($I125:CA125)&lt;1,IF($C125&lt;=CB$4,1/$E$41,0),0)</f>
        <v>0</v>
      </c>
      <c r="CC125" s="34">
        <f>IF(SUM($I125:CB125)&lt;1,IF($C125&lt;=CC$4,1/$E$41,0),0)</f>
        <v>0</v>
      </c>
      <c r="CD125" s="34">
        <f>IF(SUM($I125:CC125)&lt;1,IF($C125&lt;=CD$4,1/$E$41,0),0)</f>
        <v>0</v>
      </c>
      <c r="CE125" s="34">
        <f>IF(SUM($I125:CD125)&lt;1,IF($C125&lt;=CE$4,1/$E$41,0),0)</f>
        <v>0</v>
      </c>
      <c r="CF125" s="34">
        <f>IF(SUM($I125:CE125)&lt;1,IF($C125&lt;=CF$4,1/$E$41,0),0)</f>
        <v>0</v>
      </c>
      <c r="CG125" s="34">
        <f>IF(SUM($I125:CF125)&lt;1,IF($C125&lt;=CG$4,1/$E$41,0),0)</f>
        <v>0</v>
      </c>
      <c r="CH125" s="34">
        <f>IF(SUM($I125:CG125)&lt;1,IF($C125&lt;=CH$4,1/$E$41,0),0)</f>
        <v>0</v>
      </c>
      <c r="CI125" s="34">
        <f>IF(SUM($I125:CH125)&lt;1,IF($C125&lt;=CI$4,1/$E$41,0),0)</f>
        <v>0</v>
      </c>
      <c r="CJ125" s="34">
        <f>IF(SUM($I125:CI125)&lt;1,IF($C125&lt;=CJ$4,1/$E$41,0),0)</f>
        <v>0</v>
      </c>
      <c r="CK125" s="34">
        <f>IF(SUM($I125:CJ125)&lt;1,IF($C125&lt;=CK$4,1/$E$41,0),0)</f>
        <v>0</v>
      </c>
      <c r="CL125" s="34">
        <f>IF(SUM($I125:CK125)&lt;1,IF($C125&lt;=CL$4,1/$E$41,0),0)</f>
        <v>0.25</v>
      </c>
      <c r="CM125" s="34">
        <f>IF(SUM($I125:CL125)&lt;1,IF($C125&lt;=CM$4,1/$E$41,0),0)</f>
        <v>0.25</v>
      </c>
      <c r="CN125" s="34">
        <f>IF(SUM($I125:CM125)&lt;1,IF($C125&lt;=CN$4,1/$E$41,0),0)</f>
        <v>0.25</v>
      </c>
      <c r="CO125" s="34">
        <f>IF(SUM($I125:CN125)&lt;1,IF($C125&lt;=CO$4,1/$E$41,0),0)</f>
        <v>0.25</v>
      </c>
      <c r="CP125" s="34">
        <f>IF(SUM($I125:CO125)&lt;1,IF($C125&lt;=CP$4,1/$E$41,0),0)</f>
        <v>0</v>
      </c>
      <c r="CQ125" s="34">
        <f>IF(SUM($I125:CP125)&lt;1,IF($C125&lt;=CQ$4,1/$E$41,0),0)</f>
        <v>0</v>
      </c>
      <c r="CR125" s="34">
        <f>IF(SUM($I125:CQ125)&lt;1,IF($C125&lt;=CR$4,1/$E$41,0),0)</f>
        <v>0</v>
      </c>
      <c r="CS125" s="34">
        <f>IF(SUM($I125:CR125)&lt;1,IF($C125&lt;=CS$4,1/$E$41,0),0)</f>
        <v>0</v>
      </c>
      <c r="CT125" s="34">
        <f>IF(SUM($I125:CS125)&lt;1,IF($C125&lt;=CT$4,1/$E$41,0),0)</f>
        <v>0</v>
      </c>
      <c r="CU125" s="34">
        <f>IF(SUM($I125:CT125)&lt;1,IF($C125&lt;=CU$4,1/$E$41,0),0)</f>
        <v>0</v>
      </c>
      <c r="CV125" s="34">
        <f>IF(SUM($I125:CU125)&lt;1,IF($C125&lt;=CV$4,1/$E$41,0),0)</f>
        <v>0</v>
      </c>
      <c r="CW125" s="34">
        <f>IF(SUM($I125:CV125)&lt;1,IF($C125&lt;=CW$4,1/$E$41,0),0)</f>
        <v>0</v>
      </c>
      <c r="CX125" s="34">
        <f>IF(SUM($I125:CW125)&lt;1,IF($C125&lt;=CX$4,1/$E$41,0),0)</f>
        <v>0</v>
      </c>
      <c r="CY125" s="34">
        <f>IF(SUM($I125:CX125)&lt;1,IF($C125&lt;=CY$4,1/$E$41,0),0)</f>
        <v>0</v>
      </c>
      <c r="CZ125" s="34">
        <f>IF(SUM($I125:CY125)&lt;1,IF($C125&lt;=CZ$4,1/$E$41,0),0)</f>
        <v>0</v>
      </c>
      <c r="DA125" s="34">
        <f>IF(SUM($I125:CZ125)&lt;1,IF($C125&lt;=DA$4,1/$E$41,0),0)</f>
        <v>0</v>
      </c>
      <c r="DB125" s="34">
        <f>IF(SUM($I125:DA125)&lt;1,IF($C125&lt;=DB$4,1/$E$41,0),0)</f>
        <v>0</v>
      </c>
      <c r="DC125" s="34">
        <f>IF(SUM($I125:DB125)&lt;1,IF($C125&lt;=DC$4,1/$E$41,0),0)</f>
        <v>0</v>
      </c>
      <c r="DD125" s="34">
        <f>IF(SUM($I125:DC125)&lt;1,IF($C125&lt;=DD$4,1/$E$41,0),0)</f>
        <v>0</v>
      </c>
      <c r="DE125" s="34">
        <f>IF(SUM($I125:DD125)&lt;1,IF($C125&lt;=DE$4,1/$E$41,0),0)</f>
        <v>0</v>
      </c>
      <c r="DF125" s="34">
        <f>IF(SUM($I125:DE125)&lt;1,IF($C125&lt;=DF$4,1/$E$41,0),0)</f>
        <v>0</v>
      </c>
      <c r="DG125" s="34">
        <f>IF(SUM($I125:DF125)&lt;1,IF($C125&lt;=DG$4,1/$E$41,0),0)</f>
        <v>0</v>
      </c>
      <c r="DH125" s="34">
        <f>IF(SUM($I125:DG125)&lt;1,IF($C125&lt;=DH$4,1/$E$41,0),0)</f>
        <v>0</v>
      </c>
      <c r="DI125" s="34">
        <f>IF(SUM($I125:DH125)&lt;1,IF($C125&lt;=DI$4,1/$E$41,0),0)</f>
        <v>0</v>
      </c>
      <c r="DJ125" s="34">
        <f>IF(SUM($I125:DI125)&lt;1,IF($C125&lt;=DJ$4,1/$E$41,0),0)</f>
        <v>0</v>
      </c>
      <c r="DK125" s="34">
        <f>IF(SUM($I125:DJ125)&lt;1,IF($C125&lt;=DK$4,1/$E$41,0),0)</f>
        <v>0</v>
      </c>
      <c r="DL125" s="34">
        <f>IF(SUM($I125:DK125)&lt;1,IF($C125&lt;=DL$4,1/$E$41,0),0)</f>
        <v>0</v>
      </c>
      <c r="DM125" s="34">
        <f>IF(SUM($I125:DL125)&lt;1,IF($C125&lt;=DM$4,1/$E$41,0),0)</f>
        <v>0</v>
      </c>
    </row>
    <row r="126" spans="3:117" outlineLevel="1" x14ac:dyDescent="0.15">
      <c r="C126" s="50">
        <f t="shared" si="51"/>
        <v>82</v>
      </c>
      <c r="D126" s="5" t="s">
        <v>18</v>
      </c>
      <c r="E126" s="19">
        <f t="shared" si="50"/>
        <v>0</v>
      </c>
      <c r="I126" s="9"/>
      <c r="J126" s="34">
        <f>IF(SUM($I126:I126)&lt;1,IF($C126&lt;=J$4,1/$E$41,0),0)</f>
        <v>0</v>
      </c>
      <c r="K126" s="34">
        <f>IF(SUM($I126:J126)&lt;1,IF($C126&lt;=K$4,1/$E$41,0),0)</f>
        <v>0</v>
      </c>
      <c r="L126" s="34">
        <f>IF(SUM($I126:K126)&lt;1,IF($C126&lt;=L$4,1/$E$41,0),0)</f>
        <v>0</v>
      </c>
      <c r="M126" s="34">
        <f>IF(SUM($I126:L126)&lt;1,IF($C126&lt;=M$4,1/$E$41,0),0)</f>
        <v>0</v>
      </c>
      <c r="N126" s="34">
        <f>IF(SUM($I126:M126)&lt;1,IF($C126&lt;=N$4,1/$E$41,0),0)</f>
        <v>0</v>
      </c>
      <c r="O126" s="34">
        <f>IF(SUM($I126:N126)&lt;1,IF($C126&lt;=O$4,1/$E$41,0),0)</f>
        <v>0</v>
      </c>
      <c r="P126" s="34">
        <f>IF(SUM($I126:O126)&lt;1,IF($C126&lt;=P$4,1/$E$41,0),0)</f>
        <v>0</v>
      </c>
      <c r="Q126" s="34">
        <f>IF(SUM($I126:P126)&lt;1,IF($C126&lt;=Q$4,1/$E$41,0),0)</f>
        <v>0</v>
      </c>
      <c r="R126" s="34">
        <f>IF(SUM($I126:Q126)&lt;1,IF($C126&lt;=R$4,1/$E$41,0),0)</f>
        <v>0</v>
      </c>
      <c r="S126" s="34">
        <f>IF(SUM($I126:R126)&lt;1,IF($C126&lt;=S$4,1/$E$41,0),0)</f>
        <v>0</v>
      </c>
      <c r="T126" s="34">
        <f>IF(SUM($I126:S126)&lt;1,IF($C126&lt;=T$4,1/$E$41,0),0)</f>
        <v>0</v>
      </c>
      <c r="U126" s="34">
        <f>IF(SUM($I126:T126)&lt;1,IF($C126&lt;=U$4,1/$E$41,0),0)</f>
        <v>0</v>
      </c>
      <c r="V126" s="34">
        <f>IF(SUM($I126:U126)&lt;1,IF($C126&lt;=V$4,1/$E$41,0),0)</f>
        <v>0</v>
      </c>
      <c r="W126" s="34">
        <f>IF(SUM($I126:V126)&lt;1,IF($C126&lt;=W$4,1/$E$41,0),0)</f>
        <v>0</v>
      </c>
      <c r="X126" s="34">
        <f>IF(SUM($I126:W126)&lt;1,IF($C126&lt;=X$4,1/$E$41,0),0)</f>
        <v>0</v>
      </c>
      <c r="Y126" s="34">
        <f>IF(SUM($I126:X126)&lt;1,IF($C126&lt;=Y$4,1/$E$41,0),0)</f>
        <v>0</v>
      </c>
      <c r="Z126" s="34">
        <f>IF(SUM($I126:Y126)&lt;1,IF($C126&lt;=Z$4,1/$E$41,0),0)</f>
        <v>0</v>
      </c>
      <c r="AA126" s="34">
        <f>IF(SUM($I126:Z126)&lt;1,IF($C126&lt;=AA$4,1/$E$41,0),0)</f>
        <v>0</v>
      </c>
      <c r="AB126" s="34">
        <f>IF(SUM($I126:AA126)&lt;1,IF($C126&lt;=AB$4,1/$E$41,0),0)</f>
        <v>0</v>
      </c>
      <c r="AC126" s="34">
        <f>IF(SUM($I126:AB126)&lt;1,IF($C126&lt;=AC$4,1/$E$41,0),0)</f>
        <v>0</v>
      </c>
      <c r="AD126" s="34">
        <f>IF(SUM($I126:AC126)&lt;1,IF($C126&lt;=AD$4,1/$E$41,0),0)</f>
        <v>0</v>
      </c>
      <c r="AE126" s="34">
        <f>IF(SUM($I126:AD126)&lt;1,IF($C126&lt;=AE$4,1/$E$41,0),0)</f>
        <v>0</v>
      </c>
      <c r="AF126" s="34">
        <f>IF(SUM($I126:AE126)&lt;1,IF($C126&lt;=AF$4,1/$E$41,0),0)</f>
        <v>0</v>
      </c>
      <c r="AG126" s="34">
        <f>IF(SUM($I126:AF126)&lt;1,IF($C126&lt;=AG$4,1/$E$41,0),0)</f>
        <v>0</v>
      </c>
      <c r="AH126" s="34">
        <f>IF(SUM($I126:AG126)&lt;1,IF($C126&lt;=AH$4,1/$E$41,0),0)</f>
        <v>0</v>
      </c>
      <c r="AI126" s="34">
        <f>IF(SUM($I126:AH126)&lt;1,IF($C126&lt;=AI$4,1/$E$41,0),0)</f>
        <v>0</v>
      </c>
      <c r="AJ126" s="34">
        <f>IF(SUM($I126:AI126)&lt;1,IF($C126&lt;=AJ$4,1/$E$41,0),0)</f>
        <v>0</v>
      </c>
      <c r="AK126" s="34">
        <f>IF(SUM($I126:AJ126)&lt;1,IF($C126&lt;=AK$4,1/$E$41,0),0)</f>
        <v>0</v>
      </c>
      <c r="AL126" s="34">
        <f>IF(SUM($I126:AK126)&lt;1,IF($C126&lt;=AL$4,1/$E$41,0),0)</f>
        <v>0</v>
      </c>
      <c r="AM126" s="34">
        <f>IF(SUM($I126:AL126)&lt;1,IF($C126&lt;=AM$4,1/$E$41,0),0)</f>
        <v>0</v>
      </c>
      <c r="AN126" s="34">
        <f>IF(SUM($I126:AM126)&lt;1,IF($C126&lt;=AN$4,1/$E$41,0),0)</f>
        <v>0</v>
      </c>
      <c r="AO126" s="34">
        <f>IF(SUM($I126:AN126)&lt;1,IF($C126&lt;=AO$4,1/$E$41,0),0)</f>
        <v>0</v>
      </c>
      <c r="AP126" s="34">
        <f>IF(SUM($I126:AO126)&lt;1,IF($C126&lt;=AP$4,1/$E$41,0),0)</f>
        <v>0</v>
      </c>
      <c r="AQ126" s="34">
        <f>IF(SUM($I126:AP126)&lt;1,IF($C126&lt;=AQ$4,1/$E$41,0),0)</f>
        <v>0</v>
      </c>
      <c r="AR126" s="34">
        <f>IF(SUM($I126:AQ126)&lt;1,IF($C126&lt;=AR$4,1/$E$41,0),0)</f>
        <v>0</v>
      </c>
      <c r="AS126" s="34">
        <f>IF(SUM($I126:AR126)&lt;1,IF($C126&lt;=AS$4,1/$E$41,0),0)</f>
        <v>0</v>
      </c>
      <c r="AT126" s="34">
        <f>IF(SUM($I126:AS126)&lt;1,IF($C126&lt;=AT$4,1/$E$41,0),0)</f>
        <v>0</v>
      </c>
      <c r="AU126" s="34">
        <f>IF(SUM($I126:AT126)&lt;1,IF($C126&lt;=AU$4,1/$E$41,0),0)</f>
        <v>0</v>
      </c>
      <c r="AV126" s="34">
        <f>IF(SUM($I126:AU126)&lt;1,IF($C126&lt;=AV$4,1/$E$41,0),0)</f>
        <v>0</v>
      </c>
      <c r="AW126" s="34">
        <f>IF(SUM($I126:AV126)&lt;1,IF($C126&lt;=AW$4,1/$E$41,0),0)</f>
        <v>0</v>
      </c>
      <c r="AX126" s="34">
        <f>IF(SUM($I126:AW126)&lt;1,IF($C126&lt;=AX$4,1/$E$41,0),0)</f>
        <v>0</v>
      </c>
      <c r="AY126" s="34">
        <f>IF(SUM($I126:AX126)&lt;1,IF($C126&lt;=AY$4,1/$E$41,0),0)</f>
        <v>0</v>
      </c>
      <c r="AZ126" s="34">
        <f>IF(SUM($I126:AY126)&lt;1,IF($C126&lt;=AZ$4,1/$E$41,0),0)</f>
        <v>0</v>
      </c>
      <c r="BA126" s="34">
        <f>IF(SUM($I126:AZ126)&lt;1,IF($C126&lt;=BA$4,1/$E$41,0),0)</f>
        <v>0</v>
      </c>
      <c r="BB126" s="34">
        <f>IF(SUM($I126:BA126)&lt;1,IF($C126&lt;=BB$4,1/$E$41,0),0)</f>
        <v>0</v>
      </c>
      <c r="BC126" s="34">
        <f>IF(SUM($I126:BB126)&lt;1,IF($C126&lt;=BC$4,1/$E$41,0),0)</f>
        <v>0</v>
      </c>
      <c r="BD126" s="34">
        <f>IF(SUM($I126:BC126)&lt;1,IF($C126&lt;=BD$4,1/$E$41,0),0)</f>
        <v>0</v>
      </c>
      <c r="BE126" s="34">
        <f>IF(SUM($I126:BD126)&lt;1,IF($C126&lt;=BE$4,1/$E$41,0),0)</f>
        <v>0</v>
      </c>
      <c r="BF126" s="34">
        <f>IF(SUM($I126:BE126)&lt;1,IF($C126&lt;=BF$4,1/$E$41,0),0)</f>
        <v>0</v>
      </c>
      <c r="BG126" s="34">
        <f>IF(SUM($I126:BF126)&lt;1,IF($C126&lt;=BG$4,1/$E$41,0),0)</f>
        <v>0</v>
      </c>
      <c r="BH126" s="34">
        <f>IF(SUM($I126:BG126)&lt;1,IF($C126&lt;=BH$4,1/$E$41,0),0)</f>
        <v>0</v>
      </c>
      <c r="BI126" s="34">
        <f>IF(SUM($I126:BH126)&lt;1,IF($C126&lt;=BI$4,1/$E$41,0),0)</f>
        <v>0</v>
      </c>
      <c r="BJ126" s="34">
        <f>IF(SUM($I126:BI126)&lt;1,IF($C126&lt;=BJ$4,1/$E$41,0),0)</f>
        <v>0</v>
      </c>
      <c r="BK126" s="34">
        <f>IF(SUM($I126:BJ126)&lt;1,IF($C126&lt;=BK$4,1/$E$41,0),0)</f>
        <v>0</v>
      </c>
      <c r="BL126" s="34">
        <f>IF(SUM($I126:BK126)&lt;1,IF($C126&lt;=BL$4,1/$E$41,0),0)</f>
        <v>0</v>
      </c>
      <c r="BM126" s="34">
        <f>IF(SUM($I126:BL126)&lt;1,IF($C126&lt;=BM$4,1/$E$41,0),0)</f>
        <v>0</v>
      </c>
      <c r="BN126" s="34">
        <f>IF(SUM($I126:BM126)&lt;1,IF($C126&lt;=BN$4,1/$E$41,0),0)</f>
        <v>0</v>
      </c>
      <c r="BO126" s="34">
        <f>IF(SUM($I126:BN126)&lt;1,IF($C126&lt;=BO$4,1/$E$41,0),0)</f>
        <v>0</v>
      </c>
      <c r="BP126" s="34">
        <f>IF(SUM($I126:BO126)&lt;1,IF($C126&lt;=BP$4,1/$E$41,0),0)</f>
        <v>0</v>
      </c>
      <c r="BQ126" s="34">
        <f>IF(SUM($I126:BP126)&lt;1,IF($C126&lt;=BQ$4,1/$E$41,0),0)</f>
        <v>0</v>
      </c>
      <c r="BR126" s="34">
        <f>IF(SUM($I126:BQ126)&lt;1,IF($C126&lt;=BR$4,1/$E$41,0),0)</f>
        <v>0</v>
      </c>
      <c r="BS126" s="34">
        <f>IF(SUM($I126:BR126)&lt;1,IF($C126&lt;=BS$4,1/$E$41,0),0)</f>
        <v>0</v>
      </c>
      <c r="BT126" s="34">
        <f>IF(SUM($I126:BS126)&lt;1,IF($C126&lt;=BT$4,1/$E$41,0),0)</f>
        <v>0</v>
      </c>
      <c r="BU126" s="34">
        <f>IF(SUM($I126:BT126)&lt;1,IF($C126&lt;=BU$4,1/$E$41,0),0)</f>
        <v>0</v>
      </c>
      <c r="BV126" s="34">
        <f>IF(SUM($I126:BU126)&lt;1,IF($C126&lt;=BV$4,1/$E$41,0),0)</f>
        <v>0</v>
      </c>
      <c r="BW126" s="34">
        <f>IF(SUM($I126:BV126)&lt;1,IF($C126&lt;=BW$4,1/$E$41,0),0)</f>
        <v>0</v>
      </c>
      <c r="BX126" s="34">
        <f>IF(SUM($I126:BW126)&lt;1,IF($C126&lt;=BX$4,1/$E$41,0),0)</f>
        <v>0</v>
      </c>
      <c r="BY126" s="34">
        <f>IF(SUM($I126:BX126)&lt;1,IF($C126&lt;=BY$4,1/$E$41,0),0)</f>
        <v>0</v>
      </c>
      <c r="BZ126" s="34">
        <f>IF(SUM($I126:BY126)&lt;1,IF($C126&lt;=BZ$4,1/$E$41,0),0)</f>
        <v>0</v>
      </c>
      <c r="CA126" s="34">
        <f>IF(SUM($I126:BZ126)&lt;1,IF($C126&lt;=CA$4,1/$E$41,0),0)</f>
        <v>0</v>
      </c>
      <c r="CB126" s="34">
        <f>IF(SUM($I126:CA126)&lt;1,IF($C126&lt;=CB$4,1/$E$41,0),0)</f>
        <v>0</v>
      </c>
      <c r="CC126" s="34">
        <f>IF(SUM($I126:CB126)&lt;1,IF($C126&lt;=CC$4,1/$E$41,0),0)</f>
        <v>0</v>
      </c>
      <c r="CD126" s="34">
        <f>IF(SUM($I126:CC126)&lt;1,IF($C126&lt;=CD$4,1/$E$41,0),0)</f>
        <v>0</v>
      </c>
      <c r="CE126" s="34">
        <f>IF(SUM($I126:CD126)&lt;1,IF($C126&lt;=CE$4,1/$E$41,0),0)</f>
        <v>0</v>
      </c>
      <c r="CF126" s="34">
        <f>IF(SUM($I126:CE126)&lt;1,IF($C126&lt;=CF$4,1/$E$41,0),0)</f>
        <v>0</v>
      </c>
      <c r="CG126" s="34">
        <f>IF(SUM($I126:CF126)&lt;1,IF($C126&lt;=CG$4,1/$E$41,0),0)</f>
        <v>0</v>
      </c>
      <c r="CH126" s="34">
        <f>IF(SUM($I126:CG126)&lt;1,IF($C126&lt;=CH$4,1/$E$41,0),0)</f>
        <v>0</v>
      </c>
      <c r="CI126" s="34">
        <f>IF(SUM($I126:CH126)&lt;1,IF($C126&lt;=CI$4,1/$E$41,0),0)</f>
        <v>0</v>
      </c>
      <c r="CJ126" s="34">
        <f>IF(SUM($I126:CI126)&lt;1,IF($C126&lt;=CJ$4,1/$E$41,0),0)</f>
        <v>0</v>
      </c>
      <c r="CK126" s="34">
        <f>IF(SUM($I126:CJ126)&lt;1,IF($C126&lt;=CK$4,1/$E$41,0),0)</f>
        <v>0</v>
      </c>
      <c r="CL126" s="34">
        <f>IF(SUM($I126:CK126)&lt;1,IF($C126&lt;=CL$4,1/$E$41,0),0)</f>
        <v>0</v>
      </c>
      <c r="CM126" s="34">
        <f>IF(SUM($I126:CL126)&lt;1,IF($C126&lt;=CM$4,1/$E$41,0),0)</f>
        <v>0.25</v>
      </c>
      <c r="CN126" s="34">
        <f>IF(SUM($I126:CM126)&lt;1,IF($C126&lt;=CN$4,1/$E$41,0),0)</f>
        <v>0.25</v>
      </c>
      <c r="CO126" s="34">
        <f>IF(SUM($I126:CN126)&lt;1,IF($C126&lt;=CO$4,1/$E$41,0),0)</f>
        <v>0.25</v>
      </c>
      <c r="CP126" s="34">
        <f>IF(SUM($I126:CO126)&lt;1,IF($C126&lt;=CP$4,1/$E$41,0),0)</f>
        <v>0.25</v>
      </c>
      <c r="CQ126" s="34">
        <f>IF(SUM($I126:CP126)&lt;1,IF($C126&lt;=CQ$4,1/$E$41,0),0)</f>
        <v>0</v>
      </c>
      <c r="CR126" s="34">
        <f>IF(SUM($I126:CQ126)&lt;1,IF($C126&lt;=CR$4,1/$E$41,0),0)</f>
        <v>0</v>
      </c>
      <c r="CS126" s="34">
        <f>IF(SUM($I126:CR126)&lt;1,IF($C126&lt;=CS$4,1/$E$41,0),0)</f>
        <v>0</v>
      </c>
      <c r="CT126" s="34">
        <f>IF(SUM($I126:CS126)&lt;1,IF($C126&lt;=CT$4,1/$E$41,0),0)</f>
        <v>0</v>
      </c>
      <c r="CU126" s="34">
        <f>IF(SUM($I126:CT126)&lt;1,IF($C126&lt;=CU$4,1/$E$41,0),0)</f>
        <v>0</v>
      </c>
      <c r="CV126" s="34">
        <f>IF(SUM($I126:CU126)&lt;1,IF($C126&lt;=CV$4,1/$E$41,0),0)</f>
        <v>0</v>
      </c>
      <c r="CW126" s="34">
        <f>IF(SUM($I126:CV126)&lt;1,IF($C126&lt;=CW$4,1/$E$41,0),0)</f>
        <v>0</v>
      </c>
      <c r="CX126" s="34">
        <f>IF(SUM($I126:CW126)&lt;1,IF($C126&lt;=CX$4,1/$E$41,0),0)</f>
        <v>0</v>
      </c>
      <c r="CY126" s="34">
        <f>IF(SUM($I126:CX126)&lt;1,IF($C126&lt;=CY$4,1/$E$41,0),0)</f>
        <v>0</v>
      </c>
      <c r="CZ126" s="34">
        <f>IF(SUM($I126:CY126)&lt;1,IF($C126&lt;=CZ$4,1/$E$41,0),0)</f>
        <v>0</v>
      </c>
      <c r="DA126" s="34">
        <f>IF(SUM($I126:CZ126)&lt;1,IF($C126&lt;=DA$4,1/$E$41,0),0)</f>
        <v>0</v>
      </c>
      <c r="DB126" s="34">
        <f>IF(SUM($I126:DA126)&lt;1,IF($C126&lt;=DB$4,1/$E$41,0),0)</f>
        <v>0</v>
      </c>
      <c r="DC126" s="34">
        <f>IF(SUM($I126:DB126)&lt;1,IF($C126&lt;=DC$4,1/$E$41,0),0)</f>
        <v>0</v>
      </c>
      <c r="DD126" s="34">
        <f>IF(SUM($I126:DC126)&lt;1,IF($C126&lt;=DD$4,1/$E$41,0),0)</f>
        <v>0</v>
      </c>
      <c r="DE126" s="34">
        <f>IF(SUM($I126:DD126)&lt;1,IF($C126&lt;=DE$4,1/$E$41,0),0)</f>
        <v>0</v>
      </c>
      <c r="DF126" s="34">
        <f>IF(SUM($I126:DE126)&lt;1,IF($C126&lt;=DF$4,1/$E$41,0),0)</f>
        <v>0</v>
      </c>
      <c r="DG126" s="34">
        <f>IF(SUM($I126:DF126)&lt;1,IF($C126&lt;=DG$4,1/$E$41,0),0)</f>
        <v>0</v>
      </c>
      <c r="DH126" s="34">
        <f>IF(SUM($I126:DG126)&lt;1,IF($C126&lt;=DH$4,1/$E$41,0),0)</f>
        <v>0</v>
      </c>
      <c r="DI126" s="34">
        <f>IF(SUM($I126:DH126)&lt;1,IF($C126&lt;=DI$4,1/$E$41,0),0)</f>
        <v>0</v>
      </c>
      <c r="DJ126" s="34">
        <f>IF(SUM($I126:DI126)&lt;1,IF($C126&lt;=DJ$4,1/$E$41,0),0)</f>
        <v>0</v>
      </c>
      <c r="DK126" s="34">
        <f>IF(SUM($I126:DJ126)&lt;1,IF($C126&lt;=DK$4,1/$E$41,0),0)</f>
        <v>0</v>
      </c>
      <c r="DL126" s="34">
        <f>IF(SUM($I126:DK126)&lt;1,IF($C126&lt;=DL$4,1/$E$41,0),0)</f>
        <v>0</v>
      </c>
      <c r="DM126" s="34">
        <f>IF(SUM($I126:DL126)&lt;1,IF($C126&lt;=DM$4,1/$E$41,0),0)</f>
        <v>0</v>
      </c>
    </row>
    <row r="127" spans="3:117" outlineLevel="1" x14ac:dyDescent="0.15">
      <c r="C127" s="50">
        <f t="shared" si="51"/>
        <v>83</v>
      </c>
      <c r="D127" s="5" t="s">
        <v>18</v>
      </c>
      <c r="E127" s="19">
        <f t="shared" si="50"/>
        <v>0</v>
      </c>
      <c r="I127" s="9"/>
      <c r="J127" s="34">
        <f>IF(SUM($I127:I127)&lt;1,IF($C127&lt;=J$4,1/$E$41,0),0)</f>
        <v>0</v>
      </c>
      <c r="K127" s="34">
        <f>IF(SUM($I127:J127)&lt;1,IF($C127&lt;=K$4,1/$E$41,0),0)</f>
        <v>0</v>
      </c>
      <c r="L127" s="34">
        <f>IF(SUM($I127:K127)&lt;1,IF($C127&lt;=L$4,1/$E$41,0),0)</f>
        <v>0</v>
      </c>
      <c r="M127" s="34">
        <f>IF(SUM($I127:L127)&lt;1,IF($C127&lt;=M$4,1/$E$41,0),0)</f>
        <v>0</v>
      </c>
      <c r="N127" s="34">
        <f>IF(SUM($I127:M127)&lt;1,IF($C127&lt;=N$4,1/$E$41,0),0)</f>
        <v>0</v>
      </c>
      <c r="O127" s="34">
        <f>IF(SUM($I127:N127)&lt;1,IF($C127&lt;=O$4,1/$E$41,0),0)</f>
        <v>0</v>
      </c>
      <c r="P127" s="34">
        <f>IF(SUM($I127:O127)&lt;1,IF($C127&lt;=P$4,1/$E$41,0),0)</f>
        <v>0</v>
      </c>
      <c r="Q127" s="34">
        <f>IF(SUM($I127:P127)&lt;1,IF($C127&lt;=Q$4,1/$E$41,0),0)</f>
        <v>0</v>
      </c>
      <c r="R127" s="34">
        <f>IF(SUM($I127:Q127)&lt;1,IF($C127&lt;=R$4,1/$E$41,0),0)</f>
        <v>0</v>
      </c>
      <c r="S127" s="34">
        <f>IF(SUM($I127:R127)&lt;1,IF($C127&lt;=S$4,1/$E$41,0),0)</f>
        <v>0</v>
      </c>
      <c r="T127" s="34">
        <f>IF(SUM($I127:S127)&lt;1,IF($C127&lt;=T$4,1/$E$41,0),0)</f>
        <v>0</v>
      </c>
      <c r="U127" s="34">
        <f>IF(SUM($I127:T127)&lt;1,IF($C127&lt;=U$4,1/$E$41,0),0)</f>
        <v>0</v>
      </c>
      <c r="V127" s="34">
        <f>IF(SUM($I127:U127)&lt;1,IF($C127&lt;=V$4,1/$E$41,0),0)</f>
        <v>0</v>
      </c>
      <c r="W127" s="34">
        <f>IF(SUM($I127:V127)&lt;1,IF($C127&lt;=W$4,1/$E$41,0),0)</f>
        <v>0</v>
      </c>
      <c r="X127" s="34">
        <f>IF(SUM($I127:W127)&lt;1,IF($C127&lt;=X$4,1/$E$41,0),0)</f>
        <v>0</v>
      </c>
      <c r="Y127" s="34">
        <f>IF(SUM($I127:X127)&lt;1,IF($C127&lt;=Y$4,1/$E$41,0),0)</f>
        <v>0</v>
      </c>
      <c r="Z127" s="34">
        <f>IF(SUM($I127:Y127)&lt;1,IF($C127&lt;=Z$4,1/$E$41,0),0)</f>
        <v>0</v>
      </c>
      <c r="AA127" s="34">
        <f>IF(SUM($I127:Z127)&lt;1,IF($C127&lt;=AA$4,1/$E$41,0),0)</f>
        <v>0</v>
      </c>
      <c r="AB127" s="34">
        <f>IF(SUM($I127:AA127)&lt;1,IF($C127&lt;=AB$4,1/$E$41,0),0)</f>
        <v>0</v>
      </c>
      <c r="AC127" s="34">
        <f>IF(SUM($I127:AB127)&lt;1,IF($C127&lt;=AC$4,1/$E$41,0),0)</f>
        <v>0</v>
      </c>
      <c r="AD127" s="34">
        <f>IF(SUM($I127:AC127)&lt;1,IF($C127&lt;=AD$4,1/$E$41,0),0)</f>
        <v>0</v>
      </c>
      <c r="AE127" s="34">
        <f>IF(SUM($I127:AD127)&lt;1,IF($C127&lt;=AE$4,1/$E$41,0),0)</f>
        <v>0</v>
      </c>
      <c r="AF127" s="34">
        <f>IF(SUM($I127:AE127)&lt;1,IF($C127&lt;=AF$4,1/$E$41,0),0)</f>
        <v>0</v>
      </c>
      <c r="AG127" s="34">
        <f>IF(SUM($I127:AF127)&lt;1,IF($C127&lt;=AG$4,1/$E$41,0),0)</f>
        <v>0</v>
      </c>
      <c r="AH127" s="34">
        <f>IF(SUM($I127:AG127)&lt;1,IF($C127&lt;=AH$4,1/$E$41,0),0)</f>
        <v>0</v>
      </c>
      <c r="AI127" s="34">
        <f>IF(SUM($I127:AH127)&lt;1,IF($C127&lt;=AI$4,1/$E$41,0),0)</f>
        <v>0</v>
      </c>
      <c r="AJ127" s="34">
        <f>IF(SUM($I127:AI127)&lt;1,IF($C127&lt;=AJ$4,1/$E$41,0),0)</f>
        <v>0</v>
      </c>
      <c r="AK127" s="34">
        <f>IF(SUM($I127:AJ127)&lt;1,IF($C127&lt;=AK$4,1/$E$41,0),0)</f>
        <v>0</v>
      </c>
      <c r="AL127" s="34">
        <f>IF(SUM($I127:AK127)&lt;1,IF($C127&lt;=AL$4,1/$E$41,0),0)</f>
        <v>0</v>
      </c>
      <c r="AM127" s="34">
        <f>IF(SUM($I127:AL127)&lt;1,IF($C127&lt;=AM$4,1/$E$41,0),0)</f>
        <v>0</v>
      </c>
      <c r="AN127" s="34">
        <f>IF(SUM($I127:AM127)&lt;1,IF($C127&lt;=AN$4,1/$E$41,0),0)</f>
        <v>0</v>
      </c>
      <c r="AO127" s="34">
        <f>IF(SUM($I127:AN127)&lt;1,IF($C127&lt;=AO$4,1/$E$41,0),0)</f>
        <v>0</v>
      </c>
      <c r="AP127" s="34">
        <f>IF(SUM($I127:AO127)&lt;1,IF($C127&lt;=AP$4,1/$E$41,0),0)</f>
        <v>0</v>
      </c>
      <c r="AQ127" s="34">
        <f>IF(SUM($I127:AP127)&lt;1,IF($C127&lt;=AQ$4,1/$E$41,0),0)</f>
        <v>0</v>
      </c>
      <c r="AR127" s="34">
        <f>IF(SUM($I127:AQ127)&lt;1,IF($C127&lt;=AR$4,1/$E$41,0),0)</f>
        <v>0</v>
      </c>
      <c r="AS127" s="34">
        <f>IF(SUM($I127:AR127)&lt;1,IF($C127&lt;=AS$4,1/$E$41,0),0)</f>
        <v>0</v>
      </c>
      <c r="AT127" s="34">
        <f>IF(SUM($I127:AS127)&lt;1,IF($C127&lt;=AT$4,1/$E$41,0),0)</f>
        <v>0</v>
      </c>
      <c r="AU127" s="34">
        <f>IF(SUM($I127:AT127)&lt;1,IF($C127&lt;=AU$4,1/$E$41,0),0)</f>
        <v>0</v>
      </c>
      <c r="AV127" s="34">
        <f>IF(SUM($I127:AU127)&lt;1,IF($C127&lt;=AV$4,1/$E$41,0),0)</f>
        <v>0</v>
      </c>
      <c r="AW127" s="34">
        <f>IF(SUM($I127:AV127)&lt;1,IF($C127&lt;=AW$4,1/$E$41,0),0)</f>
        <v>0</v>
      </c>
      <c r="AX127" s="34">
        <f>IF(SUM($I127:AW127)&lt;1,IF($C127&lt;=AX$4,1/$E$41,0),0)</f>
        <v>0</v>
      </c>
      <c r="AY127" s="34">
        <f>IF(SUM($I127:AX127)&lt;1,IF($C127&lt;=AY$4,1/$E$41,0),0)</f>
        <v>0</v>
      </c>
      <c r="AZ127" s="34">
        <f>IF(SUM($I127:AY127)&lt;1,IF($C127&lt;=AZ$4,1/$E$41,0),0)</f>
        <v>0</v>
      </c>
      <c r="BA127" s="34">
        <f>IF(SUM($I127:AZ127)&lt;1,IF($C127&lt;=BA$4,1/$E$41,0),0)</f>
        <v>0</v>
      </c>
      <c r="BB127" s="34">
        <f>IF(SUM($I127:BA127)&lt;1,IF($C127&lt;=BB$4,1/$E$41,0),0)</f>
        <v>0</v>
      </c>
      <c r="BC127" s="34">
        <f>IF(SUM($I127:BB127)&lt;1,IF($C127&lt;=BC$4,1/$E$41,0),0)</f>
        <v>0</v>
      </c>
      <c r="BD127" s="34">
        <f>IF(SUM($I127:BC127)&lt;1,IF($C127&lt;=BD$4,1/$E$41,0),0)</f>
        <v>0</v>
      </c>
      <c r="BE127" s="34">
        <f>IF(SUM($I127:BD127)&lt;1,IF($C127&lt;=BE$4,1/$E$41,0),0)</f>
        <v>0</v>
      </c>
      <c r="BF127" s="34">
        <f>IF(SUM($I127:BE127)&lt;1,IF($C127&lt;=BF$4,1/$E$41,0),0)</f>
        <v>0</v>
      </c>
      <c r="BG127" s="34">
        <f>IF(SUM($I127:BF127)&lt;1,IF($C127&lt;=BG$4,1/$E$41,0),0)</f>
        <v>0</v>
      </c>
      <c r="BH127" s="34">
        <f>IF(SUM($I127:BG127)&lt;1,IF($C127&lt;=BH$4,1/$E$41,0),0)</f>
        <v>0</v>
      </c>
      <c r="BI127" s="34">
        <f>IF(SUM($I127:BH127)&lt;1,IF($C127&lt;=BI$4,1/$E$41,0),0)</f>
        <v>0</v>
      </c>
      <c r="BJ127" s="34">
        <f>IF(SUM($I127:BI127)&lt;1,IF($C127&lt;=BJ$4,1/$E$41,0),0)</f>
        <v>0</v>
      </c>
      <c r="BK127" s="34">
        <f>IF(SUM($I127:BJ127)&lt;1,IF($C127&lt;=BK$4,1/$E$41,0),0)</f>
        <v>0</v>
      </c>
      <c r="BL127" s="34">
        <f>IF(SUM($I127:BK127)&lt;1,IF($C127&lt;=BL$4,1/$E$41,0),0)</f>
        <v>0</v>
      </c>
      <c r="BM127" s="34">
        <f>IF(SUM($I127:BL127)&lt;1,IF($C127&lt;=BM$4,1/$E$41,0),0)</f>
        <v>0</v>
      </c>
      <c r="BN127" s="34">
        <f>IF(SUM($I127:BM127)&lt;1,IF($C127&lt;=BN$4,1/$E$41,0),0)</f>
        <v>0</v>
      </c>
      <c r="BO127" s="34">
        <f>IF(SUM($I127:BN127)&lt;1,IF($C127&lt;=BO$4,1/$E$41,0),0)</f>
        <v>0</v>
      </c>
      <c r="BP127" s="34">
        <f>IF(SUM($I127:BO127)&lt;1,IF($C127&lt;=BP$4,1/$E$41,0),0)</f>
        <v>0</v>
      </c>
      <c r="BQ127" s="34">
        <f>IF(SUM($I127:BP127)&lt;1,IF($C127&lt;=BQ$4,1/$E$41,0),0)</f>
        <v>0</v>
      </c>
      <c r="BR127" s="34">
        <f>IF(SUM($I127:BQ127)&lt;1,IF($C127&lt;=BR$4,1/$E$41,0),0)</f>
        <v>0</v>
      </c>
      <c r="BS127" s="34">
        <f>IF(SUM($I127:BR127)&lt;1,IF($C127&lt;=BS$4,1/$E$41,0),0)</f>
        <v>0</v>
      </c>
      <c r="BT127" s="34">
        <f>IF(SUM($I127:BS127)&lt;1,IF($C127&lt;=BT$4,1/$E$41,0),0)</f>
        <v>0</v>
      </c>
      <c r="BU127" s="34">
        <f>IF(SUM($I127:BT127)&lt;1,IF($C127&lt;=BU$4,1/$E$41,0),0)</f>
        <v>0</v>
      </c>
      <c r="BV127" s="34">
        <f>IF(SUM($I127:BU127)&lt;1,IF($C127&lt;=BV$4,1/$E$41,0),0)</f>
        <v>0</v>
      </c>
      <c r="BW127" s="34">
        <f>IF(SUM($I127:BV127)&lt;1,IF($C127&lt;=BW$4,1/$E$41,0),0)</f>
        <v>0</v>
      </c>
      <c r="BX127" s="34">
        <f>IF(SUM($I127:BW127)&lt;1,IF($C127&lt;=BX$4,1/$E$41,0),0)</f>
        <v>0</v>
      </c>
      <c r="BY127" s="34">
        <f>IF(SUM($I127:BX127)&lt;1,IF($C127&lt;=BY$4,1/$E$41,0),0)</f>
        <v>0</v>
      </c>
      <c r="BZ127" s="34">
        <f>IF(SUM($I127:BY127)&lt;1,IF($C127&lt;=BZ$4,1/$E$41,0),0)</f>
        <v>0</v>
      </c>
      <c r="CA127" s="34">
        <f>IF(SUM($I127:BZ127)&lt;1,IF($C127&lt;=CA$4,1/$E$41,0),0)</f>
        <v>0</v>
      </c>
      <c r="CB127" s="34">
        <f>IF(SUM($I127:CA127)&lt;1,IF($C127&lt;=CB$4,1/$E$41,0),0)</f>
        <v>0</v>
      </c>
      <c r="CC127" s="34">
        <f>IF(SUM($I127:CB127)&lt;1,IF($C127&lt;=CC$4,1/$E$41,0),0)</f>
        <v>0</v>
      </c>
      <c r="CD127" s="34">
        <f>IF(SUM($I127:CC127)&lt;1,IF($C127&lt;=CD$4,1/$E$41,0),0)</f>
        <v>0</v>
      </c>
      <c r="CE127" s="34">
        <f>IF(SUM($I127:CD127)&lt;1,IF($C127&lt;=CE$4,1/$E$41,0),0)</f>
        <v>0</v>
      </c>
      <c r="CF127" s="34">
        <f>IF(SUM($I127:CE127)&lt;1,IF($C127&lt;=CF$4,1/$E$41,0),0)</f>
        <v>0</v>
      </c>
      <c r="CG127" s="34">
        <f>IF(SUM($I127:CF127)&lt;1,IF($C127&lt;=CG$4,1/$E$41,0),0)</f>
        <v>0</v>
      </c>
      <c r="CH127" s="34">
        <f>IF(SUM($I127:CG127)&lt;1,IF($C127&lt;=CH$4,1/$E$41,0),0)</f>
        <v>0</v>
      </c>
      <c r="CI127" s="34">
        <f>IF(SUM($I127:CH127)&lt;1,IF($C127&lt;=CI$4,1/$E$41,0),0)</f>
        <v>0</v>
      </c>
      <c r="CJ127" s="34">
        <f>IF(SUM($I127:CI127)&lt;1,IF($C127&lt;=CJ$4,1/$E$41,0),0)</f>
        <v>0</v>
      </c>
      <c r="CK127" s="34">
        <f>IF(SUM($I127:CJ127)&lt;1,IF($C127&lt;=CK$4,1/$E$41,0),0)</f>
        <v>0</v>
      </c>
      <c r="CL127" s="34">
        <f>IF(SUM($I127:CK127)&lt;1,IF($C127&lt;=CL$4,1/$E$41,0),0)</f>
        <v>0</v>
      </c>
      <c r="CM127" s="34">
        <f>IF(SUM($I127:CL127)&lt;1,IF($C127&lt;=CM$4,1/$E$41,0),0)</f>
        <v>0</v>
      </c>
      <c r="CN127" s="34">
        <f>IF(SUM($I127:CM127)&lt;1,IF($C127&lt;=CN$4,1/$E$41,0),0)</f>
        <v>0.25</v>
      </c>
      <c r="CO127" s="34">
        <f>IF(SUM($I127:CN127)&lt;1,IF($C127&lt;=CO$4,1/$E$41,0),0)</f>
        <v>0.25</v>
      </c>
      <c r="CP127" s="34">
        <f>IF(SUM($I127:CO127)&lt;1,IF($C127&lt;=CP$4,1/$E$41,0),0)</f>
        <v>0.25</v>
      </c>
      <c r="CQ127" s="34">
        <f>IF(SUM($I127:CP127)&lt;1,IF($C127&lt;=CQ$4,1/$E$41,0),0)</f>
        <v>0.25</v>
      </c>
      <c r="CR127" s="34">
        <f>IF(SUM($I127:CQ127)&lt;1,IF($C127&lt;=CR$4,1/$E$41,0),0)</f>
        <v>0</v>
      </c>
      <c r="CS127" s="34">
        <f>IF(SUM($I127:CR127)&lt;1,IF($C127&lt;=CS$4,1/$E$41,0),0)</f>
        <v>0</v>
      </c>
      <c r="CT127" s="34">
        <f>IF(SUM($I127:CS127)&lt;1,IF($C127&lt;=CT$4,1/$E$41,0),0)</f>
        <v>0</v>
      </c>
      <c r="CU127" s="34">
        <f>IF(SUM($I127:CT127)&lt;1,IF($C127&lt;=CU$4,1/$E$41,0),0)</f>
        <v>0</v>
      </c>
      <c r="CV127" s="34">
        <f>IF(SUM($I127:CU127)&lt;1,IF($C127&lt;=CV$4,1/$E$41,0),0)</f>
        <v>0</v>
      </c>
      <c r="CW127" s="34">
        <f>IF(SUM($I127:CV127)&lt;1,IF($C127&lt;=CW$4,1/$E$41,0),0)</f>
        <v>0</v>
      </c>
      <c r="CX127" s="34">
        <f>IF(SUM($I127:CW127)&lt;1,IF($C127&lt;=CX$4,1/$E$41,0),0)</f>
        <v>0</v>
      </c>
      <c r="CY127" s="34">
        <f>IF(SUM($I127:CX127)&lt;1,IF($C127&lt;=CY$4,1/$E$41,0),0)</f>
        <v>0</v>
      </c>
      <c r="CZ127" s="34">
        <f>IF(SUM($I127:CY127)&lt;1,IF($C127&lt;=CZ$4,1/$E$41,0),0)</f>
        <v>0</v>
      </c>
      <c r="DA127" s="34">
        <f>IF(SUM($I127:CZ127)&lt;1,IF($C127&lt;=DA$4,1/$E$41,0),0)</f>
        <v>0</v>
      </c>
      <c r="DB127" s="34">
        <f>IF(SUM($I127:DA127)&lt;1,IF($C127&lt;=DB$4,1/$E$41,0),0)</f>
        <v>0</v>
      </c>
      <c r="DC127" s="34">
        <f>IF(SUM($I127:DB127)&lt;1,IF($C127&lt;=DC$4,1/$E$41,0),0)</f>
        <v>0</v>
      </c>
      <c r="DD127" s="34">
        <f>IF(SUM($I127:DC127)&lt;1,IF($C127&lt;=DD$4,1/$E$41,0),0)</f>
        <v>0</v>
      </c>
      <c r="DE127" s="34">
        <f>IF(SUM($I127:DD127)&lt;1,IF($C127&lt;=DE$4,1/$E$41,0),0)</f>
        <v>0</v>
      </c>
      <c r="DF127" s="34">
        <f>IF(SUM($I127:DE127)&lt;1,IF($C127&lt;=DF$4,1/$E$41,0),0)</f>
        <v>0</v>
      </c>
      <c r="DG127" s="34">
        <f>IF(SUM($I127:DF127)&lt;1,IF($C127&lt;=DG$4,1/$E$41,0),0)</f>
        <v>0</v>
      </c>
      <c r="DH127" s="34">
        <f>IF(SUM($I127:DG127)&lt;1,IF($C127&lt;=DH$4,1/$E$41,0),0)</f>
        <v>0</v>
      </c>
      <c r="DI127" s="34">
        <f>IF(SUM($I127:DH127)&lt;1,IF($C127&lt;=DI$4,1/$E$41,0),0)</f>
        <v>0</v>
      </c>
      <c r="DJ127" s="34">
        <f>IF(SUM($I127:DI127)&lt;1,IF($C127&lt;=DJ$4,1/$E$41,0),0)</f>
        <v>0</v>
      </c>
      <c r="DK127" s="34">
        <f>IF(SUM($I127:DJ127)&lt;1,IF($C127&lt;=DK$4,1/$E$41,0),0)</f>
        <v>0</v>
      </c>
      <c r="DL127" s="34">
        <f>IF(SUM($I127:DK127)&lt;1,IF($C127&lt;=DL$4,1/$E$41,0),0)</f>
        <v>0</v>
      </c>
      <c r="DM127" s="34">
        <f>IF(SUM($I127:DL127)&lt;1,IF($C127&lt;=DM$4,1/$E$41,0),0)</f>
        <v>0</v>
      </c>
    </row>
    <row r="128" spans="3:117" outlineLevel="1" x14ac:dyDescent="0.15">
      <c r="C128" s="50">
        <f t="shared" si="51"/>
        <v>84</v>
      </c>
      <c r="D128" s="5" t="s">
        <v>18</v>
      </c>
      <c r="E128" s="19">
        <f t="shared" si="50"/>
        <v>0</v>
      </c>
      <c r="I128" s="9"/>
      <c r="J128" s="34">
        <f>IF(SUM($I128:I128)&lt;1,IF($C128&lt;=J$4,1/$E$41,0),0)</f>
        <v>0</v>
      </c>
      <c r="K128" s="34">
        <f>IF(SUM($I128:J128)&lt;1,IF($C128&lt;=K$4,1/$E$41,0),0)</f>
        <v>0</v>
      </c>
      <c r="L128" s="34">
        <f>IF(SUM($I128:K128)&lt;1,IF($C128&lt;=L$4,1/$E$41,0),0)</f>
        <v>0</v>
      </c>
      <c r="M128" s="34">
        <f>IF(SUM($I128:L128)&lt;1,IF($C128&lt;=M$4,1/$E$41,0),0)</f>
        <v>0</v>
      </c>
      <c r="N128" s="34">
        <f>IF(SUM($I128:M128)&lt;1,IF($C128&lt;=N$4,1/$E$41,0),0)</f>
        <v>0</v>
      </c>
      <c r="O128" s="34">
        <f>IF(SUM($I128:N128)&lt;1,IF($C128&lt;=O$4,1/$E$41,0),0)</f>
        <v>0</v>
      </c>
      <c r="P128" s="34">
        <f>IF(SUM($I128:O128)&lt;1,IF($C128&lt;=P$4,1/$E$41,0),0)</f>
        <v>0</v>
      </c>
      <c r="Q128" s="34">
        <f>IF(SUM($I128:P128)&lt;1,IF($C128&lt;=Q$4,1/$E$41,0),0)</f>
        <v>0</v>
      </c>
      <c r="R128" s="34">
        <f>IF(SUM($I128:Q128)&lt;1,IF($C128&lt;=R$4,1/$E$41,0),0)</f>
        <v>0</v>
      </c>
      <c r="S128" s="34">
        <f>IF(SUM($I128:R128)&lt;1,IF($C128&lt;=S$4,1/$E$41,0),0)</f>
        <v>0</v>
      </c>
      <c r="T128" s="34">
        <f>IF(SUM($I128:S128)&lt;1,IF($C128&lt;=T$4,1/$E$41,0),0)</f>
        <v>0</v>
      </c>
      <c r="U128" s="34">
        <f>IF(SUM($I128:T128)&lt;1,IF($C128&lt;=U$4,1/$E$41,0),0)</f>
        <v>0</v>
      </c>
      <c r="V128" s="34">
        <f>IF(SUM($I128:U128)&lt;1,IF($C128&lt;=V$4,1/$E$41,0),0)</f>
        <v>0</v>
      </c>
      <c r="W128" s="34">
        <f>IF(SUM($I128:V128)&lt;1,IF($C128&lt;=W$4,1/$E$41,0),0)</f>
        <v>0</v>
      </c>
      <c r="X128" s="34">
        <f>IF(SUM($I128:W128)&lt;1,IF($C128&lt;=X$4,1/$E$41,0),0)</f>
        <v>0</v>
      </c>
      <c r="Y128" s="34">
        <f>IF(SUM($I128:X128)&lt;1,IF($C128&lt;=Y$4,1/$E$41,0),0)</f>
        <v>0</v>
      </c>
      <c r="Z128" s="34">
        <f>IF(SUM($I128:Y128)&lt;1,IF($C128&lt;=Z$4,1/$E$41,0),0)</f>
        <v>0</v>
      </c>
      <c r="AA128" s="34">
        <f>IF(SUM($I128:Z128)&lt;1,IF($C128&lt;=AA$4,1/$E$41,0),0)</f>
        <v>0</v>
      </c>
      <c r="AB128" s="34">
        <f>IF(SUM($I128:AA128)&lt;1,IF($C128&lt;=AB$4,1/$E$41,0),0)</f>
        <v>0</v>
      </c>
      <c r="AC128" s="34">
        <f>IF(SUM($I128:AB128)&lt;1,IF($C128&lt;=AC$4,1/$E$41,0),0)</f>
        <v>0</v>
      </c>
      <c r="AD128" s="34">
        <f>IF(SUM($I128:AC128)&lt;1,IF($C128&lt;=AD$4,1/$E$41,0),0)</f>
        <v>0</v>
      </c>
      <c r="AE128" s="34">
        <f>IF(SUM($I128:AD128)&lt;1,IF($C128&lt;=AE$4,1/$E$41,0),0)</f>
        <v>0</v>
      </c>
      <c r="AF128" s="34">
        <f>IF(SUM($I128:AE128)&lt;1,IF($C128&lt;=AF$4,1/$E$41,0),0)</f>
        <v>0</v>
      </c>
      <c r="AG128" s="34">
        <f>IF(SUM($I128:AF128)&lt;1,IF($C128&lt;=AG$4,1/$E$41,0),0)</f>
        <v>0</v>
      </c>
      <c r="AH128" s="34">
        <f>IF(SUM($I128:AG128)&lt;1,IF($C128&lt;=AH$4,1/$E$41,0),0)</f>
        <v>0</v>
      </c>
      <c r="AI128" s="34">
        <f>IF(SUM($I128:AH128)&lt;1,IF($C128&lt;=AI$4,1/$E$41,0),0)</f>
        <v>0</v>
      </c>
      <c r="AJ128" s="34">
        <f>IF(SUM($I128:AI128)&lt;1,IF($C128&lt;=AJ$4,1/$E$41,0),0)</f>
        <v>0</v>
      </c>
      <c r="AK128" s="34">
        <f>IF(SUM($I128:AJ128)&lt;1,IF($C128&lt;=AK$4,1/$E$41,0),0)</f>
        <v>0</v>
      </c>
      <c r="AL128" s="34">
        <f>IF(SUM($I128:AK128)&lt;1,IF($C128&lt;=AL$4,1/$E$41,0),0)</f>
        <v>0</v>
      </c>
      <c r="AM128" s="34">
        <f>IF(SUM($I128:AL128)&lt;1,IF($C128&lt;=AM$4,1/$E$41,0),0)</f>
        <v>0</v>
      </c>
      <c r="AN128" s="34">
        <f>IF(SUM($I128:AM128)&lt;1,IF($C128&lt;=AN$4,1/$E$41,0),0)</f>
        <v>0</v>
      </c>
      <c r="AO128" s="34">
        <f>IF(SUM($I128:AN128)&lt;1,IF($C128&lt;=AO$4,1/$E$41,0),0)</f>
        <v>0</v>
      </c>
      <c r="AP128" s="34">
        <f>IF(SUM($I128:AO128)&lt;1,IF($C128&lt;=AP$4,1/$E$41,0),0)</f>
        <v>0</v>
      </c>
      <c r="AQ128" s="34">
        <f>IF(SUM($I128:AP128)&lt;1,IF($C128&lt;=AQ$4,1/$E$41,0),0)</f>
        <v>0</v>
      </c>
      <c r="AR128" s="34">
        <f>IF(SUM($I128:AQ128)&lt;1,IF($C128&lt;=AR$4,1/$E$41,0),0)</f>
        <v>0</v>
      </c>
      <c r="AS128" s="34">
        <f>IF(SUM($I128:AR128)&lt;1,IF($C128&lt;=AS$4,1/$E$41,0),0)</f>
        <v>0</v>
      </c>
      <c r="AT128" s="34">
        <f>IF(SUM($I128:AS128)&lt;1,IF($C128&lt;=AT$4,1/$E$41,0),0)</f>
        <v>0</v>
      </c>
      <c r="AU128" s="34">
        <f>IF(SUM($I128:AT128)&lt;1,IF($C128&lt;=AU$4,1/$E$41,0),0)</f>
        <v>0</v>
      </c>
      <c r="AV128" s="34">
        <f>IF(SUM($I128:AU128)&lt;1,IF($C128&lt;=AV$4,1/$E$41,0),0)</f>
        <v>0</v>
      </c>
      <c r="AW128" s="34">
        <f>IF(SUM($I128:AV128)&lt;1,IF($C128&lt;=AW$4,1/$E$41,0),0)</f>
        <v>0</v>
      </c>
      <c r="AX128" s="34">
        <f>IF(SUM($I128:AW128)&lt;1,IF($C128&lt;=AX$4,1/$E$41,0),0)</f>
        <v>0</v>
      </c>
      <c r="AY128" s="34">
        <f>IF(SUM($I128:AX128)&lt;1,IF($C128&lt;=AY$4,1/$E$41,0),0)</f>
        <v>0</v>
      </c>
      <c r="AZ128" s="34">
        <f>IF(SUM($I128:AY128)&lt;1,IF($C128&lt;=AZ$4,1/$E$41,0),0)</f>
        <v>0</v>
      </c>
      <c r="BA128" s="34">
        <f>IF(SUM($I128:AZ128)&lt;1,IF($C128&lt;=BA$4,1/$E$41,0),0)</f>
        <v>0</v>
      </c>
      <c r="BB128" s="34">
        <f>IF(SUM($I128:BA128)&lt;1,IF($C128&lt;=BB$4,1/$E$41,0),0)</f>
        <v>0</v>
      </c>
      <c r="BC128" s="34">
        <f>IF(SUM($I128:BB128)&lt;1,IF($C128&lt;=BC$4,1/$E$41,0),0)</f>
        <v>0</v>
      </c>
      <c r="BD128" s="34">
        <f>IF(SUM($I128:BC128)&lt;1,IF($C128&lt;=BD$4,1/$E$41,0),0)</f>
        <v>0</v>
      </c>
      <c r="BE128" s="34">
        <f>IF(SUM($I128:BD128)&lt;1,IF($C128&lt;=BE$4,1/$E$41,0),0)</f>
        <v>0</v>
      </c>
      <c r="BF128" s="34">
        <f>IF(SUM($I128:BE128)&lt;1,IF($C128&lt;=BF$4,1/$E$41,0),0)</f>
        <v>0</v>
      </c>
      <c r="BG128" s="34">
        <f>IF(SUM($I128:BF128)&lt;1,IF($C128&lt;=BG$4,1/$E$41,0),0)</f>
        <v>0</v>
      </c>
      <c r="BH128" s="34">
        <f>IF(SUM($I128:BG128)&lt;1,IF($C128&lt;=BH$4,1/$E$41,0),0)</f>
        <v>0</v>
      </c>
      <c r="BI128" s="34">
        <f>IF(SUM($I128:BH128)&lt;1,IF($C128&lt;=BI$4,1/$E$41,0),0)</f>
        <v>0</v>
      </c>
      <c r="BJ128" s="34">
        <f>IF(SUM($I128:BI128)&lt;1,IF($C128&lt;=BJ$4,1/$E$41,0),0)</f>
        <v>0</v>
      </c>
      <c r="BK128" s="34">
        <f>IF(SUM($I128:BJ128)&lt;1,IF($C128&lt;=BK$4,1/$E$41,0),0)</f>
        <v>0</v>
      </c>
      <c r="BL128" s="34">
        <f>IF(SUM($I128:BK128)&lt;1,IF($C128&lt;=BL$4,1/$E$41,0),0)</f>
        <v>0</v>
      </c>
      <c r="BM128" s="34">
        <f>IF(SUM($I128:BL128)&lt;1,IF($C128&lt;=BM$4,1/$E$41,0),0)</f>
        <v>0</v>
      </c>
      <c r="BN128" s="34">
        <f>IF(SUM($I128:BM128)&lt;1,IF($C128&lt;=BN$4,1/$E$41,0),0)</f>
        <v>0</v>
      </c>
      <c r="BO128" s="34">
        <f>IF(SUM($I128:BN128)&lt;1,IF($C128&lt;=BO$4,1/$E$41,0),0)</f>
        <v>0</v>
      </c>
      <c r="BP128" s="34">
        <f>IF(SUM($I128:BO128)&lt;1,IF($C128&lt;=BP$4,1/$E$41,0),0)</f>
        <v>0</v>
      </c>
      <c r="BQ128" s="34">
        <f>IF(SUM($I128:BP128)&lt;1,IF($C128&lt;=BQ$4,1/$E$41,0),0)</f>
        <v>0</v>
      </c>
      <c r="BR128" s="34">
        <f>IF(SUM($I128:BQ128)&lt;1,IF($C128&lt;=BR$4,1/$E$41,0),0)</f>
        <v>0</v>
      </c>
      <c r="BS128" s="34">
        <f>IF(SUM($I128:BR128)&lt;1,IF($C128&lt;=BS$4,1/$E$41,0),0)</f>
        <v>0</v>
      </c>
      <c r="BT128" s="34">
        <f>IF(SUM($I128:BS128)&lt;1,IF($C128&lt;=BT$4,1/$E$41,0),0)</f>
        <v>0</v>
      </c>
      <c r="BU128" s="34">
        <f>IF(SUM($I128:BT128)&lt;1,IF($C128&lt;=BU$4,1/$E$41,0),0)</f>
        <v>0</v>
      </c>
      <c r="BV128" s="34">
        <f>IF(SUM($I128:BU128)&lt;1,IF($C128&lt;=BV$4,1/$E$41,0),0)</f>
        <v>0</v>
      </c>
      <c r="BW128" s="34">
        <f>IF(SUM($I128:BV128)&lt;1,IF($C128&lt;=BW$4,1/$E$41,0),0)</f>
        <v>0</v>
      </c>
      <c r="BX128" s="34">
        <f>IF(SUM($I128:BW128)&lt;1,IF($C128&lt;=BX$4,1/$E$41,0),0)</f>
        <v>0</v>
      </c>
      <c r="BY128" s="34">
        <f>IF(SUM($I128:BX128)&lt;1,IF($C128&lt;=BY$4,1/$E$41,0),0)</f>
        <v>0</v>
      </c>
      <c r="BZ128" s="34">
        <f>IF(SUM($I128:BY128)&lt;1,IF($C128&lt;=BZ$4,1/$E$41,0),0)</f>
        <v>0</v>
      </c>
      <c r="CA128" s="34">
        <f>IF(SUM($I128:BZ128)&lt;1,IF($C128&lt;=CA$4,1/$E$41,0),0)</f>
        <v>0</v>
      </c>
      <c r="CB128" s="34">
        <f>IF(SUM($I128:CA128)&lt;1,IF($C128&lt;=CB$4,1/$E$41,0),0)</f>
        <v>0</v>
      </c>
      <c r="CC128" s="34">
        <f>IF(SUM($I128:CB128)&lt;1,IF($C128&lt;=CC$4,1/$E$41,0),0)</f>
        <v>0</v>
      </c>
      <c r="CD128" s="34">
        <f>IF(SUM($I128:CC128)&lt;1,IF($C128&lt;=CD$4,1/$E$41,0),0)</f>
        <v>0</v>
      </c>
      <c r="CE128" s="34">
        <f>IF(SUM($I128:CD128)&lt;1,IF($C128&lt;=CE$4,1/$E$41,0),0)</f>
        <v>0</v>
      </c>
      <c r="CF128" s="34">
        <f>IF(SUM($I128:CE128)&lt;1,IF($C128&lt;=CF$4,1/$E$41,0),0)</f>
        <v>0</v>
      </c>
      <c r="CG128" s="34">
        <f>IF(SUM($I128:CF128)&lt;1,IF($C128&lt;=CG$4,1/$E$41,0),0)</f>
        <v>0</v>
      </c>
      <c r="CH128" s="34">
        <f>IF(SUM($I128:CG128)&lt;1,IF($C128&lt;=CH$4,1/$E$41,0),0)</f>
        <v>0</v>
      </c>
      <c r="CI128" s="34">
        <f>IF(SUM($I128:CH128)&lt;1,IF($C128&lt;=CI$4,1/$E$41,0),0)</f>
        <v>0</v>
      </c>
      <c r="CJ128" s="34">
        <f>IF(SUM($I128:CI128)&lt;1,IF($C128&lt;=CJ$4,1/$E$41,0),0)</f>
        <v>0</v>
      </c>
      <c r="CK128" s="34">
        <f>IF(SUM($I128:CJ128)&lt;1,IF($C128&lt;=CK$4,1/$E$41,0),0)</f>
        <v>0</v>
      </c>
      <c r="CL128" s="34">
        <f>IF(SUM($I128:CK128)&lt;1,IF($C128&lt;=CL$4,1/$E$41,0),0)</f>
        <v>0</v>
      </c>
      <c r="CM128" s="34">
        <f>IF(SUM($I128:CL128)&lt;1,IF($C128&lt;=CM$4,1/$E$41,0),0)</f>
        <v>0</v>
      </c>
      <c r="CN128" s="34">
        <f>IF(SUM($I128:CM128)&lt;1,IF($C128&lt;=CN$4,1/$E$41,0),0)</f>
        <v>0</v>
      </c>
      <c r="CO128" s="34">
        <f>IF(SUM($I128:CN128)&lt;1,IF($C128&lt;=CO$4,1/$E$41,0),0)</f>
        <v>0.25</v>
      </c>
      <c r="CP128" s="34">
        <f>IF(SUM($I128:CO128)&lt;1,IF($C128&lt;=CP$4,1/$E$41,0),0)</f>
        <v>0.25</v>
      </c>
      <c r="CQ128" s="34">
        <f>IF(SUM($I128:CP128)&lt;1,IF($C128&lt;=CQ$4,1/$E$41,0),0)</f>
        <v>0.25</v>
      </c>
      <c r="CR128" s="34">
        <f>IF(SUM($I128:CQ128)&lt;1,IF($C128&lt;=CR$4,1/$E$41,0),0)</f>
        <v>0.25</v>
      </c>
      <c r="CS128" s="34">
        <f>IF(SUM($I128:CR128)&lt;1,IF($C128&lt;=CS$4,1/$E$41,0),0)</f>
        <v>0</v>
      </c>
      <c r="CT128" s="34">
        <f>IF(SUM($I128:CS128)&lt;1,IF($C128&lt;=CT$4,1/$E$41,0),0)</f>
        <v>0</v>
      </c>
      <c r="CU128" s="34">
        <f>IF(SUM($I128:CT128)&lt;1,IF($C128&lt;=CU$4,1/$E$41,0),0)</f>
        <v>0</v>
      </c>
      <c r="CV128" s="34">
        <f>IF(SUM($I128:CU128)&lt;1,IF($C128&lt;=CV$4,1/$E$41,0),0)</f>
        <v>0</v>
      </c>
      <c r="CW128" s="34">
        <f>IF(SUM($I128:CV128)&lt;1,IF($C128&lt;=CW$4,1/$E$41,0),0)</f>
        <v>0</v>
      </c>
      <c r="CX128" s="34">
        <f>IF(SUM($I128:CW128)&lt;1,IF($C128&lt;=CX$4,1/$E$41,0),0)</f>
        <v>0</v>
      </c>
      <c r="CY128" s="34">
        <f>IF(SUM($I128:CX128)&lt;1,IF($C128&lt;=CY$4,1/$E$41,0),0)</f>
        <v>0</v>
      </c>
      <c r="CZ128" s="34">
        <f>IF(SUM($I128:CY128)&lt;1,IF($C128&lt;=CZ$4,1/$E$41,0),0)</f>
        <v>0</v>
      </c>
      <c r="DA128" s="34">
        <f>IF(SUM($I128:CZ128)&lt;1,IF($C128&lt;=DA$4,1/$E$41,0),0)</f>
        <v>0</v>
      </c>
      <c r="DB128" s="34">
        <f>IF(SUM($I128:DA128)&lt;1,IF($C128&lt;=DB$4,1/$E$41,0),0)</f>
        <v>0</v>
      </c>
      <c r="DC128" s="34">
        <f>IF(SUM($I128:DB128)&lt;1,IF($C128&lt;=DC$4,1/$E$41,0),0)</f>
        <v>0</v>
      </c>
      <c r="DD128" s="34">
        <f>IF(SUM($I128:DC128)&lt;1,IF($C128&lt;=DD$4,1/$E$41,0),0)</f>
        <v>0</v>
      </c>
      <c r="DE128" s="34">
        <f>IF(SUM($I128:DD128)&lt;1,IF($C128&lt;=DE$4,1/$E$41,0),0)</f>
        <v>0</v>
      </c>
      <c r="DF128" s="34">
        <f>IF(SUM($I128:DE128)&lt;1,IF($C128&lt;=DF$4,1/$E$41,0),0)</f>
        <v>0</v>
      </c>
      <c r="DG128" s="34">
        <f>IF(SUM($I128:DF128)&lt;1,IF($C128&lt;=DG$4,1/$E$41,0),0)</f>
        <v>0</v>
      </c>
      <c r="DH128" s="34">
        <f>IF(SUM($I128:DG128)&lt;1,IF($C128&lt;=DH$4,1/$E$41,0),0)</f>
        <v>0</v>
      </c>
      <c r="DI128" s="34">
        <f>IF(SUM($I128:DH128)&lt;1,IF($C128&lt;=DI$4,1/$E$41,0),0)</f>
        <v>0</v>
      </c>
      <c r="DJ128" s="34">
        <f>IF(SUM($I128:DI128)&lt;1,IF($C128&lt;=DJ$4,1/$E$41,0),0)</f>
        <v>0</v>
      </c>
      <c r="DK128" s="34">
        <f>IF(SUM($I128:DJ128)&lt;1,IF($C128&lt;=DK$4,1/$E$41,0),0)</f>
        <v>0</v>
      </c>
      <c r="DL128" s="34">
        <f>IF(SUM($I128:DK128)&lt;1,IF($C128&lt;=DL$4,1/$E$41,0),0)</f>
        <v>0</v>
      </c>
      <c r="DM128" s="34">
        <f>IF(SUM($I128:DL128)&lt;1,IF($C128&lt;=DM$4,1/$E$41,0),0)</f>
        <v>0</v>
      </c>
    </row>
    <row r="129" spans="3:117" outlineLevel="1" x14ac:dyDescent="0.15">
      <c r="C129" s="50">
        <f t="shared" si="51"/>
        <v>85</v>
      </c>
      <c r="D129" s="5" t="s">
        <v>18</v>
      </c>
      <c r="E129" s="19">
        <f t="shared" si="50"/>
        <v>0</v>
      </c>
      <c r="I129" s="9"/>
      <c r="J129" s="34">
        <f>IF(SUM($I129:I129)&lt;1,IF($C129&lt;=J$4,1/$E$41,0),0)</f>
        <v>0</v>
      </c>
      <c r="K129" s="34">
        <f>IF(SUM($I129:J129)&lt;1,IF($C129&lt;=K$4,1/$E$41,0),0)</f>
        <v>0</v>
      </c>
      <c r="L129" s="34">
        <f>IF(SUM($I129:K129)&lt;1,IF($C129&lt;=L$4,1/$E$41,0),0)</f>
        <v>0</v>
      </c>
      <c r="M129" s="34">
        <f>IF(SUM($I129:L129)&lt;1,IF($C129&lt;=M$4,1/$E$41,0),0)</f>
        <v>0</v>
      </c>
      <c r="N129" s="34">
        <f>IF(SUM($I129:M129)&lt;1,IF($C129&lt;=N$4,1/$E$41,0),0)</f>
        <v>0</v>
      </c>
      <c r="O129" s="34">
        <f>IF(SUM($I129:N129)&lt;1,IF($C129&lt;=O$4,1/$E$41,0),0)</f>
        <v>0</v>
      </c>
      <c r="P129" s="34">
        <f>IF(SUM($I129:O129)&lt;1,IF($C129&lt;=P$4,1/$E$41,0),0)</f>
        <v>0</v>
      </c>
      <c r="Q129" s="34">
        <f>IF(SUM($I129:P129)&lt;1,IF($C129&lt;=Q$4,1/$E$41,0),0)</f>
        <v>0</v>
      </c>
      <c r="R129" s="34">
        <f>IF(SUM($I129:Q129)&lt;1,IF($C129&lt;=R$4,1/$E$41,0),0)</f>
        <v>0</v>
      </c>
      <c r="S129" s="34">
        <f>IF(SUM($I129:R129)&lt;1,IF($C129&lt;=S$4,1/$E$41,0),0)</f>
        <v>0</v>
      </c>
      <c r="T129" s="34">
        <f>IF(SUM($I129:S129)&lt;1,IF($C129&lt;=T$4,1/$E$41,0),0)</f>
        <v>0</v>
      </c>
      <c r="U129" s="34">
        <f>IF(SUM($I129:T129)&lt;1,IF($C129&lt;=U$4,1/$E$41,0),0)</f>
        <v>0</v>
      </c>
      <c r="V129" s="34">
        <f>IF(SUM($I129:U129)&lt;1,IF($C129&lt;=V$4,1/$E$41,0),0)</f>
        <v>0</v>
      </c>
      <c r="W129" s="34">
        <f>IF(SUM($I129:V129)&lt;1,IF($C129&lt;=W$4,1/$E$41,0),0)</f>
        <v>0</v>
      </c>
      <c r="X129" s="34">
        <f>IF(SUM($I129:W129)&lt;1,IF($C129&lt;=X$4,1/$E$41,0),0)</f>
        <v>0</v>
      </c>
      <c r="Y129" s="34">
        <f>IF(SUM($I129:X129)&lt;1,IF($C129&lt;=Y$4,1/$E$41,0),0)</f>
        <v>0</v>
      </c>
      <c r="Z129" s="34">
        <f>IF(SUM($I129:Y129)&lt;1,IF($C129&lt;=Z$4,1/$E$41,0),0)</f>
        <v>0</v>
      </c>
      <c r="AA129" s="34">
        <f>IF(SUM($I129:Z129)&lt;1,IF($C129&lt;=AA$4,1/$E$41,0),0)</f>
        <v>0</v>
      </c>
      <c r="AB129" s="34">
        <f>IF(SUM($I129:AA129)&lt;1,IF($C129&lt;=AB$4,1/$E$41,0),0)</f>
        <v>0</v>
      </c>
      <c r="AC129" s="34">
        <f>IF(SUM($I129:AB129)&lt;1,IF($C129&lt;=AC$4,1/$E$41,0),0)</f>
        <v>0</v>
      </c>
      <c r="AD129" s="34">
        <f>IF(SUM($I129:AC129)&lt;1,IF($C129&lt;=AD$4,1/$E$41,0),0)</f>
        <v>0</v>
      </c>
      <c r="AE129" s="34">
        <f>IF(SUM($I129:AD129)&lt;1,IF($C129&lt;=AE$4,1/$E$41,0),0)</f>
        <v>0</v>
      </c>
      <c r="AF129" s="34">
        <f>IF(SUM($I129:AE129)&lt;1,IF($C129&lt;=AF$4,1/$E$41,0),0)</f>
        <v>0</v>
      </c>
      <c r="AG129" s="34">
        <f>IF(SUM($I129:AF129)&lt;1,IF($C129&lt;=AG$4,1/$E$41,0),0)</f>
        <v>0</v>
      </c>
      <c r="AH129" s="34">
        <f>IF(SUM($I129:AG129)&lt;1,IF($C129&lt;=AH$4,1/$E$41,0),0)</f>
        <v>0</v>
      </c>
      <c r="AI129" s="34">
        <f>IF(SUM($I129:AH129)&lt;1,IF($C129&lt;=AI$4,1/$E$41,0),0)</f>
        <v>0</v>
      </c>
      <c r="AJ129" s="34">
        <f>IF(SUM($I129:AI129)&lt;1,IF($C129&lt;=AJ$4,1/$E$41,0),0)</f>
        <v>0</v>
      </c>
      <c r="AK129" s="34">
        <f>IF(SUM($I129:AJ129)&lt;1,IF($C129&lt;=AK$4,1/$E$41,0),0)</f>
        <v>0</v>
      </c>
      <c r="AL129" s="34">
        <f>IF(SUM($I129:AK129)&lt;1,IF($C129&lt;=AL$4,1/$E$41,0),0)</f>
        <v>0</v>
      </c>
      <c r="AM129" s="34">
        <f>IF(SUM($I129:AL129)&lt;1,IF($C129&lt;=AM$4,1/$E$41,0),0)</f>
        <v>0</v>
      </c>
      <c r="AN129" s="34">
        <f>IF(SUM($I129:AM129)&lt;1,IF($C129&lt;=AN$4,1/$E$41,0),0)</f>
        <v>0</v>
      </c>
      <c r="AO129" s="34">
        <f>IF(SUM($I129:AN129)&lt;1,IF($C129&lt;=AO$4,1/$E$41,0),0)</f>
        <v>0</v>
      </c>
      <c r="AP129" s="34">
        <f>IF(SUM($I129:AO129)&lt;1,IF($C129&lt;=AP$4,1/$E$41,0),0)</f>
        <v>0</v>
      </c>
      <c r="AQ129" s="34">
        <f>IF(SUM($I129:AP129)&lt;1,IF($C129&lt;=AQ$4,1/$E$41,0),0)</f>
        <v>0</v>
      </c>
      <c r="AR129" s="34">
        <f>IF(SUM($I129:AQ129)&lt;1,IF($C129&lt;=AR$4,1/$E$41,0),0)</f>
        <v>0</v>
      </c>
      <c r="AS129" s="34">
        <f>IF(SUM($I129:AR129)&lt;1,IF($C129&lt;=AS$4,1/$E$41,0),0)</f>
        <v>0</v>
      </c>
      <c r="AT129" s="34">
        <f>IF(SUM($I129:AS129)&lt;1,IF($C129&lt;=AT$4,1/$E$41,0),0)</f>
        <v>0</v>
      </c>
      <c r="AU129" s="34">
        <f>IF(SUM($I129:AT129)&lt;1,IF($C129&lt;=AU$4,1/$E$41,0),0)</f>
        <v>0</v>
      </c>
      <c r="AV129" s="34">
        <f>IF(SUM($I129:AU129)&lt;1,IF($C129&lt;=AV$4,1/$E$41,0),0)</f>
        <v>0</v>
      </c>
      <c r="AW129" s="34">
        <f>IF(SUM($I129:AV129)&lt;1,IF($C129&lt;=AW$4,1/$E$41,0),0)</f>
        <v>0</v>
      </c>
      <c r="AX129" s="34">
        <f>IF(SUM($I129:AW129)&lt;1,IF($C129&lt;=AX$4,1/$E$41,0),0)</f>
        <v>0</v>
      </c>
      <c r="AY129" s="34">
        <f>IF(SUM($I129:AX129)&lt;1,IF($C129&lt;=AY$4,1/$E$41,0),0)</f>
        <v>0</v>
      </c>
      <c r="AZ129" s="34">
        <f>IF(SUM($I129:AY129)&lt;1,IF($C129&lt;=AZ$4,1/$E$41,0),0)</f>
        <v>0</v>
      </c>
      <c r="BA129" s="34">
        <f>IF(SUM($I129:AZ129)&lt;1,IF($C129&lt;=BA$4,1/$E$41,0),0)</f>
        <v>0</v>
      </c>
      <c r="BB129" s="34">
        <f>IF(SUM($I129:BA129)&lt;1,IF($C129&lt;=BB$4,1/$E$41,0),0)</f>
        <v>0</v>
      </c>
      <c r="BC129" s="34">
        <f>IF(SUM($I129:BB129)&lt;1,IF($C129&lt;=BC$4,1/$E$41,0),0)</f>
        <v>0</v>
      </c>
      <c r="BD129" s="34">
        <f>IF(SUM($I129:BC129)&lt;1,IF($C129&lt;=BD$4,1/$E$41,0),0)</f>
        <v>0</v>
      </c>
      <c r="BE129" s="34">
        <f>IF(SUM($I129:BD129)&lt;1,IF($C129&lt;=BE$4,1/$E$41,0),0)</f>
        <v>0</v>
      </c>
      <c r="BF129" s="34">
        <f>IF(SUM($I129:BE129)&lt;1,IF($C129&lt;=BF$4,1/$E$41,0),0)</f>
        <v>0</v>
      </c>
      <c r="BG129" s="34">
        <f>IF(SUM($I129:BF129)&lt;1,IF($C129&lt;=BG$4,1/$E$41,0),0)</f>
        <v>0</v>
      </c>
      <c r="BH129" s="34">
        <f>IF(SUM($I129:BG129)&lt;1,IF($C129&lt;=BH$4,1/$E$41,0),0)</f>
        <v>0</v>
      </c>
      <c r="BI129" s="34">
        <f>IF(SUM($I129:BH129)&lt;1,IF($C129&lt;=BI$4,1/$E$41,0),0)</f>
        <v>0</v>
      </c>
      <c r="BJ129" s="34">
        <f>IF(SUM($I129:BI129)&lt;1,IF($C129&lt;=BJ$4,1/$E$41,0),0)</f>
        <v>0</v>
      </c>
      <c r="BK129" s="34">
        <f>IF(SUM($I129:BJ129)&lt;1,IF($C129&lt;=BK$4,1/$E$41,0),0)</f>
        <v>0</v>
      </c>
      <c r="BL129" s="34">
        <f>IF(SUM($I129:BK129)&lt;1,IF($C129&lt;=BL$4,1/$E$41,0),0)</f>
        <v>0</v>
      </c>
      <c r="BM129" s="34">
        <f>IF(SUM($I129:BL129)&lt;1,IF($C129&lt;=BM$4,1/$E$41,0),0)</f>
        <v>0</v>
      </c>
      <c r="BN129" s="34">
        <f>IF(SUM($I129:BM129)&lt;1,IF($C129&lt;=BN$4,1/$E$41,0),0)</f>
        <v>0</v>
      </c>
      <c r="BO129" s="34">
        <f>IF(SUM($I129:BN129)&lt;1,IF($C129&lt;=BO$4,1/$E$41,0),0)</f>
        <v>0</v>
      </c>
      <c r="BP129" s="34">
        <f>IF(SUM($I129:BO129)&lt;1,IF($C129&lt;=BP$4,1/$E$41,0),0)</f>
        <v>0</v>
      </c>
      <c r="BQ129" s="34">
        <f>IF(SUM($I129:BP129)&lt;1,IF($C129&lt;=BQ$4,1/$E$41,0),0)</f>
        <v>0</v>
      </c>
      <c r="BR129" s="34">
        <f>IF(SUM($I129:BQ129)&lt;1,IF($C129&lt;=BR$4,1/$E$41,0),0)</f>
        <v>0</v>
      </c>
      <c r="BS129" s="34">
        <f>IF(SUM($I129:BR129)&lt;1,IF($C129&lt;=BS$4,1/$E$41,0),0)</f>
        <v>0</v>
      </c>
      <c r="BT129" s="34">
        <f>IF(SUM($I129:BS129)&lt;1,IF($C129&lt;=BT$4,1/$E$41,0),0)</f>
        <v>0</v>
      </c>
      <c r="BU129" s="34">
        <f>IF(SUM($I129:BT129)&lt;1,IF($C129&lt;=BU$4,1/$E$41,0),0)</f>
        <v>0</v>
      </c>
      <c r="BV129" s="34">
        <f>IF(SUM($I129:BU129)&lt;1,IF($C129&lt;=BV$4,1/$E$41,0),0)</f>
        <v>0</v>
      </c>
      <c r="BW129" s="34">
        <f>IF(SUM($I129:BV129)&lt;1,IF($C129&lt;=BW$4,1/$E$41,0),0)</f>
        <v>0</v>
      </c>
      <c r="BX129" s="34">
        <f>IF(SUM($I129:BW129)&lt;1,IF($C129&lt;=BX$4,1/$E$41,0),0)</f>
        <v>0</v>
      </c>
      <c r="BY129" s="34">
        <f>IF(SUM($I129:BX129)&lt;1,IF($C129&lt;=BY$4,1/$E$41,0),0)</f>
        <v>0</v>
      </c>
      <c r="BZ129" s="34">
        <f>IF(SUM($I129:BY129)&lt;1,IF($C129&lt;=BZ$4,1/$E$41,0),0)</f>
        <v>0</v>
      </c>
      <c r="CA129" s="34">
        <f>IF(SUM($I129:BZ129)&lt;1,IF($C129&lt;=CA$4,1/$E$41,0),0)</f>
        <v>0</v>
      </c>
      <c r="CB129" s="34">
        <f>IF(SUM($I129:CA129)&lt;1,IF($C129&lt;=CB$4,1/$E$41,0),0)</f>
        <v>0</v>
      </c>
      <c r="CC129" s="34">
        <f>IF(SUM($I129:CB129)&lt;1,IF($C129&lt;=CC$4,1/$E$41,0),0)</f>
        <v>0</v>
      </c>
      <c r="CD129" s="34">
        <f>IF(SUM($I129:CC129)&lt;1,IF($C129&lt;=CD$4,1/$E$41,0),0)</f>
        <v>0</v>
      </c>
      <c r="CE129" s="34">
        <f>IF(SUM($I129:CD129)&lt;1,IF($C129&lt;=CE$4,1/$E$41,0),0)</f>
        <v>0</v>
      </c>
      <c r="CF129" s="34">
        <f>IF(SUM($I129:CE129)&lt;1,IF($C129&lt;=CF$4,1/$E$41,0),0)</f>
        <v>0</v>
      </c>
      <c r="CG129" s="34">
        <f>IF(SUM($I129:CF129)&lt;1,IF($C129&lt;=CG$4,1/$E$41,0),0)</f>
        <v>0</v>
      </c>
      <c r="CH129" s="34">
        <f>IF(SUM($I129:CG129)&lt;1,IF($C129&lt;=CH$4,1/$E$41,0),0)</f>
        <v>0</v>
      </c>
      <c r="CI129" s="34">
        <f>IF(SUM($I129:CH129)&lt;1,IF($C129&lt;=CI$4,1/$E$41,0),0)</f>
        <v>0</v>
      </c>
      <c r="CJ129" s="34">
        <f>IF(SUM($I129:CI129)&lt;1,IF($C129&lt;=CJ$4,1/$E$41,0),0)</f>
        <v>0</v>
      </c>
      <c r="CK129" s="34">
        <f>IF(SUM($I129:CJ129)&lt;1,IF($C129&lt;=CK$4,1/$E$41,0),0)</f>
        <v>0</v>
      </c>
      <c r="CL129" s="34">
        <f>IF(SUM($I129:CK129)&lt;1,IF($C129&lt;=CL$4,1/$E$41,0),0)</f>
        <v>0</v>
      </c>
      <c r="CM129" s="34">
        <f>IF(SUM($I129:CL129)&lt;1,IF($C129&lt;=CM$4,1/$E$41,0),0)</f>
        <v>0</v>
      </c>
      <c r="CN129" s="34">
        <f>IF(SUM($I129:CM129)&lt;1,IF($C129&lt;=CN$4,1/$E$41,0),0)</f>
        <v>0</v>
      </c>
      <c r="CO129" s="34">
        <f>IF(SUM($I129:CN129)&lt;1,IF($C129&lt;=CO$4,1/$E$41,0),0)</f>
        <v>0</v>
      </c>
      <c r="CP129" s="34">
        <f>IF(SUM($I129:CO129)&lt;1,IF($C129&lt;=CP$4,1/$E$41,0),0)</f>
        <v>0.25</v>
      </c>
      <c r="CQ129" s="34">
        <f>IF(SUM($I129:CP129)&lt;1,IF($C129&lt;=CQ$4,1/$E$41,0),0)</f>
        <v>0.25</v>
      </c>
      <c r="CR129" s="34">
        <f>IF(SUM($I129:CQ129)&lt;1,IF($C129&lt;=CR$4,1/$E$41,0),0)</f>
        <v>0.25</v>
      </c>
      <c r="CS129" s="34">
        <f>IF(SUM($I129:CR129)&lt;1,IF($C129&lt;=CS$4,1/$E$41,0),0)</f>
        <v>0.25</v>
      </c>
      <c r="CT129" s="34">
        <f>IF(SUM($I129:CS129)&lt;1,IF($C129&lt;=CT$4,1/$E$41,0),0)</f>
        <v>0</v>
      </c>
      <c r="CU129" s="34">
        <f>IF(SUM($I129:CT129)&lt;1,IF($C129&lt;=CU$4,1/$E$41,0),0)</f>
        <v>0</v>
      </c>
      <c r="CV129" s="34">
        <f>IF(SUM($I129:CU129)&lt;1,IF($C129&lt;=CV$4,1/$E$41,0),0)</f>
        <v>0</v>
      </c>
      <c r="CW129" s="34">
        <f>IF(SUM($I129:CV129)&lt;1,IF($C129&lt;=CW$4,1/$E$41,0),0)</f>
        <v>0</v>
      </c>
      <c r="CX129" s="34">
        <f>IF(SUM($I129:CW129)&lt;1,IF($C129&lt;=CX$4,1/$E$41,0),0)</f>
        <v>0</v>
      </c>
      <c r="CY129" s="34">
        <f>IF(SUM($I129:CX129)&lt;1,IF($C129&lt;=CY$4,1/$E$41,0),0)</f>
        <v>0</v>
      </c>
      <c r="CZ129" s="34">
        <f>IF(SUM($I129:CY129)&lt;1,IF($C129&lt;=CZ$4,1/$E$41,0),0)</f>
        <v>0</v>
      </c>
      <c r="DA129" s="34">
        <f>IF(SUM($I129:CZ129)&lt;1,IF($C129&lt;=DA$4,1/$E$41,0),0)</f>
        <v>0</v>
      </c>
      <c r="DB129" s="34">
        <f>IF(SUM($I129:DA129)&lt;1,IF($C129&lt;=DB$4,1/$E$41,0),0)</f>
        <v>0</v>
      </c>
      <c r="DC129" s="34">
        <f>IF(SUM($I129:DB129)&lt;1,IF($C129&lt;=DC$4,1/$E$41,0),0)</f>
        <v>0</v>
      </c>
      <c r="DD129" s="34">
        <f>IF(SUM($I129:DC129)&lt;1,IF($C129&lt;=DD$4,1/$E$41,0),0)</f>
        <v>0</v>
      </c>
      <c r="DE129" s="34">
        <f>IF(SUM($I129:DD129)&lt;1,IF($C129&lt;=DE$4,1/$E$41,0),0)</f>
        <v>0</v>
      </c>
      <c r="DF129" s="34">
        <f>IF(SUM($I129:DE129)&lt;1,IF($C129&lt;=DF$4,1/$E$41,0),0)</f>
        <v>0</v>
      </c>
      <c r="DG129" s="34">
        <f>IF(SUM($I129:DF129)&lt;1,IF($C129&lt;=DG$4,1/$E$41,0),0)</f>
        <v>0</v>
      </c>
      <c r="DH129" s="34">
        <f>IF(SUM($I129:DG129)&lt;1,IF($C129&lt;=DH$4,1/$E$41,0),0)</f>
        <v>0</v>
      </c>
      <c r="DI129" s="34">
        <f>IF(SUM($I129:DH129)&lt;1,IF($C129&lt;=DI$4,1/$E$41,0),0)</f>
        <v>0</v>
      </c>
      <c r="DJ129" s="34">
        <f>IF(SUM($I129:DI129)&lt;1,IF($C129&lt;=DJ$4,1/$E$41,0),0)</f>
        <v>0</v>
      </c>
      <c r="DK129" s="34">
        <f>IF(SUM($I129:DJ129)&lt;1,IF($C129&lt;=DK$4,1/$E$41,0),0)</f>
        <v>0</v>
      </c>
      <c r="DL129" s="34">
        <f>IF(SUM($I129:DK129)&lt;1,IF($C129&lt;=DL$4,1/$E$41,0),0)</f>
        <v>0</v>
      </c>
      <c r="DM129" s="34">
        <f>IF(SUM($I129:DL129)&lt;1,IF($C129&lt;=DM$4,1/$E$41,0),0)</f>
        <v>0</v>
      </c>
    </row>
    <row r="130" spans="3:117" outlineLevel="1" x14ac:dyDescent="0.15">
      <c r="C130" s="50">
        <f t="shared" si="51"/>
        <v>86</v>
      </c>
      <c r="D130" s="5" t="s">
        <v>18</v>
      </c>
      <c r="E130" s="19">
        <f t="shared" si="50"/>
        <v>0</v>
      </c>
      <c r="I130" s="9"/>
      <c r="J130" s="34">
        <f>IF(SUM($I130:I130)&lt;1,IF($C130&lt;=J$4,1/$E$41,0),0)</f>
        <v>0</v>
      </c>
      <c r="K130" s="34">
        <f>IF(SUM($I130:J130)&lt;1,IF($C130&lt;=K$4,1/$E$41,0),0)</f>
        <v>0</v>
      </c>
      <c r="L130" s="34">
        <f>IF(SUM($I130:K130)&lt;1,IF($C130&lt;=L$4,1/$E$41,0),0)</f>
        <v>0</v>
      </c>
      <c r="M130" s="34">
        <f>IF(SUM($I130:L130)&lt;1,IF($C130&lt;=M$4,1/$E$41,0),0)</f>
        <v>0</v>
      </c>
      <c r="N130" s="34">
        <f>IF(SUM($I130:M130)&lt;1,IF($C130&lt;=N$4,1/$E$41,0),0)</f>
        <v>0</v>
      </c>
      <c r="O130" s="34">
        <f>IF(SUM($I130:N130)&lt;1,IF($C130&lt;=O$4,1/$E$41,0),0)</f>
        <v>0</v>
      </c>
      <c r="P130" s="34">
        <f>IF(SUM($I130:O130)&lt;1,IF($C130&lt;=P$4,1/$E$41,0),0)</f>
        <v>0</v>
      </c>
      <c r="Q130" s="34">
        <f>IF(SUM($I130:P130)&lt;1,IF($C130&lt;=Q$4,1/$E$41,0),0)</f>
        <v>0</v>
      </c>
      <c r="R130" s="34">
        <f>IF(SUM($I130:Q130)&lt;1,IF($C130&lt;=R$4,1/$E$41,0),0)</f>
        <v>0</v>
      </c>
      <c r="S130" s="34">
        <f>IF(SUM($I130:R130)&lt;1,IF($C130&lt;=S$4,1/$E$41,0),0)</f>
        <v>0</v>
      </c>
      <c r="T130" s="34">
        <f>IF(SUM($I130:S130)&lt;1,IF($C130&lt;=T$4,1/$E$41,0),0)</f>
        <v>0</v>
      </c>
      <c r="U130" s="34">
        <f>IF(SUM($I130:T130)&lt;1,IF($C130&lt;=U$4,1/$E$41,0),0)</f>
        <v>0</v>
      </c>
      <c r="V130" s="34">
        <f>IF(SUM($I130:U130)&lt;1,IF($C130&lt;=V$4,1/$E$41,0),0)</f>
        <v>0</v>
      </c>
      <c r="W130" s="34">
        <f>IF(SUM($I130:V130)&lt;1,IF($C130&lt;=W$4,1/$E$41,0),0)</f>
        <v>0</v>
      </c>
      <c r="X130" s="34">
        <f>IF(SUM($I130:W130)&lt;1,IF($C130&lt;=X$4,1/$E$41,0),0)</f>
        <v>0</v>
      </c>
      <c r="Y130" s="34">
        <f>IF(SUM($I130:X130)&lt;1,IF($C130&lt;=Y$4,1/$E$41,0),0)</f>
        <v>0</v>
      </c>
      <c r="Z130" s="34">
        <f>IF(SUM($I130:Y130)&lt;1,IF($C130&lt;=Z$4,1/$E$41,0),0)</f>
        <v>0</v>
      </c>
      <c r="AA130" s="34">
        <f>IF(SUM($I130:Z130)&lt;1,IF($C130&lt;=AA$4,1/$E$41,0),0)</f>
        <v>0</v>
      </c>
      <c r="AB130" s="34">
        <f>IF(SUM($I130:AA130)&lt;1,IF($C130&lt;=AB$4,1/$E$41,0),0)</f>
        <v>0</v>
      </c>
      <c r="AC130" s="34">
        <f>IF(SUM($I130:AB130)&lt;1,IF($C130&lt;=AC$4,1/$E$41,0),0)</f>
        <v>0</v>
      </c>
      <c r="AD130" s="34">
        <f>IF(SUM($I130:AC130)&lt;1,IF($C130&lt;=AD$4,1/$E$41,0),0)</f>
        <v>0</v>
      </c>
      <c r="AE130" s="34">
        <f>IF(SUM($I130:AD130)&lt;1,IF($C130&lt;=AE$4,1/$E$41,0),0)</f>
        <v>0</v>
      </c>
      <c r="AF130" s="34">
        <f>IF(SUM($I130:AE130)&lt;1,IF($C130&lt;=AF$4,1/$E$41,0),0)</f>
        <v>0</v>
      </c>
      <c r="AG130" s="34">
        <f>IF(SUM($I130:AF130)&lt;1,IF($C130&lt;=AG$4,1/$E$41,0),0)</f>
        <v>0</v>
      </c>
      <c r="AH130" s="34">
        <f>IF(SUM($I130:AG130)&lt;1,IF($C130&lt;=AH$4,1/$E$41,0),0)</f>
        <v>0</v>
      </c>
      <c r="AI130" s="34">
        <f>IF(SUM($I130:AH130)&lt;1,IF($C130&lt;=AI$4,1/$E$41,0),0)</f>
        <v>0</v>
      </c>
      <c r="AJ130" s="34">
        <f>IF(SUM($I130:AI130)&lt;1,IF($C130&lt;=AJ$4,1/$E$41,0),0)</f>
        <v>0</v>
      </c>
      <c r="AK130" s="34">
        <f>IF(SUM($I130:AJ130)&lt;1,IF($C130&lt;=AK$4,1/$E$41,0),0)</f>
        <v>0</v>
      </c>
      <c r="AL130" s="34">
        <f>IF(SUM($I130:AK130)&lt;1,IF($C130&lt;=AL$4,1/$E$41,0),0)</f>
        <v>0</v>
      </c>
      <c r="AM130" s="34">
        <f>IF(SUM($I130:AL130)&lt;1,IF($C130&lt;=AM$4,1/$E$41,0),0)</f>
        <v>0</v>
      </c>
      <c r="AN130" s="34">
        <f>IF(SUM($I130:AM130)&lt;1,IF($C130&lt;=AN$4,1/$E$41,0),0)</f>
        <v>0</v>
      </c>
      <c r="AO130" s="34">
        <f>IF(SUM($I130:AN130)&lt;1,IF($C130&lt;=AO$4,1/$E$41,0),0)</f>
        <v>0</v>
      </c>
      <c r="AP130" s="34">
        <f>IF(SUM($I130:AO130)&lt;1,IF($C130&lt;=AP$4,1/$E$41,0),0)</f>
        <v>0</v>
      </c>
      <c r="AQ130" s="34">
        <f>IF(SUM($I130:AP130)&lt;1,IF($C130&lt;=AQ$4,1/$E$41,0),0)</f>
        <v>0</v>
      </c>
      <c r="AR130" s="34">
        <f>IF(SUM($I130:AQ130)&lt;1,IF($C130&lt;=AR$4,1/$E$41,0),0)</f>
        <v>0</v>
      </c>
      <c r="AS130" s="34">
        <f>IF(SUM($I130:AR130)&lt;1,IF($C130&lt;=AS$4,1/$E$41,0),0)</f>
        <v>0</v>
      </c>
      <c r="AT130" s="34">
        <f>IF(SUM($I130:AS130)&lt;1,IF($C130&lt;=AT$4,1/$E$41,0),0)</f>
        <v>0</v>
      </c>
      <c r="AU130" s="34">
        <f>IF(SUM($I130:AT130)&lt;1,IF($C130&lt;=AU$4,1/$E$41,0),0)</f>
        <v>0</v>
      </c>
      <c r="AV130" s="34">
        <f>IF(SUM($I130:AU130)&lt;1,IF($C130&lt;=AV$4,1/$E$41,0),0)</f>
        <v>0</v>
      </c>
      <c r="AW130" s="34">
        <f>IF(SUM($I130:AV130)&lt;1,IF($C130&lt;=AW$4,1/$E$41,0),0)</f>
        <v>0</v>
      </c>
      <c r="AX130" s="34">
        <f>IF(SUM($I130:AW130)&lt;1,IF($C130&lt;=AX$4,1/$E$41,0),0)</f>
        <v>0</v>
      </c>
      <c r="AY130" s="34">
        <f>IF(SUM($I130:AX130)&lt;1,IF($C130&lt;=AY$4,1/$E$41,0),0)</f>
        <v>0</v>
      </c>
      <c r="AZ130" s="34">
        <f>IF(SUM($I130:AY130)&lt;1,IF($C130&lt;=AZ$4,1/$E$41,0),0)</f>
        <v>0</v>
      </c>
      <c r="BA130" s="34">
        <f>IF(SUM($I130:AZ130)&lt;1,IF($C130&lt;=BA$4,1/$E$41,0),0)</f>
        <v>0</v>
      </c>
      <c r="BB130" s="34">
        <f>IF(SUM($I130:BA130)&lt;1,IF($C130&lt;=BB$4,1/$E$41,0),0)</f>
        <v>0</v>
      </c>
      <c r="BC130" s="34">
        <f>IF(SUM($I130:BB130)&lt;1,IF($C130&lt;=BC$4,1/$E$41,0),0)</f>
        <v>0</v>
      </c>
      <c r="BD130" s="34">
        <f>IF(SUM($I130:BC130)&lt;1,IF($C130&lt;=BD$4,1/$E$41,0),0)</f>
        <v>0</v>
      </c>
      <c r="BE130" s="34">
        <f>IF(SUM($I130:BD130)&lt;1,IF($C130&lt;=BE$4,1/$E$41,0),0)</f>
        <v>0</v>
      </c>
      <c r="BF130" s="34">
        <f>IF(SUM($I130:BE130)&lt;1,IF($C130&lt;=BF$4,1/$E$41,0),0)</f>
        <v>0</v>
      </c>
      <c r="BG130" s="34">
        <f>IF(SUM($I130:BF130)&lt;1,IF($C130&lt;=BG$4,1/$E$41,0),0)</f>
        <v>0</v>
      </c>
      <c r="BH130" s="34">
        <f>IF(SUM($I130:BG130)&lt;1,IF($C130&lt;=BH$4,1/$E$41,0),0)</f>
        <v>0</v>
      </c>
      <c r="BI130" s="34">
        <f>IF(SUM($I130:BH130)&lt;1,IF($C130&lt;=BI$4,1/$E$41,0),0)</f>
        <v>0</v>
      </c>
      <c r="BJ130" s="34">
        <f>IF(SUM($I130:BI130)&lt;1,IF($C130&lt;=BJ$4,1/$E$41,0),0)</f>
        <v>0</v>
      </c>
      <c r="BK130" s="34">
        <f>IF(SUM($I130:BJ130)&lt;1,IF($C130&lt;=BK$4,1/$E$41,0),0)</f>
        <v>0</v>
      </c>
      <c r="BL130" s="34">
        <f>IF(SUM($I130:BK130)&lt;1,IF($C130&lt;=BL$4,1/$E$41,0),0)</f>
        <v>0</v>
      </c>
      <c r="BM130" s="34">
        <f>IF(SUM($I130:BL130)&lt;1,IF($C130&lt;=BM$4,1/$E$41,0),0)</f>
        <v>0</v>
      </c>
      <c r="BN130" s="34">
        <f>IF(SUM($I130:BM130)&lt;1,IF($C130&lt;=BN$4,1/$E$41,0),0)</f>
        <v>0</v>
      </c>
      <c r="BO130" s="34">
        <f>IF(SUM($I130:BN130)&lt;1,IF($C130&lt;=BO$4,1/$E$41,0),0)</f>
        <v>0</v>
      </c>
      <c r="BP130" s="34">
        <f>IF(SUM($I130:BO130)&lt;1,IF($C130&lt;=BP$4,1/$E$41,0),0)</f>
        <v>0</v>
      </c>
      <c r="BQ130" s="34">
        <f>IF(SUM($I130:BP130)&lt;1,IF($C130&lt;=BQ$4,1/$E$41,0),0)</f>
        <v>0</v>
      </c>
      <c r="BR130" s="34">
        <f>IF(SUM($I130:BQ130)&lt;1,IF($C130&lt;=BR$4,1/$E$41,0),0)</f>
        <v>0</v>
      </c>
      <c r="BS130" s="34">
        <f>IF(SUM($I130:BR130)&lt;1,IF($C130&lt;=BS$4,1/$E$41,0),0)</f>
        <v>0</v>
      </c>
      <c r="BT130" s="34">
        <f>IF(SUM($I130:BS130)&lt;1,IF($C130&lt;=BT$4,1/$E$41,0),0)</f>
        <v>0</v>
      </c>
      <c r="BU130" s="34">
        <f>IF(SUM($I130:BT130)&lt;1,IF($C130&lt;=BU$4,1/$E$41,0),0)</f>
        <v>0</v>
      </c>
      <c r="BV130" s="34">
        <f>IF(SUM($I130:BU130)&lt;1,IF($C130&lt;=BV$4,1/$E$41,0),0)</f>
        <v>0</v>
      </c>
      <c r="BW130" s="34">
        <f>IF(SUM($I130:BV130)&lt;1,IF($C130&lt;=BW$4,1/$E$41,0),0)</f>
        <v>0</v>
      </c>
      <c r="BX130" s="34">
        <f>IF(SUM($I130:BW130)&lt;1,IF($C130&lt;=BX$4,1/$E$41,0),0)</f>
        <v>0</v>
      </c>
      <c r="BY130" s="34">
        <f>IF(SUM($I130:BX130)&lt;1,IF($C130&lt;=BY$4,1/$E$41,0),0)</f>
        <v>0</v>
      </c>
      <c r="BZ130" s="34">
        <f>IF(SUM($I130:BY130)&lt;1,IF($C130&lt;=BZ$4,1/$E$41,0),0)</f>
        <v>0</v>
      </c>
      <c r="CA130" s="34">
        <f>IF(SUM($I130:BZ130)&lt;1,IF($C130&lt;=CA$4,1/$E$41,0),0)</f>
        <v>0</v>
      </c>
      <c r="CB130" s="34">
        <f>IF(SUM($I130:CA130)&lt;1,IF($C130&lt;=CB$4,1/$E$41,0),0)</f>
        <v>0</v>
      </c>
      <c r="CC130" s="34">
        <f>IF(SUM($I130:CB130)&lt;1,IF($C130&lt;=CC$4,1/$E$41,0),0)</f>
        <v>0</v>
      </c>
      <c r="CD130" s="34">
        <f>IF(SUM($I130:CC130)&lt;1,IF($C130&lt;=CD$4,1/$E$41,0),0)</f>
        <v>0</v>
      </c>
      <c r="CE130" s="34">
        <f>IF(SUM($I130:CD130)&lt;1,IF($C130&lt;=CE$4,1/$E$41,0),0)</f>
        <v>0</v>
      </c>
      <c r="CF130" s="34">
        <f>IF(SUM($I130:CE130)&lt;1,IF($C130&lt;=CF$4,1/$E$41,0),0)</f>
        <v>0</v>
      </c>
      <c r="CG130" s="34">
        <f>IF(SUM($I130:CF130)&lt;1,IF($C130&lt;=CG$4,1/$E$41,0),0)</f>
        <v>0</v>
      </c>
      <c r="CH130" s="34">
        <f>IF(SUM($I130:CG130)&lt;1,IF($C130&lt;=CH$4,1/$E$41,0),0)</f>
        <v>0</v>
      </c>
      <c r="CI130" s="34">
        <f>IF(SUM($I130:CH130)&lt;1,IF($C130&lt;=CI$4,1/$E$41,0),0)</f>
        <v>0</v>
      </c>
      <c r="CJ130" s="34">
        <f>IF(SUM($I130:CI130)&lt;1,IF($C130&lt;=CJ$4,1/$E$41,0),0)</f>
        <v>0</v>
      </c>
      <c r="CK130" s="34">
        <f>IF(SUM($I130:CJ130)&lt;1,IF($C130&lt;=CK$4,1/$E$41,0),0)</f>
        <v>0</v>
      </c>
      <c r="CL130" s="34">
        <f>IF(SUM($I130:CK130)&lt;1,IF($C130&lt;=CL$4,1/$E$41,0),0)</f>
        <v>0</v>
      </c>
      <c r="CM130" s="34">
        <f>IF(SUM($I130:CL130)&lt;1,IF($C130&lt;=CM$4,1/$E$41,0),0)</f>
        <v>0</v>
      </c>
      <c r="CN130" s="34">
        <f>IF(SUM($I130:CM130)&lt;1,IF($C130&lt;=CN$4,1/$E$41,0),0)</f>
        <v>0</v>
      </c>
      <c r="CO130" s="34">
        <f>IF(SUM($I130:CN130)&lt;1,IF($C130&lt;=CO$4,1/$E$41,0),0)</f>
        <v>0</v>
      </c>
      <c r="CP130" s="34">
        <f>IF(SUM($I130:CO130)&lt;1,IF($C130&lt;=CP$4,1/$E$41,0),0)</f>
        <v>0</v>
      </c>
      <c r="CQ130" s="34">
        <f>IF(SUM($I130:CP130)&lt;1,IF($C130&lt;=CQ$4,1/$E$41,0),0)</f>
        <v>0.25</v>
      </c>
      <c r="CR130" s="34">
        <f>IF(SUM($I130:CQ130)&lt;1,IF($C130&lt;=CR$4,1/$E$41,0),0)</f>
        <v>0.25</v>
      </c>
      <c r="CS130" s="34">
        <f>IF(SUM($I130:CR130)&lt;1,IF($C130&lt;=CS$4,1/$E$41,0),0)</f>
        <v>0.25</v>
      </c>
      <c r="CT130" s="34">
        <f>IF(SUM($I130:CS130)&lt;1,IF($C130&lt;=CT$4,1/$E$41,0),0)</f>
        <v>0.25</v>
      </c>
      <c r="CU130" s="34">
        <f>IF(SUM($I130:CT130)&lt;1,IF($C130&lt;=CU$4,1/$E$41,0),0)</f>
        <v>0</v>
      </c>
      <c r="CV130" s="34">
        <f>IF(SUM($I130:CU130)&lt;1,IF($C130&lt;=CV$4,1/$E$41,0),0)</f>
        <v>0</v>
      </c>
      <c r="CW130" s="34">
        <f>IF(SUM($I130:CV130)&lt;1,IF($C130&lt;=CW$4,1/$E$41,0),0)</f>
        <v>0</v>
      </c>
      <c r="CX130" s="34">
        <f>IF(SUM($I130:CW130)&lt;1,IF($C130&lt;=CX$4,1/$E$41,0),0)</f>
        <v>0</v>
      </c>
      <c r="CY130" s="34">
        <f>IF(SUM($I130:CX130)&lt;1,IF($C130&lt;=CY$4,1/$E$41,0),0)</f>
        <v>0</v>
      </c>
      <c r="CZ130" s="34">
        <f>IF(SUM($I130:CY130)&lt;1,IF($C130&lt;=CZ$4,1/$E$41,0),0)</f>
        <v>0</v>
      </c>
      <c r="DA130" s="34">
        <f>IF(SUM($I130:CZ130)&lt;1,IF($C130&lt;=DA$4,1/$E$41,0),0)</f>
        <v>0</v>
      </c>
      <c r="DB130" s="34">
        <f>IF(SUM($I130:DA130)&lt;1,IF($C130&lt;=DB$4,1/$E$41,0),0)</f>
        <v>0</v>
      </c>
      <c r="DC130" s="34">
        <f>IF(SUM($I130:DB130)&lt;1,IF($C130&lt;=DC$4,1/$E$41,0),0)</f>
        <v>0</v>
      </c>
      <c r="DD130" s="34">
        <f>IF(SUM($I130:DC130)&lt;1,IF($C130&lt;=DD$4,1/$E$41,0),0)</f>
        <v>0</v>
      </c>
      <c r="DE130" s="34">
        <f>IF(SUM($I130:DD130)&lt;1,IF($C130&lt;=DE$4,1/$E$41,0),0)</f>
        <v>0</v>
      </c>
      <c r="DF130" s="34">
        <f>IF(SUM($I130:DE130)&lt;1,IF($C130&lt;=DF$4,1/$E$41,0),0)</f>
        <v>0</v>
      </c>
      <c r="DG130" s="34">
        <f>IF(SUM($I130:DF130)&lt;1,IF($C130&lt;=DG$4,1/$E$41,0),0)</f>
        <v>0</v>
      </c>
      <c r="DH130" s="34">
        <f>IF(SUM($I130:DG130)&lt;1,IF($C130&lt;=DH$4,1/$E$41,0),0)</f>
        <v>0</v>
      </c>
      <c r="DI130" s="34">
        <f>IF(SUM($I130:DH130)&lt;1,IF($C130&lt;=DI$4,1/$E$41,0),0)</f>
        <v>0</v>
      </c>
      <c r="DJ130" s="34">
        <f>IF(SUM($I130:DI130)&lt;1,IF($C130&lt;=DJ$4,1/$E$41,0),0)</f>
        <v>0</v>
      </c>
      <c r="DK130" s="34">
        <f>IF(SUM($I130:DJ130)&lt;1,IF($C130&lt;=DK$4,1/$E$41,0),0)</f>
        <v>0</v>
      </c>
      <c r="DL130" s="34">
        <f>IF(SUM($I130:DK130)&lt;1,IF($C130&lt;=DL$4,1/$E$41,0),0)</f>
        <v>0</v>
      </c>
      <c r="DM130" s="34">
        <f>IF(SUM($I130:DL130)&lt;1,IF($C130&lt;=DM$4,1/$E$41,0),0)</f>
        <v>0</v>
      </c>
    </row>
    <row r="131" spans="3:117" outlineLevel="1" x14ac:dyDescent="0.15">
      <c r="C131" s="50">
        <f t="shared" si="51"/>
        <v>87</v>
      </c>
      <c r="D131" s="5" t="s">
        <v>18</v>
      </c>
      <c r="E131" s="19">
        <f t="shared" si="50"/>
        <v>0</v>
      </c>
      <c r="I131" s="9"/>
      <c r="J131" s="34">
        <f>IF(SUM($I131:I131)&lt;1,IF($C131&lt;=J$4,1/$E$41,0),0)</f>
        <v>0</v>
      </c>
      <c r="K131" s="34">
        <f>IF(SUM($I131:J131)&lt;1,IF($C131&lt;=K$4,1/$E$41,0),0)</f>
        <v>0</v>
      </c>
      <c r="L131" s="34">
        <f>IF(SUM($I131:K131)&lt;1,IF($C131&lt;=L$4,1/$E$41,0),0)</f>
        <v>0</v>
      </c>
      <c r="M131" s="34">
        <f>IF(SUM($I131:L131)&lt;1,IF($C131&lt;=M$4,1/$E$41,0),0)</f>
        <v>0</v>
      </c>
      <c r="N131" s="34">
        <f>IF(SUM($I131:M131)&lt;1,IF($C131&lt;=N$4,1/$E$41,0),0)</f>
        <v>0</v>
      </c>
      <c r="O131" s="34">
        <f>IF(SUM($I131:N131)&lt;1,IF($C131&lt;=O$4,1/$E$41,0),0)</f>
        <v>0</v>
      </c>
      <c r="P131" s="34">
        <f>IF(SUM($I131:O131)&lt;1,IF($C131&lt;=P$4,1/$E$41,0),0)</f>
        <v>0</v>
      </c>
      <c r="Q131" s="34">
        <f>IF(SUM($I131:P131)&lt;1,IF($C131&lt;=Q$4,1/$E$41,0),0)</f>
        <v>0</v>
      </c>
      <c r="R131" s="34">
        <f>IF(SUM($I131:Q131)&lt;1,IF($C131&lt;=R$4,1/$E$41,0),0)</f>
        <v>0</v>
      </c>
      <c r="S131" s="34">
        <f>IF(SUM($I131:R131)&lt;1,IF($C131&lt;=S$4,1/$E$41,0),0)</f>
        <v>0</v>
      </c>
      <c r="T131" s="34">
        <f>IF(SUM($I131:S131)&lt;1,IF($C131&lt;=T$4,1/$E$41,0),0)</f>
        <v>0</v>
      </c>
      <c r="U131" s="34">
        <f>IF(SUM($I131:T131)&lt;1,IF($C131&lt;=U$4,1/$E$41,0),0)</f>
        <v>0</v>
      </c>
      <c r="V131" s="34">
        <f>IF(SUM($I131:U131)&lt;1,IF($C131&lt;=V$4,1/$E$41,0),0)</f>
        <v>0</v>
      </c>
      <c r="W131" s="34">
        <f>IF(SUM($I131:V131)&lt;1,IF($C131&lt;=W$4,1/$E$41,0),0)</f>
        <v>0</v>
      </c>
      <c r="X131" s="34">
        <f>IF(SUM($I131:W131)&lt;1,IF($C131&lt;=X$4,1/$E$41,0),0)</f>
        <v>0</v>
      </c>
      <c r="Y131" s="34">
        <f>IF(SUM($I131:X131)&lt;1,IF($C131&lt;=Y$4,1/$E$41,0),0)</f>
        <v>0</v>
      </c>
      <c r="Z131" s="34">
        <f>IF(SUM($I131:Y131)&lt;1,IF($C131&lt;=Z$4,1/$E$41,0),0)</f>
        <v>0</v>
      </c>
      <c r="AA131" s="34">
        <f>IF(SUM($I131:Z131)&lt;1,IF($C131&lt;=AA$4,1/$E$41,0),0)</f>
        <v>0</v>
      </c>
      <c r="AB131" s="34">
        <f>IF(SUM($I131:AA131)&lt;1,IF($C131&lt;=AB$4,1/$E$41,0),0)</f>
        <v>0</v>
      </c>
      <c r="AC131" s="34">
        <f>IF(SUM($I131:AB131)&lt;1,IF($C131&lt;=AC$4,1/$E$41,0),0)</f>
        <v>0</v>
      </c>
      <c r="AD131" s="34">
        <f>IF(SUM($I131:AC131)&lt;1,IF($C131&lt;=AD$4,1/$E$41,0),0)</f>
        <v>0</v>
      </c>
      <c r="AE131" s="34">
        <f>IF(SUM($I131:AD131)&lt;1,IF($C131&lt;=AE$4,1/$E$41,0),0)</f>
        <v>0</v>
      </c>
      <c r="AF131" s="34">
        <f>IF(SUM($I131:AE131)&lt;1,IF($C131&lt;=AF$4,1/$E$41,0),0)</f>
        <v>0</v>
      </c>
      <c r="AG131" s="34">
        <f>IF(SUM($I131:AF131)&lt;1,IF($C131&lt;=AG$4,1/$E$41,0),0)</f>
        <v>0</v>
      </c>
      <c r="AH131" s="34">
        <f>IF(SUM($I131:AG131)&lt;1,IF($C131&lt;=AH$4,1/$E$41,0),0)</f>
        <v>0</v>
      </c>
      <c r="AI131" s="34">
        <f>IF(SUM($I131:AH131)&lt;1,IF($C131&lt;=AI$4,1/$E$41,0),0)</f>
        <v>0</v>
      </c>
      <c r="AJ131" s="34">
        <f>IF(SUM($I131:AI131)&lt;1,IF($C131&lt;=AJ$4,1/$E$41,0),0)</f>
        <v>0</v>
      </c>
      <c r="AK131" s="34">
        <f>IF(SUM($I131:AJ131)&lt;1,IF($C131&lt;=AK$4,1/$E$41,0),0)</f>
        <v>0</v>
      </c>
      <c r="AL131" s="34">
        <f>IF(SUM($I131:AK131)&lt;1,IF($C131&lt;=AL$4,1/$E$41,0),0)</f>
        <v>0</v>
      </c>
      <c r="AM131" s="34">
        <f>IF(SUM($I131:AL131)&lt;1,IF($C131&lt;=AM$4,1/$E$41,0),0)</f>
        <v>0</v>
      </c>
      <c r="AN131" s="34">
        <f>IF(SUM($I131:AM131)&lt;1,IF($C131&lt;=AN$4,1/$E$41,0),0)</f>
        <v>0</v>
      </c>
      <c r="AO131" s="34">
        <f>IF(SUM($I131:AN131)&lt;1,IF($C131&lt;=AO$4,1/$E$41,0),0)</f>
        <v>0</v>
      </c>
      <c r="AP131" s="34">
        <f>IF(SUM($I131:AO131)&lt;1,IF($C131&lt;=AP$4,1/$E$41,0),0)</f>
        <v>0</v>
      </c>
      <c r="AQ131" s="34">
        <f>IF(SUM($I131:AP131)&lt;1,IF($C131&lt;=AQ$4,1/$E$41,0),0)</f>
        <v>0</v>
      </c>
      <c r="AR131" s="34">
        <f>IF(SUM($I131:AQ131)&lt;1,IF($C131&lt;=AR$4,1/$E$41,0),0)</f>
        <v>0</v>
      </c>
      <c r="AS131" s="34">
        <f>IF(SUM($I131:AR131)&lt;1,IF($C131&lt;=AS$4,1/$E$41,0),0)</f>
        <v>0</v>
      </c>
      <c r="AT131" s="34">
        <f>IF(SUM($I131:AS131)&lt;1,IF($C131&lt;=AT$4,1/$E$41,0),0)</f>
        <v>0</v>
      </c>
      <c r="AU131" s="34">
        <f>IF(SUM($I131:AT131)&lt;1,IF($C131&lt;=AU$4,1/$E$41,0),0)</f>
        <v>0</v>
      </c>
      <c r="AV131" s="34">
        <f>IF(SUM($I131:AU131)&lt;1,IF($C131&lt;=AV$4,1/$E$41,0),0)</f>
        <v>0</v>
      </c>
      <c r="AW131" s="34">
        <f>IF(SUM($I131:AV131)&lt;1,IF($C131&lt;=AW$4,1/$E$41,0),0)</f>
        <v>0</v>
      </c>
      <c r="AX131" s="34">
        <f>IF(SUM($I131:AW131)&lt;1,IF($C131&lt;=AX$4,1/$E$41,0),0)</f>
        <v>0</v>
      </c>
      <c r="AY131" s="34">
        <f>IF(SUM($I131:AX131)&lt;1,IF($C131&lt;=AY$4,1/$E$41,0),0)</f>
        <v>0</v>
      </c>
      <c r="AZ131" s="34">
        <f>IF(SUM($I131:AY131)&lt;1,IF($C131&lt;=AZ$4,1/$E$41,0),0)</f>
        <v>0</v>
      </c>
      <c r="BA131" s="34">
        <f>IF(SUM($I131:AZ131)&lt;1,IF($C131&lt;=BA$4,1/$E$41,0),0)</f>
        <v>0</v>
      </c>
      <c r="BB131" s="34">
        <f>IF(SUM($I131:BA131)&lt;1,IF($C131&lt;=BB$4,1/$E$41,0),0)</f>
        <v>0</v>
      </c>
      <c r="BC131" s="34">
        <f>IF(SUM($I131:BB131)&lt;1,IF($C131&lt;=BC$4,1/$E$41,0),0)</f>
        <v>0</v>
      </c>
      <c r="BD131" s="34">
        <f>IF(SUM($I131:BC131)&lt;1,IF($C131&lt;=BD$4,1/$E$41,0),0)</f>
        <v>0</v>
      </c>
      <c r="BE131" s="34">
        <f>IF(SUM($I131:BD131)&lt;1,IF($C131&lt;=BE$4,1/$E$41,0),0)</f>
        <v>0</v>
      </c>
      <c r="BF131" s="34">
        <f>IF(SUM($I131:BE131)&lt;1,IF($C131&lt;=BF$4,1/$E$41,0),0)</f>
        <v>0</v>
      </c>
      <c r="BG131" s="34">
        <f>IF(SUM($I131:BF131)&lt;1,IF($C131&lt;=BG$4,1/$E$41,0),0)</f>
        <v>0</v>
      </c>
      <c r="BH131" s="34">
        <f>IF(SUM($I131:BG131)&lt;1,IF($C131&lt;=BH$4,1/$E$41,0),0)</f>
        <v>0</v>
      </c>
      <c r="BI131" s="34">
        <f>IF(SUM($I131:BH131)&lt;1,IF($C131&lt;=BI$4,1/$E$41,0),0)</f>
        <v>0</v>
      </c>
      <c r="BJ131" s="34">
        <f>IF(SUM($I131:BI131)&lt;1,IF($C131&lt;=BJ$4,1/$E$41,0),0)</f>
        <v>0</v>
      </c>
      <c r="BK131" s="34">
        <f>IF(SUM($I131:BJ131)&lt;1,IF($C131&lt;=BK$4,1/$E$41,0),0)</f>
        <v>0</v>
      </c>
      <c r="BL131" s="34">
        <f>IF(SUM($I131:BK131)&lt;1,IF($C131&lt;=BL$4,1/$E$41,0),0)</f>
        <v>0</v>
      </c>
      <c r="BM131" s="34">
        <f>IF(SUM($I131:BL131)&lt;1,IF($C131&lt;=BM$4,1/$E$41,0),0)</f>
        <v>0</v>
      </c>
      <c r="BN131" s="34">
        <f>IF(SUM($I131:BM131)&lt;1,IF($C131&lt;=BN$4,1/$E$41,0),0)</f>
        <v>0</v>
      </c>
      <c r="BO131" s="34">
        <f>IF(SUM($I131:BN131)&lt;1,IF($C131&lt;=BO$4,1/$E$41,0),0)</f>
        <v>0</v>
      </c>
      <c r="BP131" s="34">
        <f>IF(SUM($I131:BO131)&lt;1,IF($C131&lt;=BP$4,1/$E$41,0),0)</f>
        <v>0</v>
      </c>
      <c r="BQ131" s="34">
        <f>IF(SUM($I131:BP131)&lt;1,IF($C131&lt;=BQ$4,1/$E$41,0),0)</f>
        <v>0</v>
      </c>
      <c r="BR131" s="34">
        <f>IF(SUM($I131:BQ131)&lt;1,IF($C131&lt;=BR$4,1/$E$41,0),0)</f>
        <v>0</v>
      </c>
      <c r="BS131" s="34">
        <f>IF(SUM($I131:BR131)&lt;1,IF($C131&lt;=BS$4,1/$E$41,0),0)</f>
        <v>0</v>
      </c>
      <c r="BT131" s="34">
        <f>IF(SUM($I131:BS131)&lt;1,IF($C131&lt;=BT$4,1/$E$41,0),0)</f>
        <v>0</v>
      </c>
      <c r="BU131" s="34">
        <f>IF(SUM($I131:BT131)&lt;1,IF($C131&lt;=BU$4,1/$E$41,0),0)</f>
        <v>0</v>
      </c>
      <c r="BV131" s="34">
        <f>IF(SUM($I131:BU131)&lt;1,IF($C131&lt;=BV$4,1/$E$41,0),0)</f>
        <v>0</v>
      </c>
      <c r="BW131" s="34">
        <f>IF(SUM($I131:BV131)&lt;1,IF($C131&lt;=BW$4,1/$E$41,0),0)</f>
        <v>0</v>
      </c>
      <c r="BX131" s="34">
        <f>IF(SUM($I131:BW131)&lt;1,IF($C131&lt;=BX$4,1/$E$41,0),0)</f>
        <v>0</v>
      </c>
      <c r="BY131" s="34">
        <f>IF(SUM($I131:BX131)&lt;1,IF($C131&lt;=BY$4,1/$E$41,0),0)</f>
        <v>0</v>
      </c>
      <c r="BZ131" s="34">
        <f>IF(SUM($I131:BY131)&lt;1,IF($C131&lt;=BZ$4,1/$E$41,0),0)</f>
        <v>0</v>
      </c>
      <c r="CA131" s="34">
        <f>IF(SUM($I131:BZ131)&lt;1,IF($C131&lt;=CA$4,1/$E$41,0),0)</f>
        <v>0</v>
      </c>
      <c r="CB131" s="34">
        <f>IF(SUM($I131:CA131)&lt;1,IF($C131&lt;=CB$4,1/$E$41,0),0)</f>
        <v>0</v>
      </c>
      <c r="CC131" s="34">
        <f>IF(SUM($I131:CB131)&lt;1,IF($C131&lt;=CC$4,1/$E$41,0),0)</f>
        <v>0</v>
      </c>
      <c r="CD131" s="34">
        <f>IF(SUM($I131:CC131)&lt;1,IF($C131&lt;=CD$4,1/$E$41,0),0)</f>
        <v>0</v>
      </c>
      <c r="CE131" s="34">
        <f>IF(SUM($I131:CD131)&lt;1,IF($C131&lt;=CE$4,1/$E$41,0),0)</f>
        <v>0</v>
      </c>
      <c r="CF131" s="34">
        <f>IF(SUM($I131:CE131)&lt;1,IF($C131&lt;=CF$4,1/$E$41,0),0)</f>
        <v>0</v>
      </c>
      <c r="CG131" s="34">
        <f>IF(SUM($I131:CF131)&lt;1,IF($C131&lt;=CG$4,1/$E$41,0),0)</f>
        <v>0</v>
      </c>
      <c r="CH131" s="34">
        <f>IF(SUM($I131:CG131)&lt;1,IF($C131&lt;=CH$4,1/$E$41,0),0)</f>
        <v>0</v>
      </c>
      <c r="CI131" s="34">
        <f>IF(SUM($I131:CH131)&lt;1,IF($C131&lt;=CI$4,1/$E$41,0),0)</f>
        <v>0</v>
      </c>
      <c r="CJ131" s="34">
        <f>IF(SUM($I131:CI131)&lt;1,IF($C131&lt;=CJ$4,1/$E$41,0),0)</f>
        <v>0</v>
      </c>
      <c r="CK131" s="34">
        <f>IF(SUM($I131:CJ131)&lt;1,IF($C131&lt;=CK$4,1/$E$41,0),0)</f>
        <v>0</v>
      </c>
      <c r="CL131" s="34">
        <f>IF(SUM($I131:CK131)&lt;1,IF($C131&lt;=CL$4,1/$E$41,0),0)</f>
        <v>0</v>
      </c>
      <c r="CM131" s="34">
        <f>IF(SUM($I131:CL131)&lt;1,IF($C131&lt;=CM$4,1/$E$41,0),0)</f>
        <v>0</v>
      </c>
      <c r="CN131" s="34">
        <f>IF(SUM($I131:CM131)&lt;1,IF($C131&lt;=CN$4,1/$E$41,0),0)</f>
        <v>0</v>
      </c>
      <c r="CO131" s="34">
        <f>IF(SUM($I131:CN131)&lt;1,IF($C131&lt;=CO$4,1/$E$41,0),0)</f>
        <v>0</v>
      </c>
      <c r="CP131" s="34">
        <f>IF(SUM($I131:CO131)&lt;1,IF($C131&lt;=CP$4,1/$E$41,0),0)</f>
        <v>0</v>
      </c>
      <c r="CQ131" s="34">
        <f>IF(SUM($I131:CP131)&lt;1,IF($C131&lt;=CQ$4,1/$E$41,0),0)</f>
        <v>0</v>
      </c>
      <c r="CR131" s="34">
        <f>IF(SUM($I131:CQ131)&lt;1,IF($C131&lt;=CR$4,1/$E$41,0),0)</f>
        <v>0.25</v>
      </c>
      <c r="CS131" s="34">
        <f>IF(SUM($I131:CR131)&lt;1,IF($C131&lt;=CS$4,1/$E$41,0),0)</f>
        <v>0.25</v>
      </c>
      <c r="CT131" s="34">
        <f>IF(SUM($I131:CS131)&lt;1,IF($C131&lt;=CT$4,1/$E$41,0),0)</f>
        <v>0.25</v>
      </c>
      <c r="CU131" s="34">
        <f>IF(SUM($I131:CT131)&lt;1,IF($C131&lt;=CU$4,1/$E$41,0),0)</f>
        <v>0.25</v>
      </c>
      <c r="CV131" s="34">
        <f>IF(SUM($I131:CU131)&lt;1,IF($C131&lt;=CV$4,1/$E$41,0),0)</f>
        <v>0</v>
      </c>
      <c r="CW131" s="34">
        <f>IF(SUM($I131:CV131)&lt;1,IF($C131&lt;=CW$4,1/$E$41,0),0)</f>
        <v>0</v>
      </c>
      <c r="CX131" s="34">
        <f>IF(SUM($I131:CW131)&lt;1,IF($C131&lt;=CX$4,1/$E$41,0),0)</f>
        <v>0</v>
      </c>
      <c r="CY131" s="34">
        <f>IF(SUM($I131:CX131)&lt;1,IF($C131&lt;=CY$4,1/$E$41,0),0)</f>
        <v>0</v>
      </c>
      <c r="CZ131" s="34">
        <f>IF(SUM($I131:CY131)&lt;1,IF($C131&lt;=CZ$4,1/$E$41,0),0)</f>
        <v>0</v>
      </c>
      <c r="DA131" s="34">
        <f>IF(SUM($I131:CZ131)&lt;1,IF($C131&lt;=DA$4,1/$E$41,0),0)</f>
        <v>0</v>
      </c>
      <c r="DB131" s="34">
        <f>IF(SUM($I131:DA131)&lt;1,IF($C131&lt;=DB$4,1/$E$41,0),0)</f>
        <v>0</v>
      </c>
      <c r="DC131" s="34">
        <f>IF(SUM($I131:DB131)&lt;1,IF($C131&lt;=DC$4,1/$E$41,0),0)</f>
        <v>0</v>
      </c>
      <c r="DD131" s="34">
        <f>IF(SUM($I131:DC131)&lt;1,IF($C131&lt;=DD$4,1/$E$41,0),0)</f>
        <v>0</v>
      </c>
      <c r="DE131" s="34">
        <f>IF(SUM($I131:DD131)&lt;1,IF($C131&lt;=DE$4,1/$E$41,0),0)</f>
        <v>0</v>
      </c>
      <c r="DF131" s="34">
        <f>IF(SUM($I131:DE131)&lt;1,IF($C131&lt;=DF$4,1/$E$41,0),0)</f>
        <v>0</v>
      </c>
      <c r="DG131" s="34">
        <f>IF(SUM($I131:DF131)&lt;1,IF($C131&lt;=DG$4,1/$E$41,0),0)</f>
        <v>0</v>
      </c>
      <c r="DH131" s="34">
        <f>IF(SUM($I131:DG131)&lt;1,IF($C131&lt;=DH$4,1/$E$41,0),0)</f>
        <v>0</v>
      </c>
      <c r="DI131" s="34">
        <f>IF(SUM($I131:DH131)&lt;1,IF($C131&lt;=DI$4,1/$E$41,0),0)</f>
        <v>0</v>
      </c>
      <c r="DJ131" s="34">
        <f>IF(SUM($I131:DI131)&lt;1,IF($C131&lt;=DJ$4,1/$E$41,0),0)</f>
        <v>0</v>
      </c>
      <c r="DK131" s="34">
        <f>IF(SUM($I131:DJ131)&lt;1,IF($C131&lt;=DK$4,1/$E$41,0),0)</f>
        <v>0</v>
      </c>
      <c r="DL131" s="34">
        <f>IF(SUM($I131:DK131)&lt;1,IF($C131&lt;=DL$4,1/$E$41,0),0)</f>
        <v>0</v>
      </c>
      <c r="DM131" s="34">
        <f>IF(SUM($I131:DL131)&lt;1,IF($C131&lt;=DM$4,1/$E$41,0),0)</f>
        <v>0</v>
      </c>
    </row>
    <row r="132" spans="3:117" outlineLevel="1" x14ac:dyDescent="0.15">
      <c r="C132" s="50">
        <f t="shared" si="51"/>
        <v>88</v>
      </c>
      <c r="D132" s="5" t="s">
        <v>18</v>
      </c>
      <c r="E132" s="19">
        <f t="shared" si="50"/>
        <v>0</v>
      </c>
      <c r="I132" s="9"/>
      <c r="J132" s="34">
        <f>IF(SUM($I132:I132)&lt;1,IF($C132&lt;=J$4,1/$E$41,0),0)</f>
        <v>0</v>
      </c>
      <c r="K132" s="34">
        <f>IF(SUM($I132:J132)&lt;1,IF($C132&lt;=K$4,1/$E$41,0),0)</f>
        <v>0</v>
      </c>
      <c r="L132" s="34">
        <f>IF(SUM($I132:K132)&lt;1,IF($C132&lt;=L$4,1/$E$41,0),0)</f>
        <v>0</v>
      </c>
      <c r="M132" s="34">
        <f>IF(SUM($I132:L132)&lt;1,IF($C132&lt;=M$4,1/$E$41,0),0)</f>
        <v>0</v>
      </c>
      <c r="N132" s="34">
        <f>IF(SUM($I132:M132)&lt;1,IF($C132&lt;=N$4,1/$E$41,0),0)</f>
        <v>0</v>
      </c>
      <c r="O132" s="34">
        <f>IF(SUM($I132:N132)&lt;1,IF($C132&lt;=O$4,1/$E$41,0),0)</f>
        <v>0</v>
      </c>
      <c r="P132" s="34">
        <f>IF(SUM($I132:O132)&lt;1,IF($C132&lt;=P$4,1/$E$41,0),0)</f>
        <v>0</v>
      </c>
      <c r="Q132" s="34">
        <f>IF(SUM($I132:P132)&lt;1,IF($C132&lt;=Q$4,1/$E$41,0),0)</f>
        <v>0</v>
      </c>
      <c r="R132" s="34">
        <f>IF(SUM($I132:Q132)&lt;1,IF($C132&lt;=R$4,1/$E$41,0),0)</f>
        <v>0</v>
      </c>
      <c r="S132" s="34">
        <f>IF(SUM($I132:R132)&lt;1,IF($C132&lt;=S$4,1/$E$41,0),0)</f>
        <v>0</v>
      </c>
      <c r="T132" s="34">
        <f>IF(SUM($I132:S132)&lt;1,IF($C132&lt;=T$4,1/$E$41,0),0)</f>
        <v>0</v>
      </c>
      <c r="U132" s="34">
        <f>IF(SUM($I132:T132)&lt;1,IF($C132&lt;=U$4,1/$E$41,0),0)</f>
        <v>0</v>
      </c>
      <c r="V132" s="34">
        <f>IF(SUM($I132:U132)&lt;1,IF($C132&lt;=V$4,1/$E$41,0),0)</f>
        <v>0</v>
      </c>
      <c r="W132" s="34">
        <f>IF(SUM($I132:V132)&lt;1,IF($C132&lt;=W$4,1/$E$41,0),0)</f>
        <v>0</v>
      </c>
      <c r="X132" s="34">
        <f>IF(SUM($I132:W132)&lt;1,IF($C132&lt;=X$4,1/$E$41,0),0)</f>
        <v>0</v>
      </c>
      <c r="Y132" s="34">
        <f>IF(SUM($I132:X132)&lt;1,IF($C132&lt;=Y$4,1/$E$41,0),0)</f>
        <v>0</v>
      </c>
      <c r="Z132" s="34">
        <f>IF(SUM($I132:Y132)&lt;1,IF($C132&lt;=Z$4,1/$E$41,0),0)</f>
        <v>0</v>
      </c>
      <c r="AA132" s="34">
        <f>IF(SUM($I132:Z132)&lt;1,IF($C132&lt;=AA$4,1/$E$41,0),0)</f>
        <v>0</v>
      </c>
      <c r="AB132" s="34">
        <f>IF(SUM($I132:AA132)&lt;1,IF($C132&lt;=AB$4,1/$E$41,0),0)</f>
        <v>0</v>
      </c>
      <c r="AC132" s="34">
        <f>IF(SUM($I132:AB132)&lt;1,IF($C132&lt;=AC$4,1/$E$41,0),0)</f>
        <v>0</v>
      </c>
      <c r="AD132" s="34">
        <f>IF(SUM($I132:AC132)&lt;1,IF($C132&lt;=AD$4,1/$E$41,0),0)</f>
        <v>0</v>
      </c>
      <c r="AE132" s="34">
        <f>IF(SUM($I132:AD132)&lt;1,IF($C132&lt;=AE$4,1/$E$41,0),0)</f>
        <v>0</v>
      </c>
      <c r="AF132" s="34">
        <f>IF(SUM($I132:AE132)&lt;1,IF($C132&lt;=AF$4,1/$E$41,0),0)</f>
        <v>0</v>
      </c>
      <c r="AG132" s="34">
        <f>IF(SUM($I132:AF132)&lt;1,IF($C132&lt;=AG$4,1/$E$41,0),0)</f>
        <v>0</v>
      </c>
      <c r="AH132" s="34">
        <f>IF(SUM($I132:AG132)&lt;1,IF($C132&lt;=AH$4,1/$E$41,0),0)</f>
        <v>0</v>
      </c>
      <c r="AI132" s="34">
        <f>IF(SUM($I132:AH132)&lt;1,IF($C132&lt;=AI$4,1/$E$41,0),0)</f>
        <v>0</v>
      </c>
      <c r="AJ132" s="34">
        <f>IF(SUM($I132:AI132)&lt;1,IF($C132&lt;=AJ$4,1/$E$41,0),0)</f>
        <v>0</v>
      </c>
      <c r="AK132" s="34">
        <f>IF(SUM($I132:AJ132)&lt;1,IF($C132&lt;=AK$4,1/$E$41,0),0)</f>
        <v>0</v>
      </c>
      <c r="AL132" s="34">
        <f>IF(SUM($I132:AK132)&lt;1,IF($C132&lt;=AL$4,1/$E$41,0),0)</f>
        <v>0</v>
      </c>
      <c r="AM132" s="34">
        <f>IF(SUM($I132:AL132)&lt;1,IF($C132&lt;=AM$4,1/$E$41,0),0)</f>
        <v>0</v>
      </c>
      <c r="AN132" s="34">
        <f>IF(SUM($I132:AM132)&lt;1,IF($C132&lt;=AN$4,1/$E$41,0),0)</f>
        <v>0</v>
      </c>
      <c r="AO132" s="34">
        <f>IF(SUM($I132:AN132)&lt;1,IF($C132&lt;=AO$4,1/$E$41,0),0)</f>
        <v>0</v>
      </c>
      <c r="AP132" s="34">
        <f>IF(SUM($I132:AO132)&lt;1,IF($C132&lt;=AP$4,1/$E$41,0),0)</f>
        <v>0</v>
      </c>
      <c r="AQ132" s="34">
        <f>IF(SUM($I132:AP132)&lt;1,IF($C132&lt;=AQ$4,1/$E$41,0),0)</f>
        <v>0</v>
      </c>
      <c r="AR132" s="34">
        <f>IF(SUM($I132:AQ132)&lt;1,IF($C132&lt;=AR$4,1/$E$41,0),0)</f>
        <v>0</v>
      </c>
      <c r="AS132" s="34">
        <f>IF(SUM($I132:AR132)&lt;1,IF($C132&lt;=AS$4,1/$E$41,0),0)</f>
        <v>0</v>
      </c>
      <c r="AT132" s="34">
        <f>IF(SUM($I132:AS132)&lt;1,IF($C132&lt;=AT$4,1/$E$41,0),0)</f>
        <v>0</v>
      </c>
      <c r="AU132" s="34">
        <f>IF(SUM($I132:AT132)&lt;1,IF($C132&lt;=AU$4,1/$E$41,0),0)</f>
        <v>0</v>
      </c>
      <c r="AV132" s="34">
        <f>IF(SUM($I132:AU132)&lt;1,IF($C132&lt;=AV$4,1/$E$41,0),0)</f>
        <v>0</v>
      </c>
      <c r="AW132" s="34">
        <f>IF(SUM($I132:AV132)&lt;1,IF($C132&lt;=AW$4,1/$E$41,0),0)</f>
        <v>0</v>
      </c>
      <c r="AX132" s="34">
        <f>IF(SUM($I132:AW132)&lt;1,IF($C132&lt;=AX$4,1/$E$41,0),0)</f>
        <v>0</v>
      </c>
      <c r="AY132" s="34">
        <f>IF(SUM($I132:AX132)&lt;1,IF($C132&lt;=AY$4,1/$E$41,0),0)</f>
        <v>0</v>
      </c>
      <c r="AZ132" s="34">
        <f>IF(SUM($I132:AY132)&lt;1,IF($C132&lt;=AZ$4,1/$E$41,0),0)</f>
        <v>0</v>
      </c>
      <c r="BA132" s="34">
        <f>IF(SUM($I132:AZ132)&lt;1,IF($C132&lt;=BA$4,1/$E$41,0),0)</f>
        <v>0</v>
      </c>
      <c r="BB132" s="34">
        <f>IF(SUM($I132:BA132)&lt;1,IF($C132&lt;=BB$4,1/$E$41,0),0)</f>
        <v>0</v>
      </c>
      <c r="BC132" s="34">
        <f>IF(SUM($I132:BB132)&lt;1,IF($C132&lt;=BC$4,1/$E$41,0),0)</f>
        <v>0</v>
      </c>
      <c r="BD132" s="34">
        <f>IF(SUM($I132:BC132)&lt;1,IF($C132&lt;=BD$4,1/$E$41,0),0)</f>
        <v>0</v>
      </c>
      <c r="BE132" s="34">
        <f>IF(SUM($I132:BD132)&lt;1,IF($C132&lt;=BE$4,1/$E$41,0),0)</f>
        <v>0</v>
      </c>
      <c r="BF132" s="34">
        <f>IF(SUM($I132:BE132)&lt;1,IF($C132&lt;=BF$4,1/$E$41,0),0)</f>
        <v>0</v>
      </c>
      <c r="BG132" s="34">
        <f>IF(SUM($I132:BF132)&lt;1,IF($C132&lt;=BG$4,1/$E$41,0),0)</f>
        <v>0</v>
      </c>
      <c r="BH132" s="34">
        <f>IF(SUM($I132:BG132)&lt;1,IF($C132&lt;=BH$4,1/$E$41,0),0)</f>
        <v>0</v>
      </c>
      <c r="BI132" s="34">
        <f>IF(SUM($I132:BH132)&lt;1,IF($C132&lt;=BI$4,1/$E$41,0),0)</f>
        <v>0</v>
      </c>
      <c r="BJ132" s="34">
        <f>IF(SUM($I132:BI132)&lt;1,IF($C132&lt;=BJ$4,1/$E$41,0),0)</f>
        <v>0</v>
      </c>
      <c r="BK132" s="34">
        <f>IF(SUM($I132:BJ132)&lt;1,IF($C132&lt;=BK$4,1/$E$41,0),0)</f>
        <v>0</v>
      </c>
      <c r="BL132" s="34">
        <f>IF(SUM($I132:BK132)&lt;1,IF($C132&lt;=BL$4,1/$E$41,0),0)</f>
        <v>0</v>
      </c>
      <c r="BM132" s="34">
        <f>IF(SUM($I132:BL132)&lt;1,IF($C132&lt;=BM$4,1/$E$41,0),0)</f>
        <v>0</v>
      </c>
      <c r="BN132" s="34">
        <f>IF(SUM($I132:BM132)&lt;1,IF($C132&lt;=BN$4,1/$E$41,0),0)</f>
        <v>0</v>
      </c>
      <c r="BO132" s="34">
        <f>IF(SUM($I132:BN132)&lt;1,IF($C132&lt;=BO$4,1/$E$41,0),0)</f>
        <v>0</v>
      </c>
      <c r="BP132" s="34">
        <f>IF(SUM($I132:BO132)&lt;1,IF($C132&lt;=BP$4,1/$E$41,0),0)</f>
        <v>0</v>
      </c>
      <c r="BQ132" s="34">
        <f>IF(SUM($I132:BP132)&lt;1,IF($C132&lt;=BQ$4,1/$E$41,0),0)</f>
        <v>0</v>
      </c>
      <c r="BR132" s="34">
        <f>IF(SUM($I132:BQ132)&lt;1,IF($C132&lt;=BR$4,1/$E$41,0),0)</f>
        <v>0</v>
      </c>
      <c r="BS132" s="34">
        <f>IF(SUM($I132:BR132)&lt;1,IF($C132&lt;=BS$4,1/$E$41,0),0)</f>
        <v>0</v>
      </c>
      <c r="BT132" s="34">
        <f>IF(SUM($I132:BS132)&lt;1,IF($C132&lt;=BT$4,1/$E$41,0),0)</f>
        <v>0</v>
      </c>
      <c r="BU132" s="34">
        <f>IF(SUM($I132:BT132)&lt;1,IF($C132&lt;=BU$4,1/$E$41,0),0)</f>
        <v>0</v>
      </c>
      <c r="BV132" s="34">
        <f>IF(SUM($I132:BU132)&lt;1,IF($C132&lt;=BV$4,1/$E$41,0),0)</f>
        <v>0</v>
      </c>
      <c r="BW132" s="34">
        <f>IF(SUM($I132:BV132)&lt;1,IF($C132&lt;=BW$4,1/$E$41,0),0)</f>
        <v>0</v>
      </c>
      <c r="BX132" s="34">
        <f>IF(SUM($I132:BW132)&lt;1,IF($C132&lt;=BX$4,1/$E$41,0),0)</f>
        <v>0</v>
      </c>
      <c r="BY132" s="34">
        <f>IF(SUM($I132:BX132)&lt;1,IF($C132&lt;=BY$4,1/$E$41,0),0)</f>
        <v>0</v>
      </c>
      <c r="BZ132" s="34">
        <f>IF(SUM($I132:BY132)&lt;1,IF($C132&lt;=BZ$4,1/$E$41,0),0)</f>
        <v>0</v>
      </c>
      <c r="CA132" s="34">
        <f>IF(SUM($I132:BZ132)&lt;1,IF($C132&lt;=CA$4,1/$E$41,0),0)</f>
        <v>0</v>
      </c>
      <c r="CB132" s="34">
        <f>IF(SUM($I132:CA132)&lt;1,IF($C132&lt;=CB$4,1/$E$41,0),0)</f>
        <v>0</v>
      </c>
      <c r="CC132" s="34">
        <f>IF(SUM($I132:CB132)&lt;1,IF($C132&lt;=CC$4,1/$E$41,0),0)</f>
        <v>0</v>
      </c>
      <c r="CD132" s="34">
        <f>IF(SUM($I132:CC132)&lt;1,IF($C132&lt;=CD$4,1/$E$41,0),0)</f>
        <v>0</v>
      </c>
      <c r="CE132" s="34">
        <f>IF(SUM($I132:CD132)&lt;1,IF($C132&lt;=CE$4,1/$E$41,0),0)</f>
        <v>0</v>
      </c>
      <c r="CF132" s="34">
        <f>IF(SUM($I132:CE132)&lt;1,IF($C132&lt;=CF$4,1/$E$41,0),0)</f>
        <v>0</v>
      </c>
      <c r="CG132" s="34">
        <f>IF(SUM($I132:CF132)&lt;1,IF($C132&lt;=CG$4,1/$E$41,0),0)</f>
        <v>0</v>
      </c>
      <c r="CH132" s="34">
        <f>IF(SUM($I132:CG132)&lt;1,IF($C132&lt;=CH$4,1/$E$41,0),0)</f>
        <v>0</v>
      </c>
      <c r="CI132" s="34">
        <f>IF(SUM($I132:CH132)&lt;1,IF($C132&lt;=CI$4,1/$E$41,0),0)</f>
        <v>0</v>
      </c>
      <c r="CJ132" s="34">
        <f>IF(SUM($I132:CI132)&lt;1,IF($C132&lt;=CJ$4,1/$E$41,0),0)</f>
        <v>0</v>
      </c>
      <c r="CK132" s="34">
        <f>IF(SUM($I132:CJ132)&lt;1,IF($C132&lt;=CK$4,1/$E$41,0),0)</f>
        <v>0</v>
      </c>
      <c r="CL132" s="34">
        <f>IF(SUM($I132:CK132)&lt;1,IF($C132&lt;=CL$4,1/$E$41,0),0)</f>
        <v>0</v>
      </c>
      <c r="CM132" s="34">
        <f>IF(SUM($I132:CL132)&lt;1,IF($C132&lt;=CM$4,1/$E$41,0),0)</f>
        <v>0</v>
      </c>
      <c r="CN132" s="34">
        <f>IF(SUM($I132:CM132)&lt;1,IF($C132&lt;=CN$4,1/$E$41,0),0)</f>
        <v>0</v>
      </c>
      <c r="CO132" s="34">
        <f>IF(SUM($I132:CN132)&lt;1,IF($C132&lt;=CO$4,1/$E$41,0),0)</f>
        <v>0</v>
      </c>
      <c r="CP132" s="34">
        <f>IF(SUM($I132:CO132)&lt;1,IF($C132&lt;=CP$4,1/$E$41,0),0)</f>
        <v>0</v>
      </c>
      <c r="CQ132" s="34">
        <f>IF(SUM($I132:CP132)&lt;1,IF($C132&lt;=CQ$4,1/$E$41,0),0)</f>
        <v>0</v>
      </c>
      <c r="CR132" s="34">
        <f>IF(SUM($I132:CQ132)&lt;1,IF($C132&lt;=CR$4,1/$E$41,0),0)</f>
        <v>0</v>
      </c>
      <c r="CS132" s="34">
        <f>IF(SUM($I132:CR132)&lt;1,IF($C132&lt;=CS$4,1/$E$41,0),0)</f>
        <v>0.25</v>
      </c>
      <c r="CT132" s="34">
        <f>IF(SUM($I132:CS132)&lt;1,IF($C132&lt;=CT$4,1/$E$41,0),0)</f>
        <v>0.25</v>
      </c>
      <c r="CU132" s="34">
        <f>IF(SUM($I132:CT132)&lt;1,IF($C132&lt;=CU$4,1/$E$41,0),0)</f>
        <v>0.25</v>
      </c>
      <c r="CV132" s="34">
        <f>IF(SUM($I132:CU132)&lt;1,IF($C132&lt;=CV$4,1/$E$41,0),0)</f>
        <v>0.25</v>
      </c>
      <c r="CW132" s="34">
        <f>IF(SUM($I132:CV132)&lt;1,IF($C132&lt;=CW$4,1/$E$41,0),0)</f>
        <v>0</v>
      </c>
      <c r="CX132" s="34">
        <f>IF(SUM($I132:CW132)&lt;1,IF($C132&lt;=CX$4,1/$E$41,0),0)</f>
        <v>0</v>
      </c>
      <c r="CY132" s="34">
        <f>IF(SUM($I132:CX132)&lt;1,IF($C132&lt;=CY$4,1/$E$41,0),0)</f>
        <v>0</v>
      </c>
      <c r="CZ132" s="34">
        <f>IF(SUM($I132:CY132)&lt;1,IF($C132&lt;=CZ$4,1/$E$41,0),0)</f>
        <v>0</v>
      </c>
      <c r="DA132" s="34">
        <f>IF(SUM($I132:CZ132)&lt;1,IF($C132&lt;=DA$4,1/$E$41,0),0)</f>
        <v>0</v>
      </c>
      <c r="DB132" s="34">
        <f>IF(SUM($I132:DA132)&lt;1,IF($C132&lt;=DB$4,1/$E$41,0),0)</f>
        <v>0</v>
      </c>
      <c r="DC132" s="34">
        <f>IF(SUM($I132:DB132)&lt;1,IF($C132&lt;=DC$4,1/$E$41,0),0)</f>
        <v>0</v>
      </c>
      <c r="DD132" s="34">
        <f>IF(SUM($I132:DC132)&lt;1,IF($C132&lt;=DD$4,1/$E$41,0),0)</f>
        <v>0</v>
      </c>
      <c r="DE132" s="34">
        <f>IF(SUM($I132:DD132)&lt;1,IF($C132&lt;=DE$4,1/$E$41,0),0)</f>
        <v>0</v>
      </c>
      <c r="DF132" s="34">
        <f>IF(SUM($I132:DE132)&lt;1,IF($C132&lt;=DF$4,1/$E$41,0),0)</f>
        <v>0</v>
      </c>
      <c r="DG132" s="34">
        <f>IF(SUM($I132:DF132)&lt;1,IF($C132&lt;=DG$4,1/$E$41,0),0)</f>
        <v>0</v>
      </c>
      <c r="DH132" s="34">
        <f>IF(SUM($I132:DG132)&lt;1,IF($C132&lt;=DH$4,1/$E$41,0),0)</f>
        <v>0</v>
      </c>
      <c r="DI132" s="34">
        <f>IF(SUM($I132:DH132)&lt;1,IF($C132&lt;=DI$4,1/$E$41,0),0)</f>
        <v>0</v>
      </c>
      <c r="DJ132" s="34">
        <f>IF(SUM($I132:DI132)&lt;1,IF($C132&lt;=DJ$4,1/$E$41,0),0)</f>
        <v>0</v>
      </c>
      <c r="DK132" s="34">
        <f>IF(SUM($I132:DJ132)&lt;1,IF($C132&lt;=DK$4,1/$E$41,0),0)</f>
        <v>0</v>
      </c>
      <c r="DL132" s="34">
        <f>IF(SUM($I132:DK132)&lt;1,IF($C132&lt;=DL$4,1/$E$41,0),0)</f>
        <v>0</v>
      </c>
      <c r="DM132" s="34">
        <f>IF(SUM($I132:DL132)&lt;1,IF($C132&lt;=DM$4,1/$E$41,0),0)</f>
        <v>0</v>
      </c>
    </row>
    <row r="133" spans="3:117" outlineLevel="1" x14ac:dyDescent="0.15">
      <c r="C133" s="50">
        <f t="shared" si="51"/>
        <v>89</v>
      </c>
      <c r="D133" s="5" t="s">
        <v>18</v>
      </c>
      <c r="E133" s="19">
        <f t="shared" si="50"/>
        <v>0</v>
      </c>
      <c r="I133" s="9"/>
      <c r="J133" s="34">
        <f>IF(SUM($I133:I133)&lt;1,IF($C133&lt;=J$4,1/$E$41,0),0)</f>
        <v>0</v>
      </c>
      <c r="K133" s="34">
        <f>IF(SUM($I133:J133)&lt;1,IF($C133&lt;=K$4,1/$E$41,0),0)</f>
        <v>0</v>
      </c>
      <c r="L133" s="34">
        <f>IF(SUM($I133:K133)&lt;1,IF($C133&lt;=L$4,1/$E$41,0),0)</f>
        <v>0</v>
      </c>
      <c r="M133" s="34">
        <f>IF(SUM($I133:L133)&lt;1,IF($C133&lt;=M$4,1/$E$41,0),0)</f>
        <v>0</v>
      </c>
      <c r="N133" s="34">
        <f>IF(SUM($I133:M133)&lt;1,IF($C133&lt;=N$4,1/$E$41,0),0)</f>
        <v>0</v>
      </c>
      <c r="O133" s="34">
        <f>IF(SUM($I133:N133)&lt;1,IF($C133&lt;=O$4,1/$E$41,0),0)</f>
        <v>0</v>
      </c>
      <c r="P133" s="34">
        <f>IF(SUM($I133:O133)&lt;1,IF($C133&lt;=P$4,1/$E$41,0),0)</f>
        <v>0</v>
      </c>
      <c r="Q133" s="34">
        <f>IF(SUM($I133:P133)&lt;1,IF($C133&lt;=Q$4,1/$E$41,0),0)</f>
        <v>0</v>
      </c>
      <c r="R133" s="34">
        <f>IF(SUM($I133:Q133)&lt;1,IF($C133&lt;=R$4,1/$E$41,0),0)</f>
        <v>0</v>
      </c>
      <c r="S133" s="34">
        <f>IF(SUM($I133:R133)&lt;1,IF($C133&lt;=S$4,1/$E$41,0),0)</f>
        <v>0</v>
      </c>
      <c r="T133" s="34">
        <f>IF(SUM($I133:S133)&lt;1,IF($C133&lt;=T$4,1/$E$41,0),0)</f>
        <v>0</v>
      </c>
      <c r="U133" s="34">
        <f>IF(SUM($I133:T133)&lt;1,IF($C133&lt;=U$4,1/$E$41,0),0)</f>
        <v>0</v>
      </c>
      <c r="V133" s="34">
        <f>IF(SUM($I133:U133)&lt;1,IF($C133&lt;=V$4,1/$E$41,0),0)</f>
        <v>0</v>
      </c>
      <c r="W133" s="34">
        <f>IF(SUM($I133:V133)&lt;1,IF($C133&lt;=W$4,1/$E$41,0),0)</f>
        <v>0</v>
      </c>
      <c r="X133" s="34">
        <f>IF(SUM($I133:W133)&lt;1,IF($C133&lt;=X$4,1/$E$41,0),0)</f>
        <v>0</v>
      </c>
      <c r="Y133" s="34">
        <f>IF(SUM($I133:X133)&lt;1,IF($C133&lt;=Y$4,1/$E$41,0),0)</f>
        <v>0</v>
      </c>
      <c r="Z133" s="34">
        <f>IF(SUM($I133:Y133)&lt;1,IF($C133&lt;=Z$4,1/$E$41,0),0)</f>
        <v>0</v>
      </c>
      <c r="AA133" s="34">
        <f>IF(SUM($I133:Z133)&lt;1,IF($C133&lt;=AA$4,1/$E$41,0),0)</f>
        <v>0</v>
      </c>
      <c r="AB133" s="34">
        <f>IF(SUM($I133:AA133)&lt;1,IF($C133&lt;=AB$4,1/$E$41,0),0)</f>
        <v>0</v>
      </c>
      <c r="AC133" s="34">
        <f>IF(SUM($I133:AB133)&lt;1,IF($C133&lt;=AC$4,1/$E$41,0),0)</f>
        <v>0</v>
      </c>
      <c r="AD133" s="34">
        <f>IF(SUM($I133:AC133)&lt;1,IF($C133&lt;=AD$4,1/$E$41,0),0)</f>
        <v>0</v>
      </c>
      <c r="AE133" s="34">
        <f>IF(SUM($I133:AD133)&lt;1,IF($C133&lt;=AE$4,1/$E$41,0),0)</f>
        <v>0</v>
      </c>
      <c r="AF133" s="34">
        <f>IF(SUM($I133:AE133)&lt;1,IF($C133&lt;=AF$4,1/$E$41,0),0)</f>
        <v>0</v>
      </c>
      <c r="AG133" s="34">
        <f>IF(SUM($I133:AF133)&lt;1,IF($C133&lt;=AG$4,1/$E$41,0),0)</f>
        <v>0</v>
      </c>
      <c r="AH133" s="34">
        <f>IF(SUM($I133:AG133)&lt;1,IF($C133&lt;=AH$4,1/$E$41,0),0)</f>
        <v>0</v>
      </c>
      <c r="AI133" s="34">
        <f>IF(SUM($I133:AH133)&lt;1,IF($C133&lt;=AI$4,1/$E$41,0),0)</f>
        <v>0</v>
      </c>
      <c r="AJ133" s="34">
        <f>IF(SUM($I133:AI133)&lt;1,IF($C133&lt;=AJ$4,1/$E$41,0),0)</f>
        <v>0</v>
      </c>
      <c r="AK133" s="34">
        <f>IF(SUM($I133:AJ133)&lt;1,IF($C133&lt;=AK$4,1/$E$41,0),0)</f>
        <v>0</v>
      </c>
      <c r="AL133" s="34">
        <f>IF(SUM($I133:AK133)&lt;1,IF($C133&lt;=AL$4,1/$E$41,0),0)</f>
        <v>0</v>
      </c>
      <c r="AM133" s="34">
        <f>IF(SUM($I133:AL133)&lt;1,IF($C133&lt;=AM$4,1/$E$41,0),0)</f>
        <v>0</v>
      </c>
      <c r="AN133" s="34">
        <f>IF(SUM($I133:AM133)&lt;1,IF($C133&lt;=AN$4,1/$E$41,0),0)</f>
        <v>0</v>
      </c>
      <c r="AO133" s="34">
        <f>IF(SUM($I133:AN133)&lt;1,IF($C133&lt;=AO$4,1/$E$41,0),0)</f>
        <v>0</v>
      </c>
      <c r="AP133" s="34">
        <f>IF(SUM($I133:AO133)&lt;1,IF($C133&lt;=AP$4,1/$E$41,0),0)</f>
        <v>0</v>
      </c>
      <c r="AQ133" s="34">
        <f>IF(SUM($I133:AP133)&lt;1,IF($C133&lt;=AQ$4,1/$E$41,0),0)</f>
        <v>0</v>
      </c>
      <c r="AR133" s="34">
        <f>IF(SUM($I133:AQ133)&lt;1,IF($C133&lt;=AR$4,1/$E$41,0),0)</f>
        <v>0</v>
      </c>
      <c r="AS133" s="34">
        <f>IF(SUM($I133:AR133)&lt;1,IF($C133&lt;=AS$4,1/$E$41,0),0)</f>
        <v>0</v>
      </c>
      <c r="AT133" s="34">
        <f>IF(SUM($I133:AS133)&lt;1,IF($C133&lt;=AT$4,1/$E$41,0),0)</f>
        <v>0</v>
      </c>
      <c r="AU133" s="34">
        <f>IF(SUM($I133:AT133)&lt;1,IF($C133&lt;=AU$4,1/$E$41,0),0)</f>
        <v>0</v>
      </c>
      <c r="AV133" s="34">
        <f>IF(SUM($I133:AU133)&lt;1,IF($C133&lt;=AV$4,1/$E$41,0),0)</f>
        <v>0</v>
      </c>
      <c r="AW133" s="34">
        <f>IF(SUM($I133:AV133)&lt;1,IF($C133&lt;=AW$4,1/$E$41,0),0)</f>
        <v>0</v>
      </c>
      <c r="AX133" s="34">
        <f>IF(SUM($I133:AW133)&lt;1,IF($C133&lt;=AX$4,1/$E$41,0),0)</f>
        <v>0</v>
      </c>
      <c r="AY133" s="34">
        <f>IF(SUM($I133:AX133)&lt;1,IF($C133&lt;=AY$4,1/$E$41,0),0)</f>
        <v>0</v>
      </c>
      <c r="AZ133" s="34">
        <f>IF(SUM($I133:AY133)&lt;1,IF($C133&lt;=AZ$4,1/$E$41,0),0)</f>
        <v>0</v>
      </c>
      <c r="BA133" s="34">
        <f>IF(SUM($I133:AZ133)&lt;1,IF($C133&lt;=BA$4,1/$E$41,0),0)</f>
        <v>0</v>
      </c>
      <c r="BB133" s="34">
        <f>IF(SUM($I133:BA133)&lt;1,IF($C133&lt;=BB$4,1/$E$41,0),0)</f>
        <v>0</v>
      </c>
      <c r="BC133" s="34">
        <f>IF(SUM($I133:BB133)&lt;1,IF($C133&lt;=BC$4,1/$E$41,0),0)</f>
        <v>0</v>
      </c>
      <c r="BD133" s="34">
        <f>IF(SUM($I133:BC133)&lt;1,IF($C133&lt;=BD$4,1/$E$41,0),0)</f>
        <v>0</v>
      </c>
      <c r="BE133" s="34">
        <f>IF(SUM($I133:BD133)&lt;1,IF($C133&lt;=BE$4,1/$E$41,0),0)</f>
        <v>0</v>
      </c>
      <c r="BF133" s="34">
        <f>IF(SUM($I133:BE133)&lt;1,IF($C133&lt;=BF$4,1/$E$41,0),0)</f>
        <v>0</v>
      </c>
      <c r="BG133" s="34">
        <f>IF(SUM($I133:BF133)&lt;1,IF($C133&lt;=BG$4,1/$E$41,0),0)</f>
        <v>0</v>
      </c>
      <c r="BH133" s="34">
        <f>IF(SUM($I133:BG133)&lt;1,IF($C133&lt;=BH$4,1/$E$41,0),0)</f>
        <v>0</v>
      </c>
      <c r="BI133" s="34">
        <f>IF(SUM($I133:BH133)&lt;1,IF($C133&lt;=BI$4,1/$E$41,0),0)</f>
        <v>0</v>
      </c>
      <c r="BJ133" s="34">
        <f>IF(SUM($I133:BI133)&lt;1,IF($C133&lt;=BJ$4,1/$E$41,0),0)</f>
        <v>0</v>
      </c>
      <c r="BK133" s="34">
        <f>IF(SUM($I133:BJ133)&lt;1,IF($C133&lt;=BK$4,1/$E$41,0),0)</f>
        <v>0</v>
      </c>
      <c r="BL133" s="34">
        <f>IF(SUM($I133:BK133)&lt;1,IF($C133&lt;=BL$4,1/$E$41,0),0)</f>
        <v>0</v>
      </c>
      <c r="BM133" s="34">
        <f>IF(SUM($I133:BL133)&lt;1,IF($C133&lt;=BM$4,1/$E$41,0),0)</f>
        <v>0</v>
      </c>
      <c r="BN133" s="34">
        <f>IF(SUM($I133:BM133)&lt;1,IF($C133&lt;=BN$4,1/$E$41,0),0)</f>
        <v>0</v>
      </c>
      <c r="BO133" s="34">
        <f>IF(SUM($I133:BN133)&lt;1,IF($C133&lt;=BO$4,1/$E$41,0),0)</f>
        <v>0</v>
      </c>
      <c r="BP133" s="34">
        <f>IF(SUM($I133:BO133)&lt;1,IF($C133&lt;=BP$4,1/$E$41,0),0)</f>
        <v>0</v>
      </c>
      <c r="BQ133" s="34">
        <f>IF(SUM($I133:BP133)&lt;1,IF($C133&lt;=BQ$4,1/$E$41,0),0)</f>
        <v>0</v>
      </c>
      <c r="BR133" s="34">
        <f>IF(SUM($I133:BQ133)&lt;1,IF($C133&lt;=BR$4,1/$E$41,0),0)</f>
        <v>0</v>
      </c>
      <c r="BS133" s="34">
        <f>IF(SUM($I133:BR133)&lt;1,IF($C133&lt;=BS$4,1/$E$41,0),0)</f>
        <v>0</v>
      </c>
      <c r="BT133" s="34">
        <f>IF(SUM($I133:BS133)&lt;1,IF($C133&lt;=BT$4,1/$E$41,0),0)</f>
        <v>0</v>
      </c>
      <c r="BU133" s="34">
        <f>IF(SUM($I133:BT133)&lt;1,IF($C133&lt;=BU$4,1/$E$41,0),0)</f>
        <v>0</v>
      </c>
      <c r="BV133" s="34">
        <f>IF(SUM($I133:BU133)&lt;1,IF($C133&lt;=BV$4,1/$E$41,0),0)</f>
        <v>0</v>
      </c>
      <c r="BW133" s="34">
        <f>IF(SUM($I133:BV133)&lt;1,IF($C133&lt;=BW$4,1/$E$41,0),0)</f>
        <v>0</v>
      </c>
      <c r="BX133" s="34">
        <f>IF(SUM($I133:BW133)&lt;1,IF($C133&lt;=BX$4,1/$E$41,0),0)</f>
        <v>0</v>
      </c>
      <c r="BY133" s="34">
        <f>IF(SUM($I133:BX133)&lt;1,IF($C133&lt;=BY$4,1/$E$41,0),0)</f>
        <v>0</v>
      </c>
      <c r="BZ133" s="34">
        <f>IF(SUM($I133:BY133)&lt;1,IF($C133&lt;=BZ$4,1/$E$41,0),0)</f>
        <v>0</v>
      </c>
      <c r="CA133" s="34">
        <f>IF(SUM($I133:BZ133)&lt;1,IF($C133&lt;=CA$4,1/$E$41,0),0)</f>
        <v>0</v>
      </c>
      <c r="CB133" s="34">
        <f>IF(SUM($I133:CA133)&lt;1,IF($C133&lt;=CB$4,1/$E$41,0),0)</f>
        <v>0</v>
      </c>
      <c r="CC133" s="34">
        <f>IF(SUM($I133:CB133)&lt;1,IF($C133&lt;=CC$4,1/$E$41,0),0)</f>
        <v>0</v>
      </c>
      <c r="CD133" s="34">
        <f>IF(SUM($I133:CC133)&lt;1,IF($C133&lt;=CD$4,1/$E$41,0),0)</f>
        <v>0</v>
      </c>
      <c r="CE133" s="34">
        <f>IF(SUM($I133:CD133)&lt;1,IF($C133&lt;=CE$4,1/$E$41,0),0)</f>
        <v>0</v>
      </c>
      <c r="CF133" s="34">
        <f>IF(SUM($I133:CE133)&lt;1,IF($C133&lt;=CF$4,1/$E$41,0),0)</f>
        <v>0</v>
      </c>
      <c r="CG133" s="34">
        <f>IF(SUM($I133:CF133)&lt;1,IF($C133&lt;=CG$4,1/$E$41,0),0)</f>
        <v>0</v>
      </c>
      <c r="CH133" s="34">
        <f>IF(SUM($I133:CG133)&lt;1,IF($C133&lt;=CH$4,1/$E$41,0),0)</f>
        <v>0</v>
      </c>
      <c r="CI133" s="34">
        <f>IF(SUM($I133:CH133)&lt;1,IF($C133&lt;=CI$4,1/$E$41,0),0)</f>
        <v>0</v>
      </c>
      <c r="CJ133" s="34">
        <f>IF(SUM($I133:CI133)&lt;1,IF($C133&lt;=CJ$4,1/$E$41,0),0)</f>
        <v>0</v>
      </c>
      <c r="CK133" s="34">
        <f>IF(SUM($I133:CJ133)&lt;1,IF($C133&lt;=CK$4,1/$E$41,0),0)</f>
        <v>0</v>
      </c>
      <c r="CL133" s="34">
        <f>IF(SUM($I133:CK133)&lt;1,IF($C133&lt;=CL$4,1/$E$41,0),0)</f>
        <v>0</v>
      </c>
      <c r="CM133" s="34">
        <f>IF(SUM($I133:CL133)&lt;1,IF($C133&lt;=CM$4,1/$E$41,0),0)</f>
        <v>0</v>
      </c>
      <c r="CN133" s="34">
        <f>IF(SUM($I133:CM133)&lt;1,IF($C133&lt;=CN$4,1/$E$41,0),0)</f>
        <v>0</v>
      </c>
      <c r="CO133" s="34">
        <f>IF(SUM($I133:CN133)&lt;1,IF($C133&lt;=CO$4,1/$E$41,0),0)</f>
        <v>0</v>
      </c>
      <c r="CP133" s="34">
        <f>IF(SUM($I133:CO133)&lt;1,IF($C133&lt;=CP$4,1/$E$41,0),0)</f>
        <v>0</v>
      </c>
      <c r="CQ133" s="34">
        <f>IF(SUM($I133:CP133)&lt;1,IF($C133&lt;=CQ$4,1/$E$41,0),0)</f>
        <v>0</v>
      </c>
      <c r="CR133" s="34">
        <f>IF(SUM($I133:CQ133)&lt;1,IF($C133&lt;=CR$4,1/$E$41,0),0)</f>
        <v>0</v>
      </c>
      <c r="CS133" s="34">
        <f>IF(SUM($I133:CR133)&lt;1,IF($C133&lt;=CS$4,1/$E$41,0),0)</f>
        <v>0</v>
      </c>
      <c r="CT133" s="34">
        <f>IF(SUM($I133:CS133)&lt;1,IF($C133&lt;=CT$4,1/$E$41,0),0)</f>
        <v>0.25</v>
      </c>
      <c r="CU133" s="34">
        <f>IF(SUM($I133:CT133)&lt;1,IF($C133&lt;=CU$4,1/$E$41,0),0)</f>
        <v>0.25</v>
      </c>
      <c r="CV133" s="34">
        <f>IF(SUM($I133:CU133)&lt;1,IF($C133&lt;=CV$4,1/$E$41,0),0)</f>
        <v>0.25</v>
      </c>
      <c r="CW133" s="34">
        <f>IF(SUM($I133:CV133)&lt;1,IF($C133&lt;=CW$4,1/$E$41,0),0)</f>
        <v>0.25</v>
      </c>
      <c r="CX133" s="34">
        <f>IF(SUM($I133:CW133)&lt;1,IF($C133&lt;=CX$4,1/$E$41,0),0)</f>
        <v>0</v>
      </c>
      <c r="CY133" s="34">
        <f>IF(SUM($I133:CX133)&lt;1,IF($C133&lt;=CY$4,1/$E$41,0),0)</f>
        <v>0</v>
      </c>
      <c r="CZ133" s="34">
        <f>IF(SUM($I133:CY133)&lt;1,IF($C133&lt;=CZ$4,1/$E$41,0),0)</f>
        <v>0</v>
      </c>
      <c r="DA133" s="34">
        <f>IF(SUM($I133:CZ133)&lt;1,IF($C133&lt;=DA$4,1/$E$41,0),0)</f>
        <v>0</v>
      </c>
      <c r="DB133" s="34">
        <f>IF(SUM($I133:DA133)&lt;1,IF($C133&lt;=DB$4,1/$E$41,0),0)</f>
        <v>0</v>
      </c>
      <c r="DC133" s="34">
        <f>IF(SUM($I133:DB133)&lt;1,IF($C133&lt;=DC$4,1/$E$41,0),0)</f>
        <v>0</v>
      </c>
      <c r="DD133" s="34">
        <f>IF(SUM($I133:DC133)&lt;1,IF($C133&lt;=DD$4,1/$E$41,0),0)</f>
        <v>0</v>
      </c>
      <c r="DE133" s="34">
        <f>IF(SUM($I133:DD133)&lt;1,IF($C133&lt;=DE$4,1/$E$41,0),0)</f>
        <v>0</v>
      </c>
      <c r="DF133" s="34">
        <f>IF(SUM($I133:DE133)&lt;1,IF($C133&lt;=DF$4,1/$E$41,0),0)</f>
        <v>0</v>
      </c>
      <c r="DG133" s="34">
        <f>IF(SUM($I133:DF133)&lt;1,IF($C133&lt;=DG$4,1/$E$41,0),0)</f>
        <v>0</v>
      </c>
      <c r="DH133" s="34">
        <f>IF(SUM($I133:DG133)&lt;1,IF($C133&lt;=DH$4,1/$E$41,0),0)</f>
        <v>0</v>
      </c>
      <c r="DI133" s="34">
        <f>IF(SUM($I133:DH133)&lt;1,IF($C133&lt;=DI$4,1/$E$41,0),0)</f>
        <v>0</v>
      </c>
      <c r="DJ133" s="34">
        <f>IF(SUM($I133:DI133)&lt;1,IF($C133&lt;=DJ$4,1/$E$41,0),0)</f>
        <v>0</v>
      </c>
      <c r="DK133" s="34">
        <f>IF(SUM($I133:DJ133)&lt;1,IF($C133&lt;=DK$4,1/$E$41,0),0)</f>
        <v>0</v>
      </c>
      <c r="DL133" s="34">
        <f>IF(SUM($I133:DK133)&lt;1,IF($C133&lt;=DL$4,1/$E$41,0),0)</f>
        <v>0</v>
      </c>
      <c r="DM133" s="34">
        <f>IF(SUM($I133:DL133)&lt;1,IF($C133&lt;=DM$4,1/$E$41,0),0)</f>
        <v>0</v>
      </c>
    </row>
    <row r="134" spans="3:117" outlineLevel="1" x14ac:dyDescent="0.15">
      <c r="C134" s="50">
        <f t="shared" si="51"/>
        <v>90</v>
      </c>
      <c r="D134" s="5" t="s">
        <v>18</v>
      </c>
      <c r="E134" s="19">
        <f t="shared" si="50"/>
        <v>0</v>
      </c>
      <c r="I134" s="9"/>
      <c r="J134" s="34">
        <f>IF(SUM($I134:I134)&lt;1,IF($C134&lt;=J$4,1/$E$41,0),0)</f>
        <v>0</v>
      </c>
      <c r="K134" s="34">
        <f>IF(SUM($I134:J134)&lt;1,IF($C134&lt;=K$4,1/$E$41,0),0)</f>
        <v>0</v>
      </c>
      <c r="L134" s="34">
        <f>IF(SUM($I134:K134)&lt;1,IF($C134&lt;=L$4,1/$E$41,0),0)</f>
        <v>0</v>
      </c>
      <c r="M134" s="34">
        <f>IF(SUM($I134:L134)&lt;1,IF($C134&lt;=M$4,1/$E$41,0),0)</f>
        <v>0</v>
      </c>
      <c r="N134" s="34">
        <f>IF(SUM($I134:M134)&lt;1,IF($C134&lt;=N$4,1/$E$41,0),0)</f>
        <v>0</v>
      </c>
      <c r="O134" s="34">
        <f>IF(SUM($I134:N134)&lt;1,IF($C134&lt;=O$4,1/$E$41,0),0)</f>
        <v>0</v>
      </c>
      <c r="P134" s="34">
        <f>IF(SUM($I134:O134)&lt;1,IF($C134&lt;=P$4,1/$E$41,0),0)</f>
        <v>0</v>
      </c>
      <c r="Q134" s="34">
        <f>IF(SUM($I134:P134)&lt;1,IF($C134&lt;=Q$4,1/$E$41,0),0)</f>
        <v>0</v>
      </c>
      <c r="R134" s="34">
        <f>IF(SUM($I134:Q134)&lt;1,IF($C134&lt;=R$4,1/$E$41,0),0)</f>
        <v>0</v>
      </c>
      <c r="S134" s="34">
        <f>IF(SUM($I134:R134)&lt;1,IF($C134&lt;=S$4,1/$E$41,0),0)</f>
        <v>0</v>
      </c>
      <c r="T134" s="34">
        <f>IF(SUM($I134:S134)&lt;1,IF($C134&lt;=T$4,1/$E$41,0),0)</f>
        <v>0</v>
      </c>
      <c r="U134" s="34">
        <f>IF(SUM($I134:T134)&lt;1,IF($C134&lt;=U$4,1/$E$41,0),0)</f>
        <v>0</v>
      </c>
      <c r="V134" s="34">
        <f>IF(SUM($I134:U134)&lt;1,IF($C134&lt;=V$4,1/$E$41,0),0)</f>
        <v>0</v>
      </c>
      <c r="W134" s="34">
        <f>IF(SUM($I134:V134)&lt;1,IF($C134&lt;=W$4,1/$E$41,0),0)</f>
        <v>0</v>
      </c>
      <c r="X134" s="34">
        <f>IF(SUM($I134:W134)&lt;1,IF($C134&lt;=X$4,1/$E$41,0),0)</f>
        <v>0</v>
      </c>
      <c r="Y134" s="34">
        <f>IF(SUM($I134:X134)&lt;1,IF($C134&lt;=Y$4,1/$E$41,0),0)</f>
        <v>0</v>
      </c>
      <c r="Z134" s="34">
        <f>IF(SUM($I134:Y134)&lt;1,IF($C134&lt;=Z$4,1/$E$41,0),0)</f>
        <v>0</v>
      </c>
      <c r="AA134" s="34">
        <f>IF(SUM($I134:Z134)&lt;1,IF($C134&lt;=AA$4,1/$E$41,0),0)</f>
        <v>0</v>
      </c>
      <c r="AB134" s="34">
        <f>IF(SUM($I134:AA134)&lt;1,IF($C134&lt;=AB$4,1/$E$41,0),0)</f>
        <v>0</v>
      </c>
      <c r="AC134" s="34">
        <f>IF(SUM($I134:AB134)&lt;1,IF($C134&lt;=AC$4,1/$E$41,0),0)</f>
        <v>0</v>
      </c>
      <c r="AD134" s="34">
        <f>IF(SUM($I134:AC134)&lt;1,IF($C134&lt;=AD$4,1/$E$41,0),0)</f>
        <v>0</v>
      </c>
      <c r="AE134" s="34">
        <f>IF(SUM($I134:AD134)&lt;1,IF($C134&lt;=AE$4,1/$E$41,0),0)</f>
        <v>0</v>
      </c>
      <c r="AF134" s="34">
        <f>IF(SUM($I134:AE134)&lt;1,IF($C134&lt;=AF$4,1/$E$41,0),0)</f>
        <v>0</v>
      </c>
      <c r="AG134" s="34">
        <f>IF(SUM($I134:AF134)&lt;1,IF($C134&lt;=AG$4,1/$E$41,0),0)</f>
        <v>0</v>
      </c>
      <c r="AH134" s="34">
        <f>IF(SUM($I134:AG134)&lt;1,IF($C134&lt;=AH$4,1/$E$41,0),0)</f>
        <v>0</v>
      </c>
      <c r="AI134" s="34">
        <f>IF(SUM($I134:AH134)&lt;1,IF($C134&lt;=AI$4,1/$E$41,0),0)</f>
        <v>0</v>
      </c>
      <c r="AJ134" s="34">
        <f>IF(SUM($I134:AI134)&lt;1,IF($C134&lt;=AJ$4,1/$E$41,0),0)</f>
        <v>0</v>
      </c>
      <c r="AK134" s="34">
        <f>IF(SUM($I134:AJ134)&lt;1,IF($C134&lt;=AK$4,1/$E$41,0),0)</f>
        <v>0</v>
      </c>
      <c r="AL134" s="34">
        <f>IF(SUM($I134:AK134)&lt;1,IF($C134&lt;=AL$4,1/$E$41,0),0)</f>
        <v>0</v>
      </c>
      <c r="AM134" s="34">
        <f>IF(SUM($I134:AL134)&lt;1,IF($C134&lt;=AM$4,1/$E$41,0),0)</f>
        <v>0</v>
      </c>
      <c r="AN134" s="34">
        <f>IF(SUM($I134:AM134)&lt;1,IF($C134&lt;=AN$4,1/$E$41,0),0)</f>
        <v>0</v>
      </c>
      <c r="AO134" s="34">
        <f>IF(SUM($I134:AN134)&lt;1,IF($C134&lt;=AO$4,1/$E$41,0),0)</f>
        <v>0</v>
      </c>
      <c r="AP134" s="34">
        <f>IF(SUM($I134:AO134)&lt;1,IF($C134&lt;=AP$4,1/$E$41,0),0)</f>
        <v>0</v>
      </c>
      <c r="AQ134" s="34">
        <f>IF(SUM($I134:AP134)&lt;1,IF($C134&lt;=AQ$4,1/$E$41,0),0)</f>
        <v>0</v>
      </c>
      <c r="AR134" s="34">
        <f>IF(SUM($I134:AQ134)&lt;1,IF($C134&lt;=AR$4,1/$E$41,0),0)</f>
        <v>0</v>
      </c>
      <c r="AS134" s="34">
        <f>IF(SUM($I134:AR134)&lt;1,IF($C134&lt;=AS$4,1/$E$41,0),0)</f>
        <v>0</v>
      </c>
      <c r="AT134" s="34">
        <f>IF(SUM($I134:AS134)&lt;1,IF($C134&lt;=AT$4,1/$E$41,0),0)</f>
        <v>0</v>
      </c>
      <c r="AU134" s="34">
        <f>IF(SUM($I134:AT134)&lt;1,IF($C134&lt;=AU$4,1/$E$41,0),0)</f>
        <v>0</v>
      </c>
      <c r="AV134" s="34">
        <f>IF(SUM($I134:AU134)&lt;1,IF($C134&lt;=AV$4,1/$E$41,0),0)</f>
        <v>0</v>
      </c>
      <c r="AW134" s="34">
        <f>IF(SUM($I134:AV134)&lt;1,IF($C134&lt;=AW$4,1/$E$41,0),0)</f>
        <v>0</v>
      </c>
      <c r="AX134" s="34">
        <f>IF(SUM($I134:AW134)&lt;1,IF($C134&lt;=AX$4,1/$E$41,0),0)</f>
        <v>0</v>
      </c>
      <c r="AY134" s="34">
        <f>IF(SUM($I134:AX134)&lt;1,IF($C134&lt;=AY$4,1/$E$41,0),0)</f>
        <v>0</v>
      </c>
      <c r="AZ134" s="34">
        <f>IF(SUM($I134:AY134)&lt;1,IF($C134&lt;=AZ$4,1/$E$41,0),0)</f>
        <v>0</v>
      </c>
      <c r="BA134" s="34">
        <f>IF(SUM($I134:AZ134)&lt;1,IF($C134&lt;=BA$4,1/$E$41,0),0)</f>
        <v>0</v>
      </c>
      <c r="BB134" s="34">
        <f>IF(SUM($I134:BA134)&lt;1,IF($C134&lt;=BB$4,1/$E$41,0),0)</f>
        <v>0</v>
      </c>
      <c r="BC134" s="34">
        <f>IF(SUM($I134:BB134)&lt;1,IF($C134&lt;=BC$4,1/$E$41,0),0)</f>
        <v>0</v>
      </c>
      <c r="BD134" s="34">
        <f>IF(SUM($I134:BC134)&lt;1,IF($C134&lt;=BD$4,1/$E$41,0),0)</f>
        <v>0</v>
      </c>
      <c r="BE134" s="34">
        <f>IF(SUM($I134:BD134)&lt;1,IF($C134&lt;=BE$4,1/$E$41,0),0)</f>
        <v>0</v>
      </c>
      <c r="BF134" s="34">
        <f>IF(SUM($I134:BE134)&lt;1,IF($C134&lt;=BF$4,1/$E$41,0),0)</f>
        <v>0</v>
      </c>
      <c r="BG134" s="34">
        <f>IF(SUM($I134:BF134)&lt;1,IF($C134&lt;=BG$4,1/$E$41,0),0)</f>
        <v>0</v>
      </c>
      <c r="BH134" s="34">
        <f>IF(SUM($I134:BG134)&lt;1,IF($C134&lt;=BH$4,1/$E$41,0),0)</f>
        <v>0</v>
      </c>
      <c r="BI134" s="34">
        <f>IF(SUM($I134:BH134)&lt;1,IF($C134&lt;=BI$4,1/$E$41,0),0)</f>
        <v>0</v>
      </c>
      <c r="BJ134" s="34">
        <f>IF(SUM($I134:BI134)&lt;1,IF($C134&lt;=BJ$4,1/$E$41,0),0)</f>
        <v>0</v>
      </c>
      <c r="BK134" s="34">
        <f>IF(SUM($I134:BJ134)&lt;1,IF($C134&lt;=BK$4,1/$E$41,0),0)</f>
        <v>0</v>
      </c>
      <c r="BL134" s="34">
        <f>IF(SUM($I134:BK134)&lt;1,IF($C134&lt;=BL$4,1/$E$41,0),0)</f>
        <v>0</v>
      </c>
      <c r="BM134" s="34">
        <f>IF(SUM($I134:BL134)&lt;1,IF($C134&lt;=BM$4,1/$E$41,0),0)</f>
        <v>0</v>
      </c>
      <c r="BN134" s="34">
        <f>IF(SUM($I134:BM134)&lt;1,IF($C134&lt;=BN$4,1/$E$41,0),0)</f>
        <v>0</v>
      </c>
      <c r="BO134" s="34">
        <f>IF(SUM($I134:BN134)&lt;1,IF($C134&lt;=BO$4,1/$E$41,0),0)</f>
        <v>0</v>
      </c>
      <c r="BP134" s="34">
        <f>IF(SUM($I134:BO134)&lt;1,IF($C134&lt;=BP$4,1/$E$41,0),0)</f>
        <v>0</v>
      </c>
      <c r="BQ134" s="34">
        <f>IF(SUM($I134:BP134)&lt;1,IF($C134&lt;=BQ$4,1/$E$41,0),0)</f>
        <v>0</v>
      </c>
      <c r="BR134" s="34">
        <f>IF(SUM($I134:BQ134)&lt;1,IF($C134&lt;=BR$4,1/$E$41,0),0)</f>
        <v>0</v>
      </c>
      <c r="BS134" s="34">
        <f>IF(SUM($I134:BR134)&lt;1,IF($C134&lt;=BS$4,1/$E$41,0),0)</f>
        <v>0</v>
      </c>
      <c r="BT134" s="34">
        <f>IF(SUM($I134:BS134)&lt;1,IF($C134&lt;=BT$4,1/$E$41,0),0)</f>
        <v>0</v>
      </c>
      <c r="BU134" s="34">
        <f>IF(SUM($I134:BT134)&lt;1,IF($C134&lt;=BU$4,1/$E$41,0),0)</f>
        <v>0</v>
      </c>
      <c r="BV134" s="34">
        <f>IF(SUM($I134:BU134)&lt;1,IF($C134&lt;=BV$4,1/$E$41,0),0)</f>
        <v>0</v>
      </c>
      <c r="BW134" s="34">
        <f>IF(SUM($I134:BV134)&lt;1,IF($C134&lt;=BW$4,1/$E$41,0),0)</f>
        <v>0</v>
      </c>
      <c r="BX134" s="34">
        <f>IF(SUM($I134:BW134)&lt;1,IF($C134&lt;=BX$4,1/$E$41,0),0)</f>
        <v>0</v>
      </c>
      <c r="BY134" s="34">
        <f>IF(SUM($I134:BX134)&lt;1,IF($C134&lt;=BY$4,1/$E$41,0),0)</f>
        <v>0</v>
      </c>
      <c r="BZ134" s="34">
        <f>IF(SUM($I134:BY134)&lt;1,IF($C134&lt;=BZ$4,1/$E$41,0),0)</f>
        <v>0</v>
      </c>
      <c r="CA134" s="34">
        <f>IF(SUM($I134:BZ134)&lt;1,IF($C134&lt;=CA$4,1/$E$41,0),0)</f>
        <v>0</v>
      </c>
      <c r="CB134" s="34">
        <f>IF(SUM($I134:CA134)&lt;1,IF($C134&lt;=CB$4,1/$E$41,0),0)</f>
        <v>0</v>
      </c>
      <c r="CC134" s="34">
        <f>IF(SUM($I134:CB134)&lt;1,IF($C134&lt;=CC$4,1/$E$41,0),0)</f>
        <v>0</v>
      </c>
      <c r="CD134" s="34">
        <f>IF(SUM($I134:CC134)&lt;1,IF($C134&lt;=CD$4,1/$E$41,0),0)</f>
        <v>0</v>
      </c>
      <c r="CE134" s="34">
        <f>IF(SUM($I134:CD134)&lt;1,IF($C134&lt;=CE$4,1/$E$41,0),0)</f>
        <v>0</v>
      </c>
      <c r="CF134" s="34">
        <f>IF(SUM($I134:CE134)&lt;1,IF($C134&lt;=CF$4,1/$E$41,0),0)</f>
        <v>0</v>
      </c>
      <c r="CG134" s="34">
        <f>IF(SUM($I134:CF134)&lt;1,IF($C134&lt;=CG$4,1/$E$41,0),0)</f>
        <v>0</v>
      </c>
      <c r="CH134" s="34">
        <f>IF(SUM($I134:CG134)&lt;1,IF($C134&lt;=CH$4,1/$E$41,0),0)</f>
        <v>0</v>
      </c>
      <c r="CI134" s="34">
        <f>IF(SUM($I134:CH134)&lt;1,IF($C134&lt;=CI$4,1/$E$41,0),0)</f>
        <v>0</v>
      </c>
      <c r="CJ134" s="34">
        <f>IF(SUM($I134:CI134)&lt;1,IF($C134&lt;=CJ$4,1/$E$41,0),0)</f>
        <v>0</v>
      </c>
      <c r="CK134" s="34">
        <f>IF(SUM($I134:CJ134)&lt;1,IF($C134&lt;=CK$4,1/$E$41,0),0)</f>
        <v>0</v>
      </c>
      <c r="CL134" s="34">
        <f>IF(SUM($I134:CK134)&lt;1,IF($C134&lt;=CL$4,1/$E$41,0),0)</f>
        <v>0</v>
      </c>
      <c r="CM134" s="34">
        <f>IF(SUM($I134:CL134)&lt;1,IF($C134&lt;=CM$4,1/$E$41,0),0)</f>
        <v>0</v>
      </c>
      <c r="CN134" s="34">
        <f>IF(SUM($I134:CM134)&lt;1,IF($C134&lt;=CN$4,1/$E$41,0),0)</f>
        <v>0</v>
      </c>
      <c r="CO134" s="34">
        <f>IF(SUM($I134:CN134)&lt;1,IF($C134&lt;=CO$4,1/$E$41,0),0)</f>
        <v>0</v>
      </c>
      <c r="CP134" s="34">
        <f>IF(SUM($I134:CO134)&lt;1,IF($C134&lt;=CP$4,1/$E$41,0),0)</f>
        <v>0</v>
      </c>
      <c r="CQ134" s="34">
        <f>IF(SUM($I134:CP134)&lt;1,IF($C134&lt;=CQ$4,1/$E$41,0),0)</f>
        <v>0</v>
      </c>
      <c r="CR134" s="34">
        <f>IF(SUM($I134:CQ134)&lt;1,IF($C134&lt;=CR$4,1/$E$41,0),0)</f>
        <v>0</v>
      </c>
      <c r="CS134" s="34">
        <f>IF(SUM($I134:CR134)&lt;1,IF($C134&lt;=CS$4,1/$E$41,0),0)</f>
        <v>0</v>
      </c>
      <c r="CT134" s="34">
        <f>IF(SUM($I134:CS134)&lt;1,IF($C134&lt;=CT$4,1/$E$41,0),0)</f>
        <v>0</v>
      </c>
      <c r="CU134" s="34">
        <f>IF(SUM($I134:CT134)&lt;1,IF($C134&lt;=CU$4,1/$E$41,0),0)</f>
        <v>0.25</v>
      </c>
      <c r="CV134" s="34">
        <f>IF(SUM($I134:CU134)&lt;1,IF($C134&lt;=CV$4,1/$E$41,0),0)</f>
        <v>0.25</v>
      </c>
      <c r="CW134" s="34">
        <f>IF(SUM($I134:CV134)&lt;1,IF($C134&lt;=CW$4,1/$E$41,0),0)</f>
        <v>0.25</v>
      </c>
      <c r="CX134" s="34">
        <f>IF(SUM($I134:CW134)&lt;1,IF($C134&lt;=CX$4,1/$E$41,0),0)</f>
        <v>0.25</v>
      </c>
      <c r="CY134" s="34">
        <f>IF(SUM($I134:CX134)&lt;1,IF($C134&lt;=CY$4,1/$E$41,0),0)</f>
        <v>0</v>
      </c>
      <c r="CZ134" s="34">
        <f>IF(SUM($I134:CY134)&lt;1,IF($C134&lt;=CZ$4,1/$E$41,0),0)</f>
        <v>0</v>
      </c>
      <c r="DA134" s="34">
        <f>IF(SUM($I134:CZ134)&lt;1,IF($C134&lt;=DA$4,1/$E$41,0),0)</f>
        <v>0</v>
      </c>
      <c r="DB134" s="34">
        <f>IF(SUM($I134:DA134)&lt;1,IF($C134&lt;=DB$4,1/$E$41,0),0)</f>
        <v>0</v>
      </c>
      <c r="DC134" s="34">
        <f>IF(SUM($I134:DB134)&lt;1,IF($C134&lt;=DC$4,1/$E$41,0),0)</f>
        <v>0</v>
      </c>
      <c r="DD134" s="34">
        <f>IF(SUM($I134:DC134)&lt;1,IF($C134&lt;=DD$4,1/$E$41,0),0)</f>
        <v>0</v>
      </c>
      <c r="DE134" s="34">
        <f>IF(SUM($I134:DD134)&lt;1,IF($C134&lt;=DE$4,1/$E$41,0),0)</f>
        <v>0</v>
      </c>
      <c r="DF134" s="34">
        <f>IF(SUM($I134:DE134)&lt;1,IF($C134&lt;=DF$4,1/$E$41,0),0)</f>
        <v>0</v>
      </c>
      <c r="DG134" s="34">
        <f>IF(SUM($I134:DF134)&lt;1,IF($C134&lt;=DG$4,1/$E$41,0),0)</f>
        <v>0</v>
      </c>
      <c r="DH134" s="34">
        <f>IF(SUM($I134:DG134)&lt;1,IF($C134&lt;=DH$4,1/$E$41,0),0)</f>
        <v>0</v>
      </c>
      <c r="DI134" s="34">
        <f>IF(SUM($I134:DH134)&lt;1,IF($C134&lt;=DI$4,1/$E$41,0),0)</f>
        <v>0</v>
      </c>
      <c r="DJ134" s="34">
        <f>IF(SUM($I134:DI134)&lt;1,IF($C134&lt;=DJ$4,1/$E$41,0),0)</f>
        <v>0</v>
      </c>
      <c r="DK134" s="34">
        <f>IF(SUM($I134:DJ134)&lt;1,IF($C134&lt;=DK$4,1/$E$41,0),0)</f>
        <v>0</v>
      </c>
      <c r="DL134" s="34">
        <f>IF(SUM($I134:DK134)&lt;1,IF($C134&lt;=DL$4,1/$E$41,0),0)</f>
        <v>0</v>
      </c>
      <c r="DM134" s="34">
        <f>IF(SUM($I134:DL134)&lt;1,IF($C134&lt;=DM$4,1/$E$41,0),0)</f>
        <v>0</v>
      </c>
    </row>
    <row r="135" spans="3:117" outlineLevel="1" x14ac:dyDescent="0.15">
      <c r="C135" s="50">
        <f t="shared" si="51"/>
        <v>91</v>
      </c>
      <c r="D135" s="5" t="s">
        <v>18</v>
      </c>
      <c r="E135" s="19">
        <f t="shared" si="50"/>
        <v>0</v>
      </c>
      <c r="I135" s="9"/>
      <c r="J135" s="34">
        <f>IF(SUM($I135:I135)&lt;1,IF($C135&lt;=J$4,1/$E$41,0),0)</f>
        <v>0</v>
      </c>
      <c r="K135" s="34">
        <f>IF(SUM($I135:J135)&lt;1,IF($C135&lt;=K$4,1/$E$41,0),0)</f>
        <v>0</v>
      </c>
      <c r="L135" s="34">
        <f>IF(SUM($I135:K135)&lt;1,IF($C135&lt;=L$4,1/$E$41,0),0)</f>
        <v>0</v>
      </c>
      <c r="M135" s="34">
        <f>IF(SUM($I135:L135)&lt;1,IF($C135&lt;=M$4,1/$E$41,0),0)</f>
        <v>0</v>
      </c>
      <c r="N135" s="34">
        <f>IF(SUM($I135:M135)&lt;1,IF($C135&lt;=N$4,1/$E$41,0),0)</f>
        <v>0</v>
      </c>
      <c r="O135" s="34">
        <f>IF(SUM($I135:N135)&lt;1,IF($C135&lt;=O$4,1/$E$41,0),0)</f>
        <v>0</v>
      </c>
      <c r="P135" s="34">
        <f>IF(SUM($I135:O135)&lt;1,IF($C135&lt;=P$4,1/$E$41,0),0)</f>
        <v>0</v>
      </c>
      <c r="Q135" s="34">
        <f>IF(SUM($I135:P135)&lt;1,IF($C135&lt;=Q$4,1/$E$41,0),0)</f>
        <v>0</v>
      </c>
      <c r="R135" s="34">
        <f>IF(SUM($I135:Q135)&lt;1,IF($C135&lt;=R$4,1/$E$41,0),0)</f>
        <v>0</v>
      </c>
      <c r="S135" s="34">
        <f>IF(SUM($I135:R135)&lt;1,IF($C135&lt;=S$4,1/$E$41,0),0)</f>
        <v>0</v>
      </c>
      <c r="T135" s="34">
        <f>IF(SUM($I135:S135)&lt;1,IF($C135&lt;=T$4,1/$E$41,0),0)</f>
        <v>0</v>
      </c>
      <c r="U135" s="34">
        <f>IF(SUM($I135:T135)&lt;1,IF($C135&lt;=U$4,1/$E$41,0),0)</f>
        <v>0</v>
      </c>
      <c r="V135" s="34">
        <f>IF(SUM($I135:U135)&lt;1,IF($C135&lt;=V$4,1/$E$41,0),0)</f>
        <v>0</v>
      </c>
      <c r="W135" s="34">
        <f>IF(SUM($I135:V135)&lt;1,IF($C135&lt;=W$4,1/$E$41,0),0)</f>
        <v>0</v>
      </c>
      <c r="X135" s="34">
        <f>IF(SUM($I135:W135)&lt;1,IF($C135&lt;=X$4,1/$E$41,0),0)</f>
        <v>0</v>
      </c>
      <c r="Y135" s="34">
        <f>IF(SUM($I135:X135)&lt;1,IF($C135&lt;=Y$4,1/$E$41,0),0)</f>
        <v>0</v>
      </c>
      <c r="Z135" s="34">
        <f>IF(SUM($I135:Y135)&lt;1,IF($C135&lt;=Z$4,1/$E$41,0),0)</f>
        <v>0</v>
      </c>
      <c r="AA135" s="34">
        <f>IF(SUM($I135:Z135)&lt;1,IF($C135&lt;=AA$4,1/$E$41,0),0)</f>
        <v>0</v>
      </c>
      <c r="AB135" s="34">
        <f>IF(SUM($I135:AA135)&lt;1,IF($C135&lt;=AB$4,1/$E$41,0),0)</f>
        <v>0</v>
      </c>
      <c r="AC135" s="34">
        <f>IF(SUM($I135:AB135)&lt;1,IF($C135&lt;=AC$4,1/$E$41,0),0)</f>
        <v>0</v>
      </c>
      <c r="AD135" s="34">
        <f>IF(SUM($I135:AC135)&lt;1,IF($C135&lt;=AD$4,1/$E$41,0),0)</f>
        <v>0</v>
      </c>
      <c r="AE135" s="34">
        <f>IF(SUM($I135:AD135)&lt;1,IF($C135&lt;=AE$4,1/$E$41,0),0)</f>
        <v>0</v>
      </c>
      <c r="AF135" s="34">
        <f>IF(SUM($I135:AE135)&lt;1,IF($C135&lt;=AF$4,1/$E$41,0),0)</f>
        <v>0</v>
      </c>
      <c r="AG135" s="34">
        <f>IF(SUM($I135:AF135)&lt;1,IF($C135&lt;=AG$4,1/$E$41,0),0)</f>
        <v>0</v>
      </c>
      <c r="AH135" s="34">
        <f>IF(SUM($I135:AG135)&lt;1,IF($C135&lt;=AH$4,1/$E$41,0),0)</f>
        <v>0</v>
      </c>
      <c r="AI135" s="34">
        <f>IF(SUM($I135:AH135)&lt;1,IF($C135&lt;=AI$4,1/$E$41,0),0)</f>
        <v>0</v>
      </c>
      <c r="AJ135" s="34">
        <f>IF(SUM($I135:AI135)&lt;1,IF($C135&lt;=AJ$4,1/$E$41,0),0)</f>
        <v>0</v>
      </c>
      <c r="AK135" s="34">
        <f>IF(SUM($I135:AJ135)&lt;1,IF($C135&lt;=AK$4,1/$E$41,0),0)</f>
        <v>0</v>
      </c>
      <c r="AL135" s="34">
        <f>IF(SUM($I135:AK135)&lt;1,IF($C135&lt;=AL$4,1/$E$41,0),0)</f>
        <v>0</v>
      </c>
      <c r="AM135" s="34">
        <f>IF(SUM($I135:AL135)&lt;1,IF($C135&lt;=AM$4,1/$E$41,0),0)</f>
        <v>0</v>
      </c>
      <c r="AN135" s="34">
        <f>IF(SUM($I135:AM135)&lt;1,IF($C135&lt;=AN$4,1/$E$41,0),0)</f>
        <v>0</v>
      </c>
      <c r="AO135" s="34">
        <f>IF(SUM($I135:AN135)&lt;1,IF($C135&lt;=AO$4,1/$E$41,0),0)</f>
        <v>0</v>
      </c>
      <c r="AP135" s="34">
        <f>IF(SUM($I135:AO135)&lt;1,IF($C135&lt;=AP$4,1/$E$41,0),0)</f>
        <v>0</v>
      </c>
      <c r="AQ135" s="34">
        <f>IF(SUM($I135:AP135)&lt;1,IF($C135&lt;=AQ$4,1/$E$41,0),0)</f>
        <v>0</v>
      </c>
      <c r="AR135" s="34">
        <f>IF(SUM($I135:AQ135)&lt;1,IF($C135&lt;=AR$4,1/$E$41,0),0)</f>
        <v>0</v>
      </c>
      <c r="AS135" s="34">
        <f>IF(SUM($I135:AR135)&lt;1,IF($C135&lt;=AS$4,1/$E$41,0),0)</f>
        <v>0</v>
      </c>
      <c r="AT135" s="34">
        <f>IF(SUM($I135:AS135)&lt;1,IF($C135&lt;=AT$4,1/$E$41,0),0)</f>
        <v>0</v>
      </c>
      <c r="AU135" s="34">
        <f>IF(SUM($I135:AT135)&lt;1,IF($C135&lt;=AU$4,1/$E$41,0),0)</f>
        <v>0</v>
      </c>
      <c r="AV135" s="34">
        <f>IF(SUM($I135:AU135)&lt;1,IF($C135&lt;=AV$4,1/$E$41,0),0)</f>
        <v>0</v>
      </c>
      <c r="AW135" s="34">
        <f>IF(SUM($I135:AV135)&lt;1,IF($C135&lt;=AW$4,1/$E$41,0),0)</f>
        <v>0</v>
      </c>
      <c r="AX135" s="34">
        <f>IF(SUM($I135:AW135)&lt;1,IF($C135&lt;=AX$4,1/$E$41,0),0)</f>
        <v>0</v>
      </c>
      <c r="AY135" s="34">
        <f>IF(SUM($I135:AX135)&lt;1,IF($C135&lt;=AY$4,1/$E$41,0),0)</f>
        <v>0</v>
      </c>
      <c r="AZ135" s="34">
        <f>IF(SUM($I135:AY135)&lt;1,IF($C135&lt;=AZ$4,1/$E$41,0),0)</f>
        <v>0</v>
      </c>
      <c r="BA135" s="34">
        <f>IF(SUM($I135:AZ135)&lt;1,IF($C135&lt;=BA$4,1/$E$41,0),0)</f>
        <v>0</v>
      </c>
      <c r="BB135" s="34">
        <f>IF(SUM($I135:BA135)&lt;1,IF($C135&lt;=BB$4,1/$E$41,0),0)</f>
        <v>0</v>
      </c>
      <c r="BC135" s="34">
        <f>IF(SUM($I135:BB135)&lt;1,IF($C135&lt;=BC$4,1/$E$41,0),0)</f>
        <v>0</v>
      </c>
      <c r="BD135" s="34">
        <f>IF(SUM($I135:BC135)&lt;1,IF($C135&lt;=BD$4,1/$E$41,0),0)</f>
        <v>0</v>
      </c>
      <c r="BE135" s="34">
        <f>IF(SUM($I135:BD135)&lt;1,IF($C135&lt;=BE$4,1/$E$41,0),0)</f>
        <v>0</v>
      </c>
      <c r="BF135" s="34">
        <f>IF(SUM($I135:BE135)&lt;1,IF($C135&lt;=BF$4,1/$E$41,0),0)</f>
        <v>0</v>
      </c>
      <c r="BG135" s="34">
        <f>IF(SUM($I135:BF135)&lt;1,IF($C135&lt;=BG$4,1/$E$41,0),0)</f>
        <v>0</v>
      </c>
      <c r="BH135" s="34">
        <f>IF(SUM($I135:BG135)&lt;1,IF($C135&lt;=BH$4,1/$E$41,0),0)</f>
        <v>0</v>
      </c>
      <c r="BI135" s="34">
        <f>IF(SUM($I135:BH135)&lt;1,IF($C135&lt;=BI$4,1/$E$41,0),0)</f>
        <v>0</v>
      </c>
      <c r="BJ135" s="34">
        <f>IF(SUM($I135:BI135)&lt;1,IF($C135&lt;=BJ$4,1/$E$41,0),0)</f>
        <v>0</v>
      </c>
      <c r="BK135" s="34">
        <f>IF(SUM($I135:BJ135)&lt;1,IF($C135&lt;=BK$4,1/$E$41,0),0)</f>
        <v>0</v>
      </c>
      <c r="BL135" s="34">
        <f>IF(SUM($I135:BK135)&lt;1,IF($C135&lt;=BL$4,1/$E$41,0),0)</f>
        <v>0</v>
      </c>
      <c r="BM135" s="34">
        <f>IF(SUM($I135:BL135)&lt;1,IF($C135&lt;=BM$4,1/$E$41,0),0)</f>
        <v>0</v>
      </c>
      <c r="BN135" s="34">
        <f>IF(SUM($I135:BM135)&lt;1,IF($C135&lt;=BN$4,1/$E$41,0),0)</f>
        <v>0</v>
      </c>
      <c r="BO135" s="34">
        <f>IF(SUM($I135:BN135)&lt;1,IF($C135&lt;=BO$4,1/$E$41,0),0)</f>
        <v>0</v>
      </c>
      <c r="BP135" s="34">
        <f>IF(SUM($I135:BO135)&lt;1,IF($C135&lt;=BP$4,1/$E$41,0),0)</f>
        <v>0</v>
      </c>
      <c r="BQ135" s="34">
        <f>IF(SUM($I135:BP135)&lt;1,IF($C135&lt;=BQ$4,1/$E$41,0),0)</f>
        <v>0</v>
      </c>
      <c r="BR135" s="34">
        <f>IF(SUM($I135:BQ135)&lt;1,IF($C135&lt;=BR$4,1/$E$41,0),0)</f>
        <v>0</v>
      </c>
      <c r="BS135" s="34">
        <f>IF(SUM($I135:BR135)&lt;1,IF($C135&lt;=BS$4,1/$E$41,0),0)</f>
        <v>0</v>
      </c>
      <c r="BT135" s="34">
        <f>IF(SUM($I135:BS135)&lt;1,IF($C135&lt;=BT$4,1/$E$41,0),0)</f>
        <v>0</v>
      </c>
      <c r="BU135" s="34">
        <f>IF(SUM($I135:BT135)&lt;1,IF($C135&lt;=BU$4,1/$E$41,0),0)</f>
        <v>0</v>
      </c>
      <c r="BV135" s="34">
        <f>IF(SUM($I135:BU135)&lt;1,IF($C135&lt;=BV$4,1/$E$41,0),0)</f>
        <v>0</v>
      </c>
      <c r="BW135" s="34">
        <f>IF(SUM($I135:BV135)&lt;1,IF($C135&lt;=BW$4,1/$E$41,0),0)</f>
        <v>0</v>
      </c>
      <c r="BX135" s="34">
        <f>IF(SUM($I135:BW135)&lt;1,IF($C135&lt;=BX$4,1/$E$41,0),0)</f>
        <v>0</v>
      </c>
      <c r="BY135" s="34">
        <f>IF(SUM($I135:BX135)&lt;1,IF($C135&lt;=BY$4,1/$E$41,0),0)</f>
        <v>0</v>
      </c>
      <c r="BZ135" s="34">
        <f>IF(SUM($I135:BY135)&lt;1,IF($C135&lt;=BZ$4,1/$E$41,0),0)</f>
        <v>0</v>
      </c>
      <c r="CA135" s="34">
        <f>IF(SUM($I135:BZ135)&lt;1,IF($C135&lt;=CA$4,1/$E$41,0),0)</f>
        <v>0</v>
      </c>
      <c r="CB135" s="34">
        <f>IF(SUM($I135:CA135)&lt;1,IF($C135&lt;=CB$4,1/$E$41,0),0)</f>
        <v>0</v>
      </c>
      <c r="CC135" s="34">
        <f>IF(SUM($I135:CB135)&lt;1,IF($C135&lt;=CC$4,1/$E$41,0),0)</f>
        <v>0</v>
      </c>
      <c r="CD135" s="34">
        <f>IF(SUM($I135:CC135)&lt;1,IF($C135&lt;=CD$4,1/$E$41,0),0)</f>
        <v>0</v>
      </c>
      <c r="CE135" s="34">
        <f>IF(SUM($I135:CD135)&lt;1,IF($C135&lt;=CE$4,1/$E$41,0),0)</f>
        <v>0</v>
      </c>
      <c r="CF135" s="34">
        <f>IF(SUM($I135:CE135)&lt;1,IF($C135&lt;=CF$4,1/$E$41,0),0)</f>
        <v>0</v>
      </c>
      <c r="CG135" s="34">
        <f>IF(SUM($I135:CF135)&lt;1,IF($C135&lt;=CG$4,1/$E$41,0),0)</f>
        <v>0</v>
      </c>
      <c r="CH135" s="34">
        <f>IF(SUM($I135:CG135)&lt;1,IF($C135&lt;=CH$4,1/$E$41,0),0)</f>
        <v>0</v>
      </c>
      <c r="CI135" s="34">
        <f>IF(SUM($I135:CH135)&lt;1,IF($C135&lt;=CI$4,1/$E$41,0),0)</f>
        <v>0</v>
      </c>
      <c r="CJ135" s="34">
        <f>IF(SUM($I135:CI135)&lt;1,IF($C135&lt;=CJ$4,1/$E$41,0),0)</f>
        <v>0</v>
      </c>
      <c r="CK135" s="34">
        <f>IF(SUM($I135:CJ135)&lt;1,IF($C135&lt;=CK$4,1/$E$41,0),0)</f>
        <v>0</v>
      </c>
      <c r="CL135" s="34">
        <f>IF(SUM($I135:CK135)&lt;1,IF($C135&lt;=CL$4,1/$E$41,0),0)</f>
        <v>0</v>
      </c>
      <c r="CM135" s="34">
        <f>IF(SUM($I135:CL135)&lt;1,IF($C135&lt;=CM$4,1/$E$41,0),0)</f>
        <v>0</v>
      </c>
      <c r="CN135" s="34">
        <f>IF(SUM($I135:CM135)&lt;1,IF($C135&lt;=CN$4,1/$E$41,0),0)</f>
        <v>0</v>
      </c>
      <c r="CO135" s="34">
        <f>IF(SUM($I135:CN135)&lt;1,IF($C135&lt;=CO$4,1/$E$41,0),0)</f>
        <v>0</v>
      </c>
      <c r="CP135" s="34">
        <f>IF(SUM($I135:CO135)&lt;1,IF($C135&lt;=CP$4,1/$E$41,0),0)</f>
        <v>0</v>
      </c>
      <c r="CQ135" s="34">
        <f>IF(SUM($I135:CP135)&lt;1,IF($C135&lt;=CQ$4,1/$E$41,0),0)</f>
        <v>0</v>
      </c>
      <c r="CR135" s="34">
        <f>IF(SUM($I135:CQ135)&lt;1,IF($C135&lt;=CR$4,1/$E$41,0),0)</f>
        <v>0</v>
      </c>
      <c r="CS135" s="34">
        <f>IF(SUM($I135:CR135)&lt;1,IF($C135&lt;=CS$4,1/$E$41,0),0)</f>
        <v>0</v>
      </c>
      <c r="CT135" s="34">
        <f>IF(SUM($I135:CS135)&lt;1,IF($C135&lt;=CT$4,1/$E$41,0),0)</f>
        <v>0</v>
      </c>
      <c r="CU135" s="34">
        <f>IF(SUM($I135:CT135)&lt;1,IF($C135&lt;=CU$4,1/$E$41,0),0)</f>
        <v>0</v>
      </c>
      <c r="CV135" s="34">
        <f>IF(SUM($I135:CU135)&lt;1,IF($C135&lt;=CV$4,1/$E$41,0),0)</f>
        <v>0.25</v>
      </c>
      <c r="CW135" s="34">
        <f>IF(SUM($I135:CV135)&lt;1,IF($C135&lt;=CW$4,1/$E$41,0),0)</f>
        <v>0.25</v>
      </c>
      <c r="CX135" s="34">
        <f>IF(SUM($I135:CW135)&lt;1,IF($C135&lt;=CX$4,1/$E$41,0),0)</f>
        <v>0.25</v>
      </c>
      <c r="CY135" s="34">
        <f>IF(SUM($I135:CX135)&lt;1,IF($C135&lt;=CY$4,1/$E$41,0),0)</f>
        <v>0.25</v>
      </c>
      <c r="CZ135" s="34">
        <f>IF(SUM($I135:CY135)&lt;1,IF($C135&lt;=CZ$4,1/$E$41,0),0)</f>
        <v>0</v>
      </c>
      <c r="DA135" s="34">
        <f>IF(SUM($I135:CZ135)&lt;1,IF($C135&lt;=DA$4,1/$E$41,0),0)</f>
        <v>0</v>
      </c>
      <c r="DB135" s="34">
        <f>IF(SUM($I135:DA135)&lt;1,IF($C135&lt;=DB$4,1/$E$41,0),0)</f>
        <v>0</v>
      </c>
      <c r="DC135" s="34">
        <f>IF(SUM($I135:DB135)&lt;1,IF($C135&lt;=DC$4,1/$E$41,0),0)</f>
        <v>0</v>
      </c>
      <c r="DD135" s="34">
        <f>IF(SUM($I135:DC135)&lt;1,IF($C135&lt;=DD$4,1/$E$41,0),0)</f>
        <v>0</v>
      </c>
      <c r="DE135" s="34">
        <f>IF(SUM($I135:DD135)&lt;1,IF($C135&lt;=DE$4,1/$E$41,0),0)</f>
        <v>0</v>
      </c>
      <c r="DF135" s="34">
        <f>IF(SUM($I135:DE135)&lt;1,IF($C135&lt;=DF$4,1/$E$41,0),0)</f>
        <v>0</v>
      </c>
      <c r="DG135" s="34">
        <f>IF(SUM($I135:DF135)&lt;1,IF($C135&lt;=DG$4,1/$E$41,0),0)</f>
        <v>0</v>
      </c>
      <c r="DH135" s="34">
        <f>IF(SUM($I135:DG135)&lt;1,IF($C135&lt;=DH$4,1/$E$41,0),0)</f>
        <v>0</v>
      </c>
      <c r="DI135" s="34">
        <f>IF(SUM($I135:DH135)&lt;1,IF($C135&lt;=DI$4,1/$E$41,0),0)</f>
        <v>0</v>
      </c>
      <c r="DJ135" s="34">
        <f>IF(SUM($I135:DI135)&lt;1,IF($C135&lt;=DJ$4,1/$E$41,0),0)</f>
        <v>0</v>
      </c>
      <c r="DK135" s="34">
        <f>IF(SUM($I135:DJ135)&lt;1,IF($C135&lt;=DK$4,1/$E$41,0),0)</f>
        <v>0</v>
      </c>
      <c r="DL135" s="34">
        <f>IF(SUM($I135:DK135)&lt;1,IF($C135&lt;=DL$4,1/$E$41,0),0)</f>
        <v>0</v>
      </c>
      <c r="DM135" s="34">
        <f>IF(SUM($I135:DL135)&lt;1,IF($C135&lt;=DM$4,1/$E$41,0),0)</f>
        <v>0</v>
      </c>
    </row>
    <row r="136" spans="3:117" outlineLevel="1" x14ac:dyDescent="0.15">
      <c r="C136" s="50">
        <f t="shared" si="51"/>
        <v>92</v>
      </c>
      <c r="D136" s="5" t="s">
        <v>18</v>
      </c>
      <c r="E136" s="19">
        <f t="shared" si="50"/>
        <v>0</v>
      </c>
      <c r="I136" s="9"/>
      <c r="J136" s="34">
        <f>IF(SUM($I136:I136)&lt;1,IF($C136&lt;=J$4,1/$E$41,0),0)</f>
        <v>0</v>
      </c>
      <c r="K136" s="34">
        <f>IF(SUM($I136:J136)&lt;1,IF($C136&lt;=K$4,1/$E$41,0),0)</f>
        <v>0</v>
      </c>
      <c r="L136" s="34">
        <f>IF(SUM($I136:K136)&lt;1,IF($C136&lt;=L$4,1/$E$41,0),0)</f>
        <v>0</v>
      </c>
      <c r="M136" s="34">
        <f>IF(SUM($I136:L136)&lt;1,IF($C136&lt;=M$4,1/$E$41,0),0)</f>
        <v>0</v>
      </c>
      <c r="N136" s="34">
        <f>IF(SUM($I136:M136)&lt;1,IF($C136&lt;=N$4,1/$E$41,0),0)</f>
        <v>0</v>
      </c>
      <c r="O136" s="34">
        <f>IF(SUM($I136:N136)&lt;1,IF($C136&lt;=O$4,1/$E$41,0),0)</f>
        <v>0</v>
      </c>
      <c r="P136" s="34">
        <f>IF(SUM($I136:O136)&lt;1,IF($C136&lt;=P$4,1/$E$41,0),0)</f>
        <v>0</v>
      </c>
      <c r="Q136" s="34">
        <f>IF(SUM($I136:P136)&lt;1,IF($C136&lt;=Q$4,1/$E$41,0),0)</f>
        <v>0</v>
      </c>
      <c r="R136" s="34">
        <f>IF(SUM($I136:Q136)&lt;1,IF($C136&lt;=R$4,1/$E$41,0),0)</f>
        <v>0</v>
      </c>
      <c r="S136" s="34">
        <f>IF(SUM($I136:R136)&lt;1,IF($C136&lt;=S$4,1/$E$41,0),0)</f>
        <v>0</v>
      </c>
      <c r="T136" s="34">
        <f>IF(SUM($I136:S136)&lt;1,IF($C136&lt;=T$4,1/$E$41,0),0)</f>
        <v>0</v>
      </c>
      <c r="U136" s="34">
        <f>IF(SUM($I136:T136)&lt;1,IF($C136&lt;=U$4,1/$E$41,0),0)</f>
        <v>0</v>
      </c>
      <c r="V136" s="34">
        <f>IF(SUM($I136:U136)&lt;1,IF($C136&lt;=V$4,1/$E$41,0),0)</f>
        <v>0</v>
      </c>
      <c r="W136" s="34">
        <f>IF(SUM($I136:V136)&lt;1,IF($C136&lt;=W$4,1/$E$41,0),0)</f>
        <v>0</v>
      </c>
      <c r="X136" s="34">
        <f>IF(SUM($I136:W136)&lt;1,IF($C136&lt;=X$4,1/$E$41,0),0)</f>
        <v>0</v>
      </c>
      <c r="Y136" s="34">
        <f>IF(SUM($I136:X136)&lt;1,IF($C136&lt;=Y$4,1/$E$41,0),0)</f>
        <v>0</v>
      </c>
      <c r="Z136" s="34">
        <f>IF(SUM($I136:Y136)&lt;1,IF($C136&lt;=Z$4,1/$E$41,0),0)</f>
        <v>0</v>
      </c>
      <c r="AA136" s="34">
        <f>IF(SUM($I136:Z136)&lt;1,IF($C136&lt;=AA$4,1/$E$41,0),0)</f>
        <v>0</v>
      </c>
      <c r="AB136" s="34">
        <f>IF(SUM($I136:AA136)&lt;1,IF($C136&lt;=AB$4,1/$E$41,0),0)</f>
        <v>0</v>
      </c>
      <c r="AC136" s="34">
        <f>IF(SUM($I136:AB136)&lt;1,IF($C136&lt;=AC$4,1/$E$41,0),0)</f>
        <v>0</v>
      </c>
      <c r="AD136" s="34">
        <f>IF(SUM($I136:AC136)&lt;1,IF($C136&lt;=AD$4,1/$E$41,0),0)</f>
        <v>0</v>
      </c>
      <c r="AE136" s="34">
        <f>IF(SUM($I136:AD136)&lt;1,IF($C136&lt;=AE$4,1/$E$41,0),0)</f>
        <v>0</v>
      </c>
      <c r="AF136" s="34">
        <f>IF(SUM($I136:AE136)&lt;1,IF($C136&lt;=AF$4,1/$E$41,0),0)</f>
        <v>0</v>
      </c>
      <c r="AG136" s="34">
        <f>IF(SUM($I136:AF136)&lt;1,IF($C136&lt;=AG$4,1/$E$41,0),0)</f>
        <v>0</v>
      </c>
      <c r="AH136" s="34">
        <f>IF(SUM($I136:AG136)&lt;1,IF($C136&lt;=AH$4,1/$E$41,0),0)</f>
        <v>0</v>
      </c>
      <c r="AI136" s="34">
        <f>IF(SUM($I136:AH136)&lt;1,IF($C136&lt;=AI$4,1/$E$41,0),0)</f>
        <v>0</v>
      </c>
      <c r="AJ136" s="34">
        <f>IF(SUM($I136:AI136)&lt;1,IF($C136&lt;=AJ$4,1/$E$41,0),0)</f>
        <v>0</v>
      </c>
      <c r="AK136" s="34">
        <f>IF(SUM($I136:AJ136)&lt;1,IF($C136&lt;=AK$4,1/$E$41,0),0)</f>
        <v>0</v>
      </c>
      <c r="AL136" s="34">
        <f>IF(SUM($I136:AK136)&lt;1,IF($C136&lt;=AL$4,1/$E$41,0),0)</f>
        <v>0</v>
      </c>
      <c r="AM136" s="34">
        <f>IF(SUM($I136:AL136)&lt;1,IF($C136&lt;=AM$4,1/$E$41,0),0)</f>
        <v>0</v>
      </c>
      <c r="AN136" s="34">
        <f>IF(SUM($I136:AM136)&lt;1,IF($C136&lt;=AN$4,1/$E$41,0),0)</f>
        <v>0</v>
      </c>
      <c r="AO136" s="34">
        <f>IF(SUM($I136:AN136)&lt;1,IF($C136&lt;=AO$4,1/$E$41,0),0)</f>
        <v>0</v>
      </c>
      <c r="AP136" s="34">
        <f>IF(SUM($I136:AO136)&lt;1,IF($C136&lt;=AP$4,1/$E$41,0),0)</f>
        <v>0</v>
      </c>
      <c r="AQ136" s="34">
        <f>IF(SUM($I136:AP136)&lt;1,IF($C136&lt;=AQ$4,1/$E$41,0),0)</f>
        <v>0</v>
      </c>
      <c r="AR136" s="34">
        <f>IF(SUM($I136:AQ136)&lt;1,IF($C136&lt;=AR$4,1/$E$41,0),0)</f>
        <v>0</v>
      </c>
      <c r="AS136" s="34">
        <f>IF(SUM($I136:AR136)&lt;1,IF($C136&lt;=AS$4,1/$E$41,0),0)</f>
        <v>0</v>
      </c>
      <c r="AT136" s="34">
        <f>IF(SUM($I136:AS136)&lt;1,IF($C136&lt;=AT$4,1/$E$41,0),0)</f>
        <v>0</v>
      </c>
      <c r="AU136" s="34">
        <f>IF(SUM($I136:AT136)&lt;1,IF($C136&lt;=AU$4,1/$E$41,0),0)</f>
        <v>0</v>
      </c>
      <c r="AV136" s="34">
        <f>IF(SUM($I136:AU136)&lt;1,IF($C136&lt;=AV$4,1/$E$41,0),0)</f>
        <v>0</v>
      </c>
      <c r="AW136" s="34">
        <f>IF(SUM($I136:AV136)&lt;1,IF($C136&lt;=AW$4,1/$E$41,0),0)</f>
        <v>0</v>
      </c>
      <c r="AX136" s="34">
        <f>IF(SUM($I136:AW136)&lt;1,IF($C136&lt;=AX$4,1/$E$41,0),0)</f>
        <v>0</v>
      </c>
      <c r="AY136" s="34">
        <f>IF(SUM($I136:AX136)&lt;1,IF($C136&lt;=AY$4,1/$E$41,0),0)</f>
        <v>0</v>
      </c>
      <c r="AZ136" s="34">
        <f>IF(SUM($I136:AY136)&lt;1,IF($C136&lt;=AZ$4,1/$E$41,0),0)</f>
        <v>0</v>
      </c>
      <c r="BA136" s="34">
        <f>IF(SUM($I136:AZ136)&lt;1,IF($C136&lt;=BA$4,1/$E$41,0),0)</f>
        <v>0</v>
      </c>
      <c r="BB136" s="34">
        <f>IF(SUM($I136:BA136)&lt;1,IF($C136&lt;=BB$4,1/$E$41,0),0)</f>
        <v>0</v>
      </c>
      <c r="BC136" s="34">
        <f>IF(SUM($I136:BB136)&lt;1,IF($C136&lt;=BC$4,1/$E$41,0),0)</f>
        <v>0</v>
      </c>
      <c r="BD136" s="34">
        <f>IF(SUM($I136:BC136)&lt;1,IF($C136&lt;=BD$4,1/$E$41,0),0)</f>
        <v>0</v>
      </c>
      <c r="BE136" s="34">
        <f>IF(SUM($I136:BD136)&lt;1,IF($C136&lt;=BE$4,1/$E$41,0),0)</f>
        <v>0</v>
      </c>
      <c r="BF136" s="34">
        <f>IF(SUM($I136:BE136)&lt;1,IF($C136&lt;=BF$4,1/$E$41,0),0)</f>
        <v>0</v>
      </c>
      <c r="BG136" s="34">
        <f>IF(SUM($I136:BF136)&lt;1,IF($C136&lt;=BG$4,1/$E$41,0),0)</f>
        <v>0</v>
      </c>
      <c r="BH136" s="34">
        <f>IF(SUM($I136:BG136)&lt;1,IF($C136&lt;=BH$4,1/$E$41,0),0)</f>
        <v>0</v>
      </c>
      <c r="BI136" s="34">
        <f>IF(SUM($I136:BH136)&lt;1,IF($C136&lt;=BI$4,1/$E$41,0),0)</f>
        <v>0</v>
      </c>
      <c r="BJ136" s="34">
        <f>IF(SUM($I136:BI136)&lt;1,IF($C136&lt;=BJ$4,1/$E$41,0),0)</f>
        <v>0</v>
      </c>
      <c r="BK136" s="34">
        <f>IF(SUM($I136:BJ136)&lt;1,IF($C136&lt;=BK$4,1/$E$41,0),0)</f>
        <v>0</v>
      </c>
      <c r="BL136" s="34">
        <f>IF(SUM($I136:BK136)&lt;1,IF($C136&lt;=BL$4,1/$E$41,0),0)</f>
        <v>0</v>
      </c>
      <c r="BM136" s="34">
        <f>IF(SUM($I136:BL136)&lt;1,IF($C136&lt;=BM$4,1/$E$41,0),0)</f>
        <v>0</v>
      </c>
      <c r="BN136" s="34">
        <f>IF(SUM($I136:BM136)&lt;1,IF($C136&lt;=BN$4,1/$E$41,0),0)</f>
        <v>0</v>
      </c>
      <c r="BO136" s="34">
        <f>IF(SUM($I136:BN136)&lt;1,IF($C136&lt;=BO$4,1/$E$41,0),0)</f>
        <v>0</v>
      </c>
      <c r="BP136" s="34">
        <f>IF(SUM($I136:BO136)&lt;1,IF($C136&lt;=BP$4,1/$E$41,0),0)</f>
        <v>0</v>
      </c>
      <c r="BQ136" s="34">
        <f>IF(SUM($I136:BP136)&lt;1,IF($C136&lt;=BQ$4,1/$E$41,0),0)</f>
        <v>0</v>
      </c>
      <c r="BR136" s="34">
        <f>IF(SUM($I136:BQ136)&lt;1,IF($C136&lt;=BR$4,1/$E$41,0),0)</f>
        <v>0</v>
      </c>
      <c r="BS136" s="34">
        <f>IF(SUM($I136:BR136)&lt;1,IF($C136&lt;=BS$4,1/$E$41,0),0)</f>
        <v>0</v>
      </c>
      <c r="BT136" s="34">
        <f>IF(SUM($I136:BS136)&lt;1,IF($C136&lt;=BT$4,1/$E$41,0),0)</f>
        <v>0</v>
      </c>
      <c r="BU136" s="34">
        <f>IF(SUM($I136:BT136)&lt;1,IF($C136&lt;=BU$4,1/$E$41,0),0)</f>
        <v>0</v>
      </c>
      <c r="BV136" s="34">
        <f>IF(SUM($I136:BU136)&lt;1,IF($C136&lt;=BV$4,1/$E$41,0),0)</f>
        <v>0</v>
      </c>
      <c r="BW136" s="34">
        <f>IF(SUM($I136:BV136)&lt;1,IF($C136&lt;=BW$4,1/$E$41,0),0)</f>
        <v>0</v>
      </c>
      <c r="BX136" s="34">
        <f>IF(SUM($I136:BW136)&lt;1,IF($C136&lt;=BX$4,1/$E$41,0),0)</f>
        <v>0</v>
      </c>
      <c r="BY136" s="34">
        <f>IF(SUM($I136:BX136)&lt;1,IF($C136&lt;=BY$4,1/$E$41,0),0)</f>
        <v>0</v>
      </c>
      <c r="BZ136" s="34">
        <f>IF(SUM($I136:BY136)&lt;1,IF($C136&lt;=BZ$4,1/$E$41,0),0)</f>
        <v>0</v>
      </c>
      <c r="CA136" s="34">
        <f>IF(SUM($I136:BZ136)&lt;1,IF($C136&lt;=CA$4,1/$E$41,0),0)</f>
        <v>0</v>
      </c>
      <c r="CB136" s="34">
        <f>IF(SUM($I136:CA136)&lt;1,IF($C136&lt;=CB$4,1/$E$41,0),0)</f>
        <v>0</v>
      </c>
      <c r="CC136" s="34">
        <f>IF(SUM($I136:CB136)&lt;1,IF($C136&lt;=CC$4,1/$E$41,0),0)</f>
        <v>0</v>
      </c>
      <c r="CD136" s="34">
        <f>IF(SUM($I136:CC136)&lt;1,IF($C136&lt;=CD$4,1/$E$41,0),0)</f>
        <v>0</v>
      </c>
      <c r="CE136" s="34">
        <f>IF(SUM($I136:CD136)&lt;1,IF($C136&lt;=CE$4,1/$E$41,0),0)</f>
        <v>0</v>
      </c>
      <c r="CF136" s="34">
        <f>IF(SUM($I136:CE136)&lt;1,IF($C136&lt;=CF$4,1/$E$41,0),0)</f>
        <v>0</v>
      </c>
      <c r="CG136" s="34">
        <f>IF(SUM($I136:CF136)&lt;1,IF($C136&lt;=CG$4,1/$E$41,0),0)</f>
        <v>0</v>
      </c>
      <c r="CH136" s="34">
        <f>IF(SUM($I136:CG136)&lt;1,IF($C136&lt;=CH$4,1/$E$41,0),0)</f>
        <v>0</v>
      </c>
      <c r="CI136" s="34">
        <f>IF(SUM($I136:CH136)&lt;1,IF($C136&lt;=CI$4,1/$E$41,0),0)</f>
        <v>0</v>
      </c>
      <c r="CJ136" s="34">
        <f>IF(SUM($I136:CI136)&lt;1,IF($C136&lt;=CJ$4,1/$E$41,0),0)</f>
        <v>0</v>
      </c>
      <c r="CK136" s="34">
        <f>IF(SUM($I136:CJ136)&lt;1,IF($C136&lt;=CK$4,1/$E$41,0),0)</f>
        <v>0</v>
      </c>
      <c r="CL136" s="34">
        <f>IF(SUM($I136:CK136)&lt;1,IF($C136&lt;=CL$4,1/$E$41,0),0)</f>
        <v>0</v>
      </c>
      <c r="CM136" s="34">
        <f>IF(SUM($I136:CL136)&lt;1,IF($C136&lt;=CM$4,1/$E$41,0),0)</f>
        <v>0</v>
      </c>
      <c r="CN136" s="34">
        <f>IF(SUM($I136:CM136)&lt;1,IF($C136&lt;=CN$4,1/$E$41,0),0)</f>
        <v>0</v>
      </c>
      <c r="CO136" s="34">
        <f>IF(SUM($I136:CN136)&lt;1,IF($C136&lt;=CO$4,1/$E$41,0),0)</f>
        <v>0</v>
      </c>
      <c r="CP136" s="34">
        <f>IF(SUM($I136:CO136)&lt;1,IF($C136&lt;=CP$4,1/$E$41,0),0)</f>
        <v>0</v>
      </c>
      <c r="CQ136" s="34">
        <f>IF(SUM($I136:CP136)&lt;1,IF($C136&lt;=CQ$4,1/$E$41,0),0)</f>
        <v>0</v>
      </c>
      <c r="CR136" s="34">
        <f>IF(SUM($I136:CQ136)&lt;1,IF($C136&lt;=CR$4,1/$E$41,0),0)</f>
        <v>0</v>
      </c>
      <c r="CS136" s="34">
        <f>IF(SUM($I136:CR136)&lt;1,IF($C136&lt;=CS$4,1/$E$41,0),0)</f>
        <v>0</v>
      </c>
      <c r="CT136" s="34">
        <f>IF(SUM($I136:CS136)&lt;1,IF($C136&lt;=CT$4,1/$E$41,0),0)</f>
        <v>0</v>
      </c>
      <c r="CU136" s="34">
        <f>IF(SUM($I136:CT136)&lt;1,IF($C136&lt;=CU$4,1/$E$41,0),0)</f>
        <v>0</v>
      </c>
      <c r="CV136" s="34">
        <f>IF(SUM($I136:CU136)&lt;1,IF($C136&lt;=CV$4,1/$E$41,0),0)</f>
        <v>0</v>
      </c>
      <c r="CW136" s="34">
        <f>IF(SUM($I136:CV136)&lt;1,IF($C136&lt;=CW$4,1/$E$41,0),0)</f>
        <v>0.25</v>
      </c>
      <c r="CX136" s="34">
        <f>IF(SUM($I136:CW136)&lt;1,IF($C136&lt;=CX$4,1/$E$41,0),0)</f>
        <v>0.25</v>
      </c>
      <c r="CY136" s="34">
        <f>IF(SUM($I136:CX136)&lt;1,IF($C136&lt;=CY$4,1/$E$41,0),0)</f>
        <v>0.25</v>
      </c>
      <c r="CZ136" s="34">
        <f>IF(SUM($I136:CY136)&lt;1,IF($C136&lt;=CZ$4,1/$E$41,0),0)</f>
        <v>0.25</v>
      </c>
      <c r="DA136" s="34">
        <f>IF(SUM($I136:CZ136)&lt;1,IF($C136&lt;=DA$4,1/$E$41,0),0)</f>
        <v>0</v>
      </c>
      <c r="DB136" s="34">
        <f>IF(SUM($I136:DA136)&lt;1,IF($C136&lt;=DB$4,1/$E$41,0),0)</f>
        <v>0</v>
      </c>
      <c r="DC136" s="34">
        <f>IF(SUM($I136:DB136)&lt;1,IF($C136&lt;=DC$4,1/$E$41,0),0)</f>
        <v>0</v>
      </c>
      <c r="DD136" s="34">
        <f>IF(SUM($I136:DC136)&lt;1,IF($C136&lt;=DD$4,1/$E$41,0),0)</f>
        <v>0</v>
      </c>
      <c r="DE136" s="34">
        <f>IF(SUM($I136:DD136)&lt;1,IF($C136&lt;=DE$4,1/$E$41,0),0)</f>
        <v>0</v>
      </c>
      <c r="DF136" s="34">
        <f>IF(SUM($I136:DE136)&lt;1,IF($C136&lt;=DF$4,1/$E$41,0),0)</f>
        <v>0</v>
      </c>
      <c r="DG136" s="34">
        <f>IF(SUM($I136:DF136)&lt;1,IF($C136&lt;=DG$4,1/$E$41,0),0)</f>
        <v>0</v>
      </c>
      <c r="DH136" s="34">
        <f>IF(SUM($I136:DG136)&lt;1,IF($C136&lt;=DH$4,1/$E$41,0),0)</f>
        <v>0</v>
      </c>
      <c r="DI136" s="34">
        <f>IF(SUM($I136:DH136)&lt;1,IF($C136&lt;=DI$4,1/$E$41,0),0)</f>
        <v>0</v>
      </c>
      <c r="DJ136" s="34">
        <f>IF(SUM($I136:DI136)&lt;1,IF($C136&lt;=DJ$4,1/$E$41,0),0)</f>
        <v>0</v>
      </c>
      <c r="DK136" s="34">
        <f>IF(SUM($I136:DJ136)&lt;1,IF($C136&lt;=DK$4,1/$E$41,0),0)</f>
        <v>0</v>
      </c>
      <c r="DL136" s="34">
        <f>IF(SUM($I136:DK136)&lt;1,IF($C136&lt;=DL$4,1/$E$41,0),0)</f>
        <v>0</v>
      </c>
      <c r="DM136" s="34">
        <f>IF(SUM($I136:DL136)&lt;1,IF($C136&lt;=DM$4,1/$E$41,0),0)</f>
        <v>0</v>
      </c>
    </row>
    <row r="137" spans="3:117" outlineLevel="1" x14ac:dyDescent="0.15">
      <c r="C137" s="50">
        <f t="shared" si="51"/>
        <v>93</v>
      </c>
      <c r="D137" s="5" t="s">
        <v>18</v>
      </c>
      <c r="E137" s="19">
        <f t="shared" si="50"/>
        <v>0</v>
      </c>
      <c r="I137" s="9"/>
      <c r="J137" s="34">
        <f>IF(SUM($I137:I137)&lt;1,IF($C137&lt;=J$4,1/$E$41,0),0)</f>
        <v>0</v>
      </c>
      <c r="K137" s="34">
        <f>IF(SUM($I137:J137)&lt;1,IF($C137&lt;=K$4,1/$E$41,0),0)</f>
        <v>0</v>
      </c>
      <c r="L137" s="34">
        <f>IF(SUM($I137:K137)&lt;1,IF($C137&lt;=L$4,1/$E$41,0),0)</f>
        <v>0</v>
      </c>
      <c r="M137" s="34">
        <f>IF(SUM($I137:L137)&lt;1,IF($C137&lt;=M$4,1/$E$41,0),0)</f>
        <v>0</v>
      </c>
      <c r="N137" s="34">
        <f>IF(SUM($I137:M137)&lt;1,IF($C137&lt;=N$4,1/$E$41,0),0)</f>
        <v>0</v>
      </c>
      <c r="O137" s="34">
        <f>IF(SUM($I137:N137)&lt;1,IF($C137&lt;=O$4,1/$E$41,0),0)</f>
        <v>0</v>
      </c>
      <c r="P137" s="34">
        <f>IF(SUM($I137:O137)&lt;1,IF($C137&lt;=P$4,1/$E$41,0),0)</f>
        <v>0</v>
      </c>
      <c r="Q137" s="34">
        <f>IF(SUM($I137:P137)&lt;1,IF($C137&lt;=Q$4,1/$E$41,0),0)</f>
        <v>0</v>
      </c>
      <c r="R137" s="34">
        <f>IF(SUM($I137:Q137)&lt;1,IF($C137&lt;=R$4,1/$E$41,0),0)</f>
        <v>0</v>
      </c>
      <c r="S137" s="34">
        <f>IF(SUM($I137:R137)&lt;1,IF($C137&lt;=S$4,1/$E$41,0),0)</f>
        <v>0</v>
      </c>
      <c r="T137" s="34">
        <f>IF(SUM($I137:S137)&lt;1,IF($C137&lt;=T$4,1/$E$41,0),0)</f>
        <v>0</v>
      </c>
      <c r="U137" s="34">
        <f>IF(SUM($I137:T137)&lt;1,IF($C137&lt;=U$4,1/$E$41,0),0)</f>
        <v>0</v>
      </c>
      <c r="V137" s="34">
        <f>IF(SUM($I137:U137)&lt;1,IF($C137&lt;=V$4,1/$E$41,0),0)</f>
        <v>0</v>
      </c>
      <c r="W137" s="34">
        <f>IF(SUM($I137:V137)&lt;1,IF($C137&lt;=W$4,1/$E$41,0),0)</f>
        <v>0</v>
      </c>
      <c r="X137" s="34">
        <f>IF(SUM($I137:W137)&lt;1,IF($C137&lt;=X$4,1/$E$41,0),0)</f>
        <v>0</v>
      </c>
      <c r="Y137" s="34">
        <f>IF(SUM($I137:X137)&lt;1,IF($C137&lt;=Y$4,1/$E$41,0),0)</f>
        <v>0</v>
      </c>
      <c r="Z137" s="34">
        <f>IF(SUM($I137:Y137)&lt;1,IF($C137&lt;=Z$4,1/$E$41,0),0)</f>
        <v>0</v>
      </c>
      <c r="AA137" s="34">
        <f>IF(SUM($I137:Z137)&lt;1,IF($C137&lt;=AA$4,1/$E$41,0),0)</f>
        <v>0</v>
      </c>
      <c r="AB137" s="34">
        <f>IF(SUM($I137:AA137)&lt;1,IF($C137&lt;=AB$4,1/$E$41,0),0)</f>
        <v>0</v>
      </c>
      <c r="AC137" s="34">
        <f>IF(SUM($I137:AB137)&lt;1,IF($C137&lt;=AC$4,1/$E$41,0),0)</f>
        <v>0</v>
      </c>
      <c r="AD137" s="34">
        <f>IF(SUM($I137:AC137)&lt;1,IF($C137&lt;=AD$4,1/$E$41,0),0)</f>
        <v>0</v>
      </c>
      <c r="AE137" s="34">
        <f>IF(SUM($I137:AD137)&lt;1,IF($C137&lt;=AE$4,1/$E$41,0),0)</f>
        <v>0</v>
      </c>
      <c r="AF137" s="34">
        <f>IF(SUM($I137:AE137)&lt;1,IF($C137&lt;=AF$4,1/$E$41,0),0)</f>
        <v>0</v>
      </c>
      <c r="AG137" s="34">
        <f>IF(SUM($I137:AF137)&lt;1,IF($C137&lt;=AG$4,1/$E$41,0),0)</f>
        <v>0</v>
      </c>
      <c r="AH137" s="34">
        <f>IF(SUM($I137:AG137)&lt;1,IF($C137&lt;=AH$4,1/$E$41,0),0)</f>
        <v>0</v>
      </c>
      <c r="AI137" s="34">
        <f>IF(SUM($I137:AH137)&lt;1,IF($C137&lt;=AI$4,1/$E$41,0),0)</f>
        <v>0</v>
      </c>
      <c r="AJ137" s="34">
        <f>IF(SUM($I137:AI137)&lt;1,IF($C137&lt;=AJ$4,1/$E$41,0),0)</f>
        <v>0</v>
      </c>
      <c r="AK137" s="34">
        <f>IF(SUM($I137:AJ137)&lt;1,IF($C137&lt;=AK$4,1/$E$41,0),0)</f>
        <v>0</v>
      </c>
      <c r="AL137" s="34">
        <f>IF(SUM($I137:AK137)&lt;1,IF($C137&lt;=AL$4,1/$E$41,0),0)</f>
        <v>0</v>
      </c>
      <c r="AM137" s="34">
        <f>IF(SUM($I137:AL137)&lt;1,IF($C137&lt;=AM$4,1/$E$41,0),0)</f>
        <v>0</v>
      </c>
      <c r="AN137" s="34">
        <f>IF(SUM($I137:AM137)&lt;1,IF($C137&lt;=AN$4,1/$E$41,0),0)</f>
        <v>0</v>
      </c>
      <c r="AO137" s="34">
        <f>IF(SUM($I137:AN137)&lt;1,IF($C137&lt;=AO$4,1/$E$41,0),0)</f>
        <v>0</v>
      </c>
      <c r="AP137" s="34">
        <f>IF(SUM($I137:AO137)&lt;1,IF($C137&lt;=AP$4,1/$E$41,0),0)</f>
        <v>0</v>
      </c>
      <c r="AQ137" s="34">
        <f>IF(SUM($I137:AP137)&lt;1,IF($C137&lt;=AQ$4,1/$E$41,0),0)</f>
        <v>0</v>
      </c>
      <c r="AR137" s="34">
        <f>IF(SUM($I137:AQ137)&lt;1,IF($C137&lt;=AR$4,1/$E$41,0),0)</f>
        <v>0</v>
      </c>
      <c r="AS137" s="34">
        <f>IF(SUM($I137:AR137)&lt;1,IF($C137&lt;=AS$4,1/$E$41,0),0)</f>
        <v>0</v>
      </c>
      <c r="AT137" s="34">
        <f>IF(SUM($I137:AS137)&lt;1,IF($C137&lt;=AT$4,1/$E$41,0),0)</f>
        <v>0</v>
      </c>
      <c r="AU137" s="34">
        <f>IF(SUM($I137:AT137)&lt;1,IF($C137&lt;=AU$4,1/$E$41,0),0)</f>
        <v>0</v>
      </c>
      <c r="AV137" s="34">
        <f>IF(SUM($I137:AU137)&lt;1,IF($C137&lt;=AV$4,1/$E$41,0),0)</f>
        <v>0</v>
      </c>
      <c r="AW137" s="34">
        <f>IF(SUM($I137:AV137)&lt;1,IF($C137&lt;=AW$4,1/$E$41,0),0)</f>
        <v>0</v>
      </c>
      <c r="AX137" s="34">
        <f>IF(SUM($I137:AW137)&lt;1,IF($C137&lt;=AX$4,1/$E$41,0),0)</f>
        <v>0</v>
      </c>
      <c r="AY137" s="34">
        <f>IF(SUM($I137:AX137)&lt;1,IF($C137&lt;=AY$4,1/$E$41,0),0)</f>
        <v>0</v>
      </c>
      <c r="AZ137" s="34">
        <f>IF(SUM($I137:AY137)&lt;1,IF($C137&lt;=AZ$4,1/$E$41,0),0)</f>
        <v>0</v>
      </c>
      <c r="BA137" s="34">
        <f>IF(SUM($I137:AZ137)&lt;1,IF($C137&lt;=BA$4,1/$E$41,0),0)</f>
        <v>0</v>
      </c>
      <c r="BB137" s="34">
        <f>IF(SUM($I137:BA137)&lt;1,IF($C137&lt;=BB$4,1/$E$41,0),0)</f>
        <v>0</v>
      </c>
      <c r="BC137" s="34">
        <f>IF(SUM($I137:BB137)&lt;1,IF($C137&lt;=BC$4,1/$E$41,0),0)</f>
        <v>0</v>
      </c>
      <c r="BD137" s="34">
        <f>IF(SUM($I137:BC137)&lt;1,IF($C137&lt;=BD$4,1/$E$41,0),0)</f>
        <v>0</v>
      </c>
      <c r="BE137" s="34">
        <f>IF(SUM($I137:BD137)&lt;1,IF($C137&lt;=BE$4,1/$E$41,0),0)</f>
        <v>0</v>
      </c>
      <c r="BF137" s="34">
        <f>IF(SUM($I137:BE137)&lt;1,IF($C137&lt;=BF$4,1/$E$41,0),0)</f>
        <v>0</v>
      </c>
      <c r="BG137" s="34">
        <f>IF(SUM($I137:BF137)&lt;1,IF($C137&lt;=BG$4,1/$E$41,0),0)</f>
        <v>0</v>
      </c>
      <c r="BH137" s="34">
        <f>IF(SUM($I137:BG137)&lt;1,IF($C137&lt;=BH$4,1/$E$41,0),0)</f>
        <v>0</v>
      </c>
      <c r="BI137" s="34">
        <f>IF(SUM($I137:BH137)&lt;1,IF($C137&lt;=BI$4,1/$E$41,0),0)</f>
        <v>0</v>
      </c>
      <c r="BJ137" s="34">
        <f>IF(SUM($I137:BI137)&lt;1,IF($C137&lt;=BJ$4,1/$E$41,0),0)</f>
        <v>0</v>
      </c>
      <c r="BK137" s="34">
        <f>IF(SUM($I137:BJ137)&lt;1,IF($C137&lt;=BK$4,1/$E$41,0),0)</f>
        <v>0</v>
      </c>
      <c r="BL137" s="34">
        <f>IF(SUM($I137:BK137)&lt;1,IF($C137&lt;=BL$4,1/$E$41,0),0)</f>
        <v>0</v>
      </c>
      <c r="BM137" s="34">
        <f>IF(SUM($I137:BL137)&lt;1,IF($C137&lt;=BM$4,1/$E$41,0),0)</f>
        <v>0</v>
      </c>
      <c r="BN137" s="34">
        <f>IF(SUM($I137:BM137)&lt;1,IF($C137&lt;=BN$4,1/$E$41,0),0)</f>
        <v>0</v>
      </c>
      <c r="BO137" s="34">
        <f>IF(SUM($I137:BN137)&lt;1,IF($C137&lt;=BO$4,1/$E$41,0),0)</f>
        <v>0</v>
      </c>
      <c r="BP137" s="34">
        <f>IF(SUM($I137:BO137)&lt;1,IF($C137&lt;=BP$4,1/$E$41,0),0)</f>
        <v>0</v>
      </c>
      <c r="BQ137" s="34">
        <f>IF(SUM($I137:BP137)&lt;1,IF($C137&lt;=BQ$4,1/$E$41,0),0)</f>
        <v>0</v>
      </c>
      <c r="BR137" s="34">
        <f>IF(SUM($I137:BQ137)&lt;1,IF($C137&lt;=BR$4,1/$E$41,0),0)</f>
        <v>0</v>
      </c>
      <c r="BS137" s="34">
        <f>IF(SUM($I137:BR137)&lt;1,IF($C137&lt;=BS$4,1/$E$41,0),0)</f>
        <v>0</v>
      </c>
      <c r="BT137" s="34">
        <f>IF(SUM($I137:BS137)&lt;1,IF($C137&lt;=BT$4,1/$E$41,0),0)</f>
        <v>0</v>
      </c>
      <c r="BU137" s="34">
        <f>IF(SUM($I137:BT137)&lt;1,IF($C137&lt;=BU$4,1/$E$41,0),0)</f>
        <v>0</v>
      </c>
      <c r="BV137" s="34">
        <f>IF(SUM($I137:BU137)&lt;1,IF($C137&lt;=BV$4,1/$E$41,0),0)</f>
        <v>0</v>
      </c>
      <c r="BW137" s="34">
        <f>IF(SUM($I137:BV137)&lt;1,IF($C137&lt;=BW$4,1/$E$41,0),0)</f>
        <v>0</v>
      </c>
      <c r="BX137" s="34">
        <f>IF(SUM($I137:BW137)&lt;1,IF($C137&lt;=BX$4,1/$E$41,0),0)</f>
        <v>0</v>
      </c>
      <c r="BY137" s="34">
        <f>IF(SUM($I137:BX137)&lt;1,IF($C137&lt;=BY$4,1/$E$41,0),0)</f>
        <v>0</v>
      </c>
      <c r="BZ137" s="34">
        <f>IF(SUM($I137:BY137)&lt;1,IF($C137&lt;=BZ$4,1/$E$41,0),0)</f>
        <v>0</v>
      </c>
      <c r="CA137" s="34">
        <f>IF(SUM($I137:BZ137)&lt;1,IF($C137&lt;=CA$4,1/$E$41,0),0)</f>
        <v>0</v>
      </c>
      <c r="CB137" s="34">
        <f>IF(SUM($I137:CA137)&lt;1,IF($C137&lt;=CB$4,1/$E$41,0),0)</f>
        <v>0</v>
      </c>
      <c r="CC137" s="34">
        <f>IF(SUM($I137:CB137)&lt;1,IF($C137&lt;=CC$4,1/$E$41,0),0)</f>
        <v>0</v>
      </c>
      <c r="CD137" s="34">
        <f>IF(SUM($I137:CC137)&lt;1,IF($C137&lt;=CD$4,1/$E$41,0),0)</f>
        <v>0</v>
      </c>
      <c r="CE137" s="34">
        <f>IF(SUM($I137:CD137)&lt;1,IF($C137&lt;=CE$4,1/$E$41,0),0)</f>
        <v>0</v>
      </c>
      <c r="CF137" s="34">
        <f>IF(SUM($I137:CE137)&lt;1,IF($C137&lt;=CF$4,1/$E$41,0),0)</f>
        <v>0</v>
      </c>
      <c r="CG137" s="34">
        <f>IF(SUM($I137:CF137)&lt;1,IF($C137&lt;=CG$4,1/$E$41,0),0)</f>
        <v>0</v>
      </c>
      <c r="CH137" s="34">
        <f>IF(SUM($I137:CG137)&lt;1,IF($C137&lt;=CH$4,1/$E$41,0),0)</f>
        <v>0</v>
      </c>
      <c r="CI137" s="34">
        <f>IF(SUM($I137:CH137)&lt;1,IF($C137&lt;=CI$4,1/$E$41,0),0)</f>
        <v>0</v>
      </c>
      <c r="CJ137" s="34">
        <f>IF(SUM($I137:CI137)&lt;1,IF($C137&lt;=CJ$4,1/$E$41,0),0)</f>
        <v>0</v>
      </c>
      <c r="CK137" s="34">
        <f>IF(SUM($I137:CJ137)&lt;1,IF($C137&lt;=CK$4,1/$E$41,0),0)</f>
        <v>0</v>
      </c>
      <c r="CL137" s="34">
        <f>IF(SUM($I137:CK137)&lt;1,IF($C137&lt;=CL$4,1/$E$41,0),0)</f>
        <v>0</v>
      </c>
      <c r="CM137" s="34">
        <f>IF(SUM($I137:CL137)&lt;1,IF($C137&lt;=CM$4,1/$E$41,0),0)</f>
        <v>0</v>
      </c>
      <c r="CN137" s="34">
        <f>IF(SUM($I137:CM137)&lt;1,IF($C137&lt;=CN$4,1/$E$41,0),0)</f>
        <v>0</v>
      </c>
      <c r="CO137" s="34">
        <f>IF(SUM($I137:CN137)&lt;1,IF($C137&lt;=CO$4,1/$E$41,0),0)</f>
        <v>0</v>
      </c>
      <c r="CP137" s="34">
        <f>IF(SUM($I137:CO137)&lt;1,IF($C137&lt;=CP$4,1/$E$41,0),0)</f>
        <v>0</v>
      </c>
      <c r="CQ137" s="34">
        <f>IF(SUM($I137:CP137)&lt;1,IF($C137&lt;=CQ$4,1/$E$41,0),0)</f>
        <v>0</v>
      </c>
      <c r="CR137" s="34">
        <f>IF(SUM($I137:CQ137)&lt;1,IF($C137&lt;=CR$4,1/$E$41,0),0)</f>
        <v>0</v>
      </c>
      <c r="CS137" s="34">
        <f>IF(SUM($I137:CR137)&lt;1,IF($C137&lt;=CS$4,1/$E$41,0),0)</f>
        <v>0</v>
      </c>
      <c r="CT137" s="34">
        <f>IF(SUM($I137:CS137)&lt;1,IF($C137&lt;=CT$4,1/$E$41,0),0)</f>
        <v>0</v>
      </c>
      <c r="CU137" s="34">
        <f>IF(SUM($I137:CT137)&lt;1,IF($C137&lt;=CU$4,1/$E$41,0),0)</f>
        <v>0</v>
      </c>
      <c r="CV137" s="34">
        <f>IF(SUM($I137:CU137)&lt;1,IF($C137&lt;=CV$4,1/$E$41,0),0)</f>
        <v>0</v>
      </c>
      <c r="CW137" s="34">
        <f>IF(SUM($I137:CV137)&lt;1,IF($C137&lt;=CW$4,1/$E$41,0),0)</f>
        <v>0</v>
      </c>
      <c r="CX137" s="34">
        <f>IF(SUM($I137:CW137)&lt;1,IF($C137&lt;=CX$4,1/$E$41,0),0)</f>
        <v>0.25</v>
      </c>
      <c r="CY137" s="34">
        <f>IF(SUM($I137:CX137)&lt;1,IF($C137&lt;=CY$4,1/$E$41,0),0)</f>
        <v>0.25</v>
      </c>
      <c r="CZ137" s="34">
        <f>IF(SUM($I137:CY137)&lt;1,IF($C137&lt;=CZ$4,1/$E$41,0),0)</f>
        <v>0.25</v>
      </c>
      <c r="DA137" s="34">
        <f>IF(SUM($I137:CZ137)&lt;1,IF($C137&lt;=DA$4,1/$E$41,0),0)</f>
        <v>0.25</v>
      </c>
      <c r="DB137" s="34">
        <f>IF(SUM($I137:DA137)&lt;1,IF($C137&lt;=DB$4,1/$E$41,0),0)</f>
        <v>0</v>
      </c>
      <c r="DC137" s="34">
        <f>IF(SUM($I137:DB137)&lt;1,IF($C137&lt;=DC$4,1/$E$41,0),0)</f>
        <v>0</v>
      </c>
      <c r="DD137" s="34">
        <f>IF(SUM($I137:DC137)&lt;1,IF($C137&lt;=DD$4,1/$E$41,0),0)</f>
        <v>0</v>
      </c>
      <c r="DE137" s="34">
        <f>IF(SUM($I137:DD137)&lt;1,IF($C137&lt;=DE$4,1/$E$41,0),0)</f>
        <v>0</v>
      </c>
      <c r="DF137" s="34">
        <f>IF(SUM($I137:DE137)&lt;1,IF($C137&lt;=DF$4,1/$E$41,0),0)</f>
        <v>0</v>
      </c>
      <c r="DG137" s="34">
        <f>IF(SUM($I137:DF137)&lt;1,IF($C137&lt;=DG$4,1/$E$41,0),0)</f>
        <v>0</v>
      </c>
      <c r="DH137" s="34">
        <f>IF(SUM($I137:DG137)&lt;1,IF($C137&lt;=DH$4,1/$E$41,0),0)</f>
        <v>0</v>
      </c>
      <c r="DI137" s="34">
        <f>IF(SUM($I137:DH137)&lt;1,IF($C137&lt;=DI$4,1/$E$41,0),0)</f>
        <v>0</v>
      </c>
      <c r="DJ137" s="34">
        <f>IF(SUM($I137:DI137)&lt;1,IF($C137&lt;=DJ$4,1/$E$41,0),0)</f>
        <v>0</v>
      </c>
      <c r="DK137" s="34">
        <f>IF(SUM($I137:DJ137)&lt;1,IF($C137&lt;=DK$4,1/$E$41,0),0)</f>
        <v>0</v>
      </c>
      <c r="DL137" s="34">
        <f>IF(SUM($I137:DK137)&lt;1,IF($C137&lt;=DL$4,1/$E$41,0),0)</f>
        <v>0</v>
      </c>
      <c r="DM137" s="34">
        <f>IF(SUM($I137:DL137)&lt;1,IF($C137&lt;=DM$4,1/$E$41,0),0)</f>
        <v>0</v>
      </c>
    </row>
    <row r="138" spans="3:117" outlineLevel="1" x14ac:dyDescent="0.15">
      <c r="C138" s="50">
        <f t="shared" si="51"/>
        <v>94</v>
      </c>
      <c r="D138" s="5" t="s">
        <v>18</v>
      </c>
      <c r="E138" s="19">
        <f t="shared" si="50"/>
        <v>0</v>
      </c>
      <c r="I138" s="9"/>
      <c r="J138" s="34">
        <f>IF(SUM($I138:I138)&lt;1,IF($C138&lt;=J$4,1/$E$41,0),0)</f>
        <v>0</v>
      </c>
      <c r="K138" s="34">
        <f>IF(SUM($I138:J138)&lt;1,IF($C138&lt;=K$4,1/$E$41,0),0)</f>
        <v>0</v>
      </c>
      <c r="L138" s="34">
        <f>IF(SUM($I138:K138)&lt;1,IF($C138&lt;=L$4,1/$E$41,0),0)</f>
        <v>0</v>
      </c>
      <c r="M138" s="34">
        <f>IF(SUM($I138:L138)&lt;1,IF($C138&lt;=M$4,1/$E$41,0),0)</f>
        <v>0</v>
      </c>
      <c r="N138" s="34">
        <f>IF(SUM($I138:M138)&lt;1,IF($C138&lt;=N$4,1/$E$41,0),0)</f>
        <v>0</v>
      </c>
      <c r="O138" s="34">
        <f>IF(SUM($I138:N138)&lt;1,IF($C138&lt;=O$4,1/$E$41,0),0)</f>
        <v>0</v>
      </c>
      <c r="P138" s="34">
        <f>IF(SUM($I138:O138)&lt;1,IF($C138&lt;=P$4,1/$E$41,0),0)</f>
        <v>0</v>
      </c>
      <c r="Q138" s="34">
        <f>IF(SUM($I138:P138)&lt;1,IF($C138&lt;=Q$4,1/$E$41,0),0)</f>
        <v>0</v>
      </c>
      <c r="R138" s="34">
        <f>IF(SUM($I138:Q138)&lt;1,IF($C138&lt;=R$4,1/$E$41,0),0)</f>
        <v>0</v>
      </c>
      <c r="S138" s="34">
        <f>IF(SUM($I138:R138)&lt;1,IF($C138&lt;=S$4,1/$E$41,0),0)</f>
        <v>0</v>
      </c>
      <c r="T138" s="34">
        <f>IF(SUM($I138:S138)&lt;1,IF($C138&lt;=T$4,1/$E$41,0),0)</f>
        <v>0</v>
      </c>
      <c r="U138" s="34">
        <f>IF(SUM($I138:T138)&lt;1,IF($C138&lt;=U$4,1/$E$41,0),0)</f>
        <v>0</v>
      </c>
      <c r="V138" s="34">
        <f>IF(SUM($I138:U138)&lt;1,IF($C138&lt;=V$4,1/$E$41,0),0)</f>
        <v>0</v>
      </c>
      <c r="W138" s="34">
        <f>IF(SUM($I138:V138)&lt;1,IF($C138&lt;=W$4,1/$E$41,0),0)</f>
        <v>0</v>
      </c>
      <c r="X138" s="34">
        <f>IF(SUM($I138:W138)&lt;1,IF($C138&lt;=X$4,1/$E$41,0),0)</f>
        <v>0</v>
      </c>
      <c r="Y138" s="34">
        <f>IF(SUM($I138:X138)&lt;1,IF($C138&lt;=Y$4,1/$E$41,0),0)</f>
        <v>0</v>
      </c>
      <c r="Z138" s="34">
        <f>IF(SUM($I138:Y138)&lt;1,IF($C138&lt;=Z$4,1/$E$41,0),0)</f>
        <v>0</v>
      </c>
      <c r="AA138" s="34">
        <f>IF(SUM($I138:Z138)&lt;1,IF($C138&lt;=AA$4,1/$E$41,0),0)</f>
        <v>0</v>
      </c>
      <c r="AB138" s="34">
        <f>IF(SUM($I138:AA138)&lt;1,IF($C138&lt;=AB$4,1/$E$41,0),0)</f>
        <v>0</v>
      </c>
      <c r="AC138" s="34">
        <f>IF(SUM($I138:AB138)&lt;1,IF($C138&lt;=AC$4,1/$E$41,0),0)</f>
        <v>0</v>
      </c>
      <c r="AD138" s="34">
        <f>IF(SUM($I138:AC138)&lt;1,IF($C138&lt;=AD$4,1/$E$41,0),0)</f>
        <v>0</v>
      </c>
      <c r="AE138" s="34">
        <f>IF(SUM($I138:AD138)&lt;1,IF($C138&lt;=AE$4,1/$E$41,0),0)</f>
        <v>0</v>
      </c>
      <c r="AF138" s="34">
        <f>IF(SUM($I138:AE138)&lt;1,IF($C138&lt;=AF$4,1/$E$41,0),0)</f>
        <v>0</v>
      </c>
      <c r="AG138" s="34">
        <f>IF(SUM($I138:AF138)&lt;1,IF($C138&lt;=AG$4,1/$E$41,0),0)</f>
        <v>0</v>
      </c>
      <c r="AH138" s="34">
        <f>IF(SUM($I138:AG138)&lt;1,IF($C138&lt;=AH$4,1/$E$41,0),0)</f>
        <v>0</v>
      </c>
      <c r="AI138" s="34">
        <f>IF(SUM($I138:AH138)&lt;1,IF($C138&lt;=AI$4,1/$E$41,0),0)</f>
        <v>0</v>
      </c>
      <c r="AJ138" s="34">
        <f>IF(SUM($I138:AI138)&lt;1,IF($C138&lt;=AJ$4,1/$E$41,0),0)</f>
        <v>0</v>
      </c>
      <c r="AK138" s="34">
        <f>IF(SUM($I138:AJ138)&lt;1,IF($C138&lt;=AK$4,1/$E$41,0),0)</f>
        <v>0</v>
      </c>
      <c r="AL138" s="34">
        <f>IF(SUM($I138:AK138)&lt;1,IF($C138&lt;=AL$4,1/$E$41,0),0)</f>
        <v>0</v>
      </c>
      <c r="AM138" s="34">
        <f>IF(SUM($I138:AL138)&lt;1,IF($C138&lt;=AM$4,1/$E$41,0),0)</f>
        <v>0</v>
      </c>
      <c r="AN138" s="34">
        <f>IF(SUM($I138:AM138)&lt;1,IF($C138&lt;=AN$4,1/$E$41,0),0)</f>
        <v>0</v>
      </c>
      <c r="AO138" s="34">
        <f>IF(SUM($I138:AN138)&lt;1,IF($C138&lt;=AO$4,1/$E$41,0),0)</f>
        <v>0</v>
      </c>
      <c r="AP138" s="34">
        <f>IF(SUM($I138:AO138)&lt;1,IF($C138&lt;=AP$4,1/$E$41,0),0)</f>
        <v>0</v>
      </c>
      <c r="AQ138" s="34">
        <f>IF(SUM($I138:AP138)&lt;1,IF($C138&lt;=AQ$4,1/$E$41,0),0)</f>
        <v>0</v>
      </c>
      <c r="AR138" s="34">
        <f>IF(SUM($I138:AQ138)&lt;1,IF($C138&lt;=AR$4,1/$E$41,0),0)</f>
        <v>0</v>
      </c>
      <c r="AS138" s="34">
        <f>IF(SUM($I138:AR138)&lt;1,IF($C138&lt;=AS$4,1/$E$41,0),0)</f>
        <v>0</v>
      </c>
      <c r="AT138" s="34">
        <f>IF(SUM($I138:AS138)&lt;1,IF($C138&lt;=AT$4,1/$E$41,0),0)</f>
        <v>0</v>
      </c>
      <c r="AU138" s="34">
        <f>IF(SUM($I138:AT138)&lt;1,IF($C138&lt;=AU$4,1/$E$41,0),0)</f>
        <v>0</v>
      </c>
      <c r="AV138" s="34">
        <f>IF(SUM($I138:AU138)&lt;1,IF($C138&lt;=AV$4,1/$E$41,0),0)</f>
        <v>0</v>
      </c>
      <c r="AW138" s="34">
        <f>IF(SUM($I138:AV138)&lt;1,IF($C138&lt;=AW$4,1/$E$41,0),0)</f>
        <v>0</v>
      </c>
      <c r="AX138" s="34">
        <f>IF(SUM($I138:AW138)&lt;1,IF($C138&lt;=AX$4,1/$E$41,0),0)</f>
        <v>0</v>
      </c>
      <c r="AY138" s="34">
        <f>IF(SUM($I138:AX138)&lt;1,IF($C138&lt;=AY$4,1/$E$41,0),0)</f>
        <v>0</v>
      </c>
      <c r="AZ138" s="34">
        <f>IF(SUM($I138:AY138)&lt;1,IF($C138&lt;=AZ$4,1/$E$41,0),0)</f>
        <v>0</v>
      </c>
      <c r="BA138" s="34">
        <f>IF(SUM($I138:AZ138)&lt;1,IF($C138&lt;=BA$4,1/$E$41,0),0)</f>
        <v>0</v>
      </c>
      <c r="BB138" s="34">
        <f>IF(SUM($I138:BA138)&lt;1,IF($C138&lt;=BB$4,1/$E$41,0),0)</f>
        <v>0</v>
      </c>
      <c r="BC138" s="34">
        <f>IF(SUM($I138:BB138)&lt;1,IF($C138&lt;=BC$4,1/$E$41,0),0)</f>
        <v>0</v>
      </c>
      <c r="BD138" s="34">
        <f>IF(SUM($I138:BC138)&lt;1,IF($C138&lt;=BD$4,1/$E$41,0),0)</f>
        <v>0</v>
      </c>
      <c r="BE138" s="34">
        <f>IF(SUM($I138:BD138)&lt;1,IF($C138&lt;=BE$4,1/$E$41,0),0)</f>
        <v>0</v>
      </c>
      <c r="BF138" s="34">
        <f>IF(SUM($I138:BE138)&lt;1,IF($C138&lt;=BF$4,1/$E$41,0),0)</f>
        <v>0</v>
      </c>
      <c r="BG138" s="34">
        <f>IF(SUM($I138:BF138)&lt;1,IF($C138&lt;=BG$4,1/$E$41,0),0)</f>
        <v>0</v>
      </c>
      <c r="BH138" s="34">
        <f>IF(SUM($I138:BG138)&lt;1,IF($C138&lt;=BH$4,1/$E$41,0),0)</f>
        <v>0</v>
      </c>
      <c r="BI138" s="34">
        <f>IF(SUM($I138:BH138)&lt;1,IF($C138&lt;=BI$4,1/$E$41,0),0)</f>
        <v>0</v>
      </c>
      <c r="BJ138" s="34">
        <f>IF(SUM($I138:BI138)&lt;1,IF($C138&lt;=BJ$4,1/$E$41,0),0)</f>
        <v>0</v>
      </c>
      <c r="BK138" s="34">
        <f>IF(SUM($I138:BJ138)&lt;1,IF($C138&lt;=BK$4,1/$E$41,0),0)</f>
        <v>0</v>
      </c>
      <c r="BL138" s="34">
        <f>IF(SUM($I138:BK138)&lt;1,IF($C138&lt;=BL$4,1/$E$41,0),0)</f>
        <v>0</v>
      </c>
      <c r="BM138" s="34">
        <f>IF(SUM($I138:BL138)&lt;1,IF($C138&lt;=BM$4,1/$E$41,0),0)</f>
        <v>0</v>
      </c>
      <c r="BN138" s="34">
        <f>IF(SUM($I138:BM138)&lt;1,IF($C138&lt;=BN$4,1/$E$41,0),0)</f>
        <v>0</v>
      </c>
      <c r="BO138" s="34">
        <f>IF(SUM($I138:BN138)&lt;1,IF($C138&lt;=BO$4,1/$E$41,0),0)</f>
        <v>0</v>
      </c>
      <c r="BP138" s="34">
        <f>IF(SUM($I138:BO138)&lt;1,IF($C138&lt;=BP$4,1/$E$41,0),0)</f>
        <v>0</v>
      </c>
      <c r="BQ138" s="34">
        <f>IF(SUM($I138:BP138)&lt;1,IF($C138&lt;=BQ$4,1/$E$41,0),0)</f>
        <v>0</v>
      </c>
      <c r="BR138" s="34">
        <f>IF(SUM($I138:BQ138)&lt;1,IF($C138&lt;=BR$4,1/$E$41,0),0)</f>
        <v>0</v>
      </c>
      <c r="BS138" s="34">
        <f>IF(SUM($I138:BR138)&lt;1,IF($C138&lt;=BS$4,1/$E$41,0),0)</f>
        <v>0</v>
      </c>
      <c r="BT138" s="34">
        <f>IF(SUM($I138:BS138)&lt;1,IF($C138&lt;=BT$4,1/$E$41,0),0)</f>
        <v>0</v>
      </c>
      <c r="BU138" s="34">
        <f>IF(SUM($I138:BT138)&lt;1,IF($C138&lt;=BU$4,1/$E$41,0),0)</f>
        <v>0</v>
      </c>
      <c r="BV138" s="34">
        <f>IF(SUM($I138:BU138)&lt;1,IF($C138&lt;=BV$4,1/$E$41,0),0)</f>
        <v>0</v>
      </c>
      <c r="BW138" s="34">
        <f>IF(SUM($I138:BV138)&lt;1,IF($C138&lt;=BW$4,1/$E$41,0),0)</f>
        <v>0</v>
      </c>
      <c r="BX138" s="34">
        <f>IF(SUM($I138:BW138)&lt;1,IF($C138&lt;=BX$4,1/$E$41,0),0)</f>
        <v>0</v>
      </c>
      <c r="BY138" s="34">
        <f>IF(SUM($I138:BX138)&lt;1,IF($C138&lt;=BY$4,1/$E$41,0),0)</f>
        <v>0</v>
      </c>
      <c r="BZ138" s="34">
        <f>IF(SUM($I138:BY138)&lt;1,IF($C138&lt;=BZ$4,1/$E$41,0),0)</f>
        <v>0</v>
      </c>
      <c r="CA138" s="34">
        <f>IF(SUM($I138:BZ138)&lt;1,IF($C138&lt;=CA$4,1/$E$41,0),0)</f>
        <v>0</v>
      </c>
      <c r="CB138" s="34">
        <f>IF(SUM($I138:CA138)&lt;1,IF($C138&lt;=CB$4,1/$E$41,0),0)</f>
        <v>0</v>
      </c>
      <c r="CC138" s="34">
        <f>IF(SUM($I138:CB138)&lt;1,IF($C138&lt;=CC$4,1/$E$41,0),0)</f>
        <v>0</v>
      </c>
      <c r="CD138" s="34">
        <f>IF(SUM($I138:CC138)&lt;1,IF($C138&lt;=CD$4,1/$E$41,0),0)</f>
        <v>0</v>
      </c>
      <c r="CE138" s="34">
        <f>IF(SUM($I138:CD138)&lt;1,IF($C138&lt;=CE$4,1/$E$41,0),0)</f>
        <v>0</v>
      </c>
      <c r="CF138" s="34">
        <f>IF(SUM($I138:CE138)&lt;1,IF($C138&lt;=CF$4,1/$E$41,0),0)</f>
        <v>0</v>
      </c>
      <c r="CG138" s="34">
        <f>IF(SUM($I138:CF138)&lt;1,IF($C138&lt;=CG$4,1/$E$41,0),0)</f>
        <v>0</v>
      </c>
      <c r="CH138" s="34">
        <f>IF(SUM($I138:CG138)&lt;1,IF($C138&lt;=CH$4,1/$E$41,0),0)</f>
        <v>0</v>
      </c>
      <c r="CI138" s="34">
        <f>IF(SUM($I138:CH138)&lt;1,IF($C138&lt;=CI$4,1/$E$41,0),0)</f>
        <v>0</v>
      </c>
      <c r="CJ138" s="34">
        <f>IF(SUM($I138:CI138)&lt;1,IF($C138&lt;=CJ$4,1/$E$41,0),0)</f>
        <v>0</v>
      </c>
      <c r="CK138" s="34">
        <f>IF(SUM($I138:CJ138)&lt;1,IF($C138&lt;=CK$4,1/$E$41,0),0)</f>
        <v>0</v>
      </c>
      <c r="CL138" s="34">
        <f>IF(SUM($I138:CK138)&lt;1,IF($C138&lt;=CL$4,1/$E$41,0),0)</f>
        <v>0</v>
      </c>
      <c r="CM138" s="34">
        <f>IF(SUM($I138:CL138)&lt;1,IF($C138&lt;=CM$4,1/$E$41,0),0)</f>
        <v>0</v>
      </c>
      <c r="CN138" s="34">
        <f>IF(SUM($I138:CM138)&lt;1,IF($C138&lt;=CN$4,1/$E$41,0),0)</f>
        <v>0</v>
      </c>
      <c r="CO138" s="34">
        <f>IF(SUM($I138:CN138)&lt;1,IF($C138&lt;=CO$4,1/$E$41,0),0)</f>
        <v>0</v>
      </c>
      <c r="CP138" s="34">
        <f>IF(SUM($I138:CO138)&lt;1,IF($C138&lt;=CP$4,1/$E$41,0),0)</f>
        <v>0</v>
      </c>
      <c r="CQ138" s="34">
        <f>IF(SUM($I138:CP138)&lt;1,IF($C138&lt;=CQ$4,1/$E$41,0),0)</f>
        <v>0</v>
      </c>
      <c r="CR138" s="34">
        <f>IF(SUM($I138:CQ138)&lt;1,IF($C138&lt;=CR$4,1/$E$41,0),0)</f>
        <v>0</v>
      </c>
      <c r="CS138" s="34">
        <f>IF(SUM($I138:CR138)&lt;1,IF($C138&lt;=CS$4,1/$E$41,0),0)</f>
        <v>0</v>
      </c>
      <c r="CT138" s="34">
        <f>IF(SUM($I138:CS138)&lt;1,IF($C138&lt;=CT$4,1/$E$41,0),0)</f>
        <v>0</v>
      </c>
      <c r="CU138" s="34">
        <f>IF(SUM($I138:CT138)&lt;1,IF($C138&lt;=CU$4,1/$E$41,0),0)</f>
        <v>0</v>
      </c>
      <c r="CV138" s="34">
        <f>IF(SUM($I138:CU138)&lt;1,IF($C138&lt;=CV$4,1/$E$41,0),0)</f>
        <v>0</v>
      </c>
      <c r="CW138" s="34">
        <f>IF(SUM($I138:CV138)&lt;1,IF($C138&lt;=CW$4,1/$E$41,0),0)</f>
        <v>0</v>
      </c>
      <c r="CX138" s="34">
        <f>IF(SUM($I138:CW138)&lt;1,IF($C138&lt;=CX$4,1/$E$41,0),0)</f>
        <v>0</v>
      </c>
      <c r="CY138" s="34">
        <f>IF(SUM($I138:CX138)&lt;1,IF($C138&lt;=CY$4,1/$E$41,0),0)</f>
        <v>0.25</v>
      </c>
      <c r="CZ138" s="34">
        <f>IF(SUM($I138:CY138)&lt;1,IF($C138&lt;=CZ$4,1/$E$41,0),0)</f>
        <v>0.25</v>
      </c>
      <c r="DA138" s="34">
        <f>IF(SUM($I138:CZ138)&lt;1,IF($C138&lt;=DA$4,1/$E$41,0),0)</f>
        <v>0.25</v>
      </c>
      <c r="DB138" s="34">
        <f>IF(SUM($I138:DA138)&lt;1,IF($C138&lt;=DB$4,1/$E$41,0),0)</f>
        <v>0.25</v>
      </c>
      <c r="DC138" s="34">
        <f>IF(SUM($I138:DB138)&lt;1,IF($C138&lt;=DC$4,1/$E$41,0),0)</f>
        <v>0</v>
      </c>
      <c r="DD138" s="34">
        <f>IF(SUM($I138:DC138)&lt;1,IF($C138&lt;=DD$4,1/$E$41,0),0)</f>
        <v>0</v>
      </c>
      <c r="DE138" s="34">
        <f>IF(SUM($I138:DD138)&lt;1,IF($C138&lt;=DE$4,1/$E$41,0),0)</f>
        <v>0</v>
      </c>
      <c r="DF138" s="34">
        <f>IF(SUM($I138:DE138)&lt;1,IF($C138&lt;=DF$4,1/$E$41,0),0)</f>
        <v>0</v>
      </c>
      <c r="DG138" s="34">
        <f>IF(SUM($I138:DF138)&lt;1,IF($C138&lt;=DG$4,1/$E$41,0),0)</f>
        <v>0</v>
      </c>
      <c r="DH138" s="34">
        <f>IF(SUM($I138:DG138)&lt;1,IF($C138&lt;=DH$4,1/$E$41,0),0)</f>
        <v>0</v>
      </c>
      <c r="DI138" s="34">
        <f>IF(SUM($I138:DH138)&lt;1,IF($C138&lt;=DI$4,1/$E$41,0),0)</f>
        <v>0</v>
      </c>
      <c r="DJ138" s="34">
        <f>IF(SUM($I138:DI138)&lt;1,IF($C138&lt;=DJ$4,1/$E$41,0),0)</f>
        <v>0</v>
      </c>
      <c r="DK138" s="34">
        <f>IF(SUM($I138:DJ138)&lt;1,IF($C138&lt;=DK$4,1/$E$41,0),0)</f>
        <v>0</v>
      </c>
      <c r="DL138" s="34">
        <f>IF(SUM($I138:DK138)&lt;1,IF($C138&lt;=DL$4,1/$E$41,0),0)</f>
        <v>0</v>
      </c>
      <c r="DM138" s="34">
        <f>IF(SUM($I138:DL138)&lt;1,IF($C138&lt;=DM$4,1/$E$41,0),0)</f>
        <v>0</v>
      </c>
    </row>
    <row r="139" spans="3:117" outlineLevel="1" x14ac:dyDescent="0.15">
      <c r="C139" s="50">
        <f t="shared" si="51"/>
        <v>95</v>
      </c>
      <c r="D139" s="5" t="s">
        <v>18</v>
      </c>
      <c r="E139" s="19">
        <f t="shared" si="50"/>
        <v>0</v>
      </c>
      <c r="I139" s="9"/>
      <c r="J139" s="34">
        <f>IF(SUM($I139:I139)&lt;1,IF($C139&lt;=J$4,1/$E$41,0),0)</f>
        <v>0</v>
      </c>
      <c r="K139" s="34">
        <f>IF(SUM($I139:J139)&lt;1,IF($C139&lt;=K$4,1/$E$41,0),0)</f>
        <v>0</v>
      </c>
      <c r="L139" s="34">
        <f>IF(SUM($I139:K139)&lt;1,IF($C139&lt;=L$4,1/$E$41,0),0)</f>
        <v>0</v>
      </c>
      <c r="M139" s="34">
        <f>IF(SUM($I139:L139)&lt;1,IF($C139&lt;=M$4,1/$E$41,0),0)</f>
        <v>0</v>
      </c>
      <c r="N139" s="34">
        <f>IF(SUM($I139:M139)&lt;1,IF($C139&lt;=N$4,1/$E$41,0),0)</f>
        <v>0</v>
      </c>
      <c r="O139" s="34">
        <f>IF(SUM($I139:N139)&lt;1,IF($C139&lt;=O$4,1/$E$41,0),0)</f>
        <v>0</v>
      </c>
      <c r="P139" s="34">
        <f>IF(SUM($I139:O139)&lt;1,IF($C139&lt;=P$4,1/$E$41,0),0)</f>
        <v>0</v>
      </c>
      <c r="Q139" s="34">
        <f>IF(SUM($I139:P139)&lt;1,IF($C139&lt;=Q$4,1/$E$41,0),0)</f>
        <v>0</v>
      </c>
      <c r="R139" s="34">
        <f>IF(SUM($I139:Q139)&lt;1,IF($C139&lt;=R$4,1/$E$41,0),0)</f>
        <v>0</v>
      </c>
      <c r="S139" s="34">
        <f>IF(SUM($I139:R139)&lt;1,IF($C139&lt;=S$4,1/$E$41,0),0)</f>
        <v>0</v>
      </c>
      <c r="T139" s="34">
        <f>IF(SUM($I139:S139)&lt;1,IF($C139&lt;=T$4,1/$E$41,0),0)</f>
        <v>0</v>
      </c>
      <c r="U139" s="34">
        <f>IF(SUM($I139:T139)&lt;1,IF($C139&lt;=U$4,1/$E$41,0),0)</f>
        <v>0</v>
      </c>
      <c r="V139" s="34">
        <f>IF(SUM($I139:U139)&lt;1,IF($C139&lt;=V$4,1/$E$41,0),0)</f>
        <v>0</v>
      </c>
      <c r="W139" s="34">
        <f>IF(SUM($I139:V139)&lt;1,IF($C139&lt;=W$4,1/$E$41,0),0)</f>
        <v>0</v>
      </c>
      <c r="X139" s="34">
        <f>IF(SUM($I139:W139)&lt;1,IF($C139&lt;=X$4,1/$E$41,0),0)</f>
        <v>0</v>
      </c>
      <c r="Y139" s="34">
        <f>IF(SUM($I139:X139)&lt;1,IF($C139&lt;=Y$4,1/$E$41,0),0)</f>
        <v>0</v>
      </c>
      <c r="Z139" s="34">
        <f>IF(SUM($I139:Y139)&lt;1,IF($C139&lt;=Z$4,1/$E$41,0),0)</f>
        <v>0</v>
      </c>
      <c r="AA139" s="34">
        <f>IF(SUM($I139:Z139)&lt;1,IF($C139&lt;=AA$4,1/$E$41,0),0)</f>
        <v>0</v>
      </c>
      <c r="AB139" s="34">
        <f>IF(SUM($I139:AA139)&lt;1,IF($C139&lt;=AB$4,1/$E$41,0),0)</f>
        <v>0</v>
      </c>
      <c r="AC139" s="34">
        <f>IF(SUM($I139:AB139)&lt;1,IF($C139&lt;=AC$4,1/$E$41,0),0)</f>
        <v>0</v>
      </c>
      <c r="AD139" s="34">
        <f>IF(SUM($I139:AC139)&lt;1,IF($C139&lt;=AD$4,1/$E$41,0),0)</f>
        <v>0</v>
      </c>
      <c r="AE139" s="34">
        <f>IF(SUM($I139:AD139)&lt;1,IF($C139&lt;=AE$4,1/$E$41,0),0)</f>
        <v>0</v>
      </c>
      <c r="AF139" s="34">
        <f>IF(SUM($I139:AE139)&lt;1,IF($C139&lt;=AF$4,1/$E$41,0),0)</f>
        <v>0</v>
      </c>
      <c r="AG139" s="34">
        <f>IF(SUM($I139:AF139)&lt;1,IF($C139&lt;=AG$4,1/$E$41,0),0)</f>
        <v>0</v>
      </c>
      <c r="AH139" s="34">
        <f>IF(SUM($I139:AG139)&lt;1,IF($C139&lt;=AH$4,1/$E$41,0),0)</f>
        <v>0</v>
      </c>
      <c r="AI139" s="34">
        <f>IF(SUM($I139:AH139)&lt;1,IF($C139&lt;=AI$4,1/$E$41,0),0)</f>
        <v>0</v>
      </c>
      <c r="AJ139" s="34">
        <f>IF(SUM($I139:AI139)&lt;1,IF($C139&lt;=AJ$4,1/$E$41,0),0)</f>
        <v>0</v>
      </c>
      <c r="AK139" s="34">
        <f>IF(SUM($I139:AJ139)&lt;1,IF($C139&lt;=AK$4,1/$E$41,0),0)</f>
        <v>0</v>
      </c>
      <c r="AL139" s="34">
        <f>IF(SUM($I139:AK139)&lt;1,IF($C139&lt;=AL$4,1/$E$41,0),0)</f>
        <v>0</v>
      </c>
      <c r="AM139" s="34">
        <f>IF(SUM($I139:AL139)&lt;1,IF($C139&lt;=AM$4,1/$E$41,0),0)</f>
        <v>0</v>
      </c>
      <c r="AN139" s="34">
        <f>IF(SUM($I139:AM139)&lt;1,IF($C139&lt;=AN$4,1/$E$41,0),0)</f>
        <v>0</v>
      </c>
      <c r="AO139" s="34">
        <f>IF(SUM($I139:AN139)&lt;1,IF($C139&lt;=AO$4,1/$E$41,0),0)</f>
        <v>0</v>
      </c>
      <c r="AP139" s="34">
        <f>IF(SUM($I139:AO139)&lt;1,IF($C139&lt;=AP$4,1/$E$41,0),0)</f>
        <v>0</v>
      </c>
      <c r="AQ139" s="34">
        <f>IF(SUM($I139:AP139)&lt;1,IF($C139&lt;=AQ$4,1/$E$41,0),0)</f>
        <v>0</v>
      </c>
      <c r="AR139" s="34">
        <f>IF(SUM($I139:AQ139)&lt;1,IF($C139&lt;=AR$4,1/$E$41,0),0)</f>
        <v>0</v>
      </c>
      <c r="AS139" s="34">
        <f>IF(SUM($I139:AR139)&lt;1,IF($C139&lt;=AS$4,1/$E$41,0),0)</f>
        <v>0</v>
      </c>
      <c r="AT139" s="34">
        <f>IF(SUM($I139:AS139)&lt;1,IF($C139&lt;=AT$4,1/$E$41,0),0)</f>
        <v>0</v>
      </c>
      <c r="AU139" s="34">
        <f>IF(SUM($I139:AT139)&lt;1,IF($C139&lt;=AU$4,1/$E$41,0),0)</f>
        <v>0</v>
      </c>
      <c r="AV139" s="34">
        <f>IF(SUM($I139:AU139)&lt;1,IF($C139&lt;=AV$4,1/$E$41,0),0)</f>
        <v>0</v>
      </c>
      <c r="AW139" s="34">
        <f>IF(SUM($I139:AV139)&lt;1,IF($C139&lt;=AW$4,1/$E$41,0),0)</f>
        <v>0</v>
      </c>
      <c r="AX139" s="34">
        <f>IF(SUM($I139:AW139)&lt;1,IF($C139&lt;=AX$4,1/$E$41,0),0)</f>
        <v>0</v>
      </c>
      <c r="AY139" s="34">
        <f>IF(SUM($I139:AX139)&lt;1,IF($C139&lt;=AY$4,1/$E$41,0),0)</f>
        <v>0</v>
      </c>
      <c r="AZ139" s="34">
        <f>IF(SUM($I139:AY139)&lt;1,IF($C139&lt;=AZ$4,1/$E$41,0),0)</f>
        <v>0</v>
      </c>
      <c r="BA139" s="34">
        <f>IF(SUM($I139:AZ139)&lt;1,IF($C139&lt;=BA$4,1/$E$41,0),0)</f>
        <v>0</v>
      </c>
      <c r="BB139" s="34">
        <f>IF(SUM($I139:BA139)&lt;1,IF($C139&lt;=BB$4,1/$E$41,0),0)</f>
        <v>0</v>
      </c>
      <c r="BC139" s="34">
        <f>IF(SUM($I139:BB139)&lt;1,IF($C139&lt;=BC$4,1/$E$41,0),0)</f>
        <v>0</v>
      </c>
      <c r="BD139" s="34">
        <f>IF(SUM($I139:BC139)&lt;1,IF($C139&lt;=BD$4,1/$E$41,0),0)</f>
        <v>0</v>
      </c>
      <c r="BE139" s="34">
        <f>IF(SUM($I139:BD139)&lt;1,IF($C139&lt;=BE$4,1/$E$41,0),0)</f>
        <v>0</v>
      </c>
      <c r="BF139" s="34">
        <f>IF(SUM($I139:BE139)&lt;1,IF($C139&lt;=BF$4,1/$E$41,0),0)</f>
        <v>0</v>
      </c>
      <c r="BG139" s="34">
        <f>IF(SUM($I139:BF139)&lt;1,IF($C139&lt;=BG$4,1/$E$41,0),0)</f>
        <v>0</v>
      </c>
      <c r="BH139" s="34">
        <f>IF(SUM($I139:BG139)&lt;1,IF($C139&lt;=BH$4,1/$E$41,0),0)</f>
        <v>0</v>
      </c>
      <c r="BI139" s="34">
        <f>IF(SUM($I139:BH139)&lt;1,IF($C139&lt;=BI$4,1/$E$41,0),0)</f>
        <v>0</v>
      </c>
      <c r="BJ139" s="34">
        <f>IF(SUM($I139:BI139)&lt;1,IF($C139&lt;=BJ$4,1/$E$41,0),0)</f>
        <v>0</v>
      </c>
      <c r="BK139" s="34">
        <f>IF(SUM($I139:BJ139)&lt;1,IF($C139&lt;=BK$4,1/$E$41,0),0)</f>
        <v>0</v>
      </c>
      <c r="BL139" s="34">
        <f>IF(SUM($I139:BK139)&lt;1,IF($C139&lt;=BL$4,1/$E$41,0),0)</f>
        <v>0</v>
      </c>
      <c r="BM139" s="34">
        <f>IF(SUM($I139:BL139)&lt;1,IF($C139&lt;=BM$4,1/$E$41,0),0)</f>
        <v>0</v>
      </c>
      <c r="BN139" s="34">
        <f>IF(SUM($I139:BM139)&lt;1,IF($C139&lt;=BN$4,1/$E$41,0),0)</f>
        <v>0</v>
      </c>
      <c r="BO139" s="34">
        <f>IF(SUM($I139:BN139)&lt;1,IF($C139&lt;=BO$4,1/$E$41,0),0)</f>
        <v>0</v>
      </c>
      <c r="BP139" s="34">
        <f>IF(SUM($I139:BO139)&lt;1,IF($C139&lt;=BP$4,1/$E$41,0),0)</f>
        <v>0</v>
      </c>
      <c r="BQ139" s="34">
        <f>IF(SUM($I139:BP139)&lt;1,IF($C139&lt;=BQ$4,1/$E$41,0),0)</f>
        <v>0</v>
      </c>
      <c r="BR139" s="34">
        <f>IF(SUM($I139:BQ139)&lt;1,IF($C139&lt;=BR$4,1/$E$41,0),0)</f>
        <v>0</v>
      </c>
      <c r="BS139" s="34">
        <f>IF(SUM($I139:BR139)&lt;1,IF($C139&lt;=BS$4,1/$E$41,0),0)</f>
        <v>0</v>
      </c>
      <c r="BT139" s="34">
        <f>IF(SUM($I139:BS139)&lt;1,IF($C139&lt;=BT$4,1/$E$41,0),0)</f>
        <v>0</v>
      </c>
      <c r="BU139" s="34">
        <f>IF(SUM($I139:BT139)&lt;1,IF($C139&lt;=BU$4,1/$E$41,0),0)</f>
        <v>0</v>
      </c>
      <c r="BV139" s="34">
        <f>IF(SUM($I139:BU139)&lt;1,IF($C139&lt;=BV$4,1/$E$41,0),0)</f>
        <v>0</v>
      </c>
      <c r="BW139" s="34">
        <f>IF(SUM($I139:BV139)&lt;1,IF($C139&lt;=BW$4,1/$E$41,0),0)</f>
        <v>0</v>
      </c>
      <c r="BX139" s="34">
        <f>IF(SUM($I139:BW139)&lt;1,IF($C139&lt;=BX$4,1/$E$41,0),0)</f>
        <v>0</v>
      </c>
      <c r="BY139" s="34">
        <f>IF(SUM($I139:BX139)&lt;1,IF($C139&lt;=BY$4,1/$E$41,0),0)</f>
        <v>0</v>
      </c>
      <c r="BZ139" s="34">
        <f>IF(SUM($I139:BY139)&lt;1,IF($C139&lt;=BZ$4,1/$E$41,0),0)</f>
        <v>0</v>
      </c>
      <c r="CA139" s="34">
        <f>IF(SUM($I139:BZ139)&lt;1,IF($C139&lt;=CA$4,1/$E$41,0),0)</f>
        <v>0</v>
      </c>
      <c r="CB139" s="34">
        <f>IF(SUM($I139:CA139)&lt;1,IF($C139&lt;=CB$4,1/$E$41,0),0)</f>
        <v>0</v>
      </c>
      <c r="CC139" s="34">
        <f>IF(SUM($I139:CB139)&lt;1,IF($C139&lt;=CC$4,1/$E$41,0),0)</f>
        <v>0</v>
      </c>
      <c r="CD139" s="34">
        <f>IF(SUM($I139:CC139)&lt;1,IF($C139&lt;=CD$4,1/$E$41,0),0)</f>
        <v>0</v>
      </c>
      <c r="CE139" s="34">
        <f>IF(SUM($I139:CD139)&lt;1,IF($C139&lt;=CE$4,1/$E$41,0),0)</f>
        <v>0</v>
      </c>
      <c r="CF139" s="34">
        <f>IF(SUM($I139:CE139)&lt;1,IF($C139&lt;=CF$4,1/$E$41,0),0)</f>
        <v>0</v>
      </c>
      <c r="CG139" s="34">
        <f>IF(SUM($I139:CF139)&lt;1,IF($C139&lt;=CG$4,1/$E$41,0),0)</f>
        <v>0</v>
      </c>
      <c r="CH139" s="34">
        <f>IF(SUM($I139:CG139)&lt;1,IF($C139&lt;=CH$4,1/$E$41,0),0)</f>
        <v>0</v>
      </c>
      <c r="CI139" s="34">
        <f>IF(SUM($I139:CH139)&lt;1,IF($C139&lt;=CI$4,1/$E$41,0),0)</f>
        <v>0</v>
      </c>
      <c r="CJ139" s="34">
        <f>IF(SUM($I139:CI139)&lt;1,IF($C139&lt;=CJ$4,1/$E$41,0),0)</f>
        <v>0</v>
      </c>
      <c r="CK139" s="34">
        <f>IF(SUM($I139:CJ139)&lt;1,IF($C139&lt;=CK$4,1/$E$41,0),0)</f>
        <v>0</v>
      </c>
      <c r="CL139" s="34">
        <f>IF(SUM($I139:CK139)&lt;1,IF($C139&lt;=CL$4,1/$E$41,0),0)</f>
        <v>0</v>
      </c>
      <c r="CM139" s="34">
        <f>IF(SUM($I139:CL139)&lt;1,IF($C139&lt;=CM$4,1/$E$41,0),0)</f>
        <v>0</v>
      </c>
      <c r="CN139" s="34">
        <f>IF(SUM($I139:CM139)&lt;1,IF($C139&lt;=CN$4,1/$E$41,0),0)</f>
        <v>0</v>
      </c>
      <c r="CO139" s="34">
        <f>IF(SUM($I139:CN139)&lt;1,IF($C139&lt;=CO$4,1/$E$41,0),0)</f>
        <v>0</v>
      </c>
      <c r="CP139" s="34">
        <f>IF(SUM($I139:CO139)&lt;1,IF($C139&lt;=CP$4,1/$E$41,0),0)</f>
        <v>0</v>
      </c>
      <c r="CQ139" s="34">
        <f>IF(SUM($I139:CP139)&lt;1,IF($C139&lt;=CQ$4,1/$E$41,0),0)</f>
        <v>0</v>
      </c>
      <c r="CR139" s="34">
        <f>IF(SUM($I139:CQ139)&lt;1,IF($C139&lt;=CR$4,1/$E$41,0),0)</f>
        <v>0</v>
      </c>
      <c r="CS139" s="34">
        <f>IF(SUM($I139:CR139)&lt;1,IF($C139&lt;=CS$4,1/$E$41,0),0)</f>
        <v>0</v>
      </c>
      <c r="CT139" s="34">
        <f>IF(SUM($I139:CS139)&lt;1,IF($C139&lt;=CT$4,1/$E$41,0),0)</f>
        <v>0</v>
      </c>
      <c r="CU139" s="34">
        <f>IF(SUM($I139:CT139)&lt;1,IF($C139&lt;=CU$4,1/$E$41,0),0)</f>
        <v>0</v>
      </c>
      <c r="CV139" s="34">
        <f>IF(SUM($I139:CU139)&lt;1,IF($C139&lt;=CV$4,1/$E$41,0),0)</f>
        <v>0</v>
      </c>
      <c r="CW139" s="34">
        <f>IF(SUM($I139:CV139)&lt;1,IF($C139&lt;=CW$4,1/$E$41,0),0)</f>
        <v>0</v>
      </c>
      <c r="CX139" s="34">
        <f>IF(SUM($I139:CW139)&lt;1,IF($C139&lt;=CX$4,1/$E$41,0),0)</f>
        <v>0</v>
      </c>
      <c r="CY139" s="34">
        <f>IF(SUM($I139:CX139)&lt;1,IF($C139&lt;=CY$4,1/$E$41,0),0)</f>
        <v>0</v>
      </c>
      <c r="CZ139" s="34">
        <f>IF(SUM($I139:CY139)&lt;1,IF($C139&lt;=CZ$4,1/$E$41,0),0)</f>
        <v>0.25</v>
      </c>
      <c r="DA139" s="34">
        <f>IF(SUM($I139:CZ139)&lt;1,IF($C139&lt;=DA$4,1/$E$41,0),0)</f>
        <v>0.25</v>
      </c>
      <c r="DB139" s="34">
        <f>IF(SUM($I139:DA139)&lt;1,IF($C139&lt;=DB$4,1/$E$41,0),0)</f>
        <v>0.25</v>
      </c>
      <c r="DC139" s="34">
        <f>IF(SUM($I139:DB139)&lt;1,IF($C139&lt;=DC$4,1/$E$41,0),0)</f>
        <v>0.25</v>
      </c>
      <c r="DD139" s="34">
        <f>IF(SUM($I139:DC139)&lt;1,IF($C139&lt;=DD$4,1/$E$41,0),0)</f>
        <v>0</v>
      </c>
      <c r="DE139" s="34">
        <f>IF(SUM($I139:DD139)&lt;1,IF($C139&lt;=DE$4,1/$E$41,0),0)</f>
        <v>0</v>
      </c>
      <c r="DF139" s="34">
        <f>IF(SUM($I139:DE139)&lt;1,IF($C139&lt;=DF$4,1/$E$41,0),0)</f>
        <v>0</v>
      </c>
      <c r="DG139" s="34">
        <f>IF(SUM($I139:DF139)&lt;1,IF($C139&lt;=DG$4,1/$E$41,0),0)</f>
        <v>0</v>
      </c>
      <c r="DH139" s="34">
        <f>IF(SUM($I139:DG139)&lt;1,IF($C139&lt;=DH$4,1/$E$41,0),0)</f>
        <v>0</v>
      </c>
      <c r="DI139" s="34">
        <f>IF(SUM($I139:DH139)&lt;1,IF($C139&lt;=DI$4,1/$E$41,0),0)</f>
        <v>0</v>
      </c>
      <c r="DJ139" s="34">
        <f>IF(SUM($I139:DI139)&lt;1,IF($C139&lt;=DJ$4,1/$E$41,0),0)</f>
        <v>0</v>
      </c>
      <c r="DK139" s="34">
        <f>IF(SUM($I139:DJ139)&lt;1,IF($C139&lt;=DK$4,1/$E$41,0),0)</f>
        <v>0</v>
      </c>
      <c r="DL139" s="34">
        <f>IF(SUM($I139:DK139)&lt;1,IF($C139&lt;=DL$4,1/$E$41,0),0)</f>
        <v>0</v>
      </c>
      <c r="DM139" s="34">
        <f>IF(SUM($I139:DL139)&lt;1,IF($C139&lt;=DM$4,1/$E$41,0),0)</f>
        <v>0</v>
      </c>
    </row>
    <row r="140" spans="3:117" outlineLevel="1" x14ac:dyDescent="0.15">
      <c r="C140" s="50">
        <f t="shared" si="51"/>
        <v>96</v>
      </c>
      <c r="D140" s="5" t="s">
        <v>18</v>
      </c>
      <c r="E140" s="19">
        <f t="shared" si="50"/>
        <v>0</v>
      </c>
      <c r="I140" s="9"/>
      <c r="J140" s="34">
        <f>IF(SUM($I140:I140)&lt;1,IF($C140&lt;=J$4,1/$E$41,0),0)</f>
        <v>0</v>
      </c>
      <c r="K140" s="34">
        <f>IF(SUM($I140:J140)&lt;1,IF($C140&lt;=K$4,1/$E$41,0),0)</f>
        <v>0</v>
      </c>
      <c r="L140" s="34">
        <f>IF(SUM($I140:K140)&lt;1,IF($C140&lt;=L$4,1/$E$41,0),0)</f>
        <v>0</v>
      </c>
      <c r="M140" s="34">
        <f>IF(SUM($I140:L140)&lt;1,IF($C140&lt;=M$4,1/$E$41,0),0)</f>
        <v>0</v>
      </c>
      <c r="N140" s="34">
        <f>IF(SUM($I140:M140)&lt;1,IF($C140&lt;=N$4,1/$E$41,0),0)</f>
        <v>0</v>
      </c>
      <c r="O140" s="34">
        <f>IF(SUM($I140:N140)&lt;1,IF($C140&lt;=O$4,1/$E$41,0),0)</f>
        <v>0</v>
      </c>
      <c r="P140" s="34">
        <f>IF(SUM($I140:O140)&lt;1,IF($C140&lt;=P$4,1/$E$41,0),0)</f>
        <v>0</v>
      </c>
      <c r="Q140" s="34">
        <f>IF(SUM($I140:P140)&lt;1,IF($C140&lt;=Q$4,1/$E$41,0),0)</f>
        <v>0</v>
      </c>
      <c r="R140" s="34">
        <f>IF(SUM($I140:Q140)&lt;1,IF($C140&lt;=R$4,1/$E$41,0),0)</f>
        <v>0</v>
      </c>
      <c r="S140" s="34">
        <f>IF(SUM($I140:R140)&lt;1,IF($C140&lt;=S$4,1/$E$41,0),0)</f>
        <v>0</v>
      </c>
      <c r="T140" s="34">
        <f>IF(SUM($I140:S140)&lt;1,IF($C140&lt;=T$4,1/$E$41,0),0)</f>
        <v>0</v>
      </c>
      <c r="U140" s="34">
        <f>IF(SUM($I140:T140)&lt;1,IF($C140&lt;=U$4,1/$E$41,0),0)</f>
        <v>0</v>
      </c>
      <c r="V140" s="34">
        <f>IF(SUM($I140:U140)&lt;1,IF($C140&lt;=V$4,1/$E$41,0),0)</f>
        <v>0</v>
      </c>
      <c r="W140" s="34">
        <f>IF(SUM($I140:V140)&lt;1,IF($C140&lt;=W$4,1/$E$41,0),0)</f>
        <v>0</v>
      </c>
      <c r="X140" s="34">
        <f>IF(SUM($I140:W140)&lt;1,IF($C140&lt;=X$4,1/$E$41,0),0)</f>
        <v>0</v>
      </c>
      <c r="Y140" s="34">
        <f>IF(SUM($I140:X140)&lt;1,IF($C140&lt;=Y$4,1/$E$41,0),0)</f>
        <v>0</v>
      </c>
      <c r="Z140" s="34">
        <f>IF(SUM($I140:Y140)&lt;1,IF($C140&lt;=Z$4,1/$E$41,0),0)</f>
        <v>0</v>
      </c>
      <c r="AA140" s="34">
        <f>IF(SUM($I140:Z140)&lt;1,IF($C140&lt;=AA$4,1/$E$41,0),0)</f>
        <v>0</v>
      </c>
      <c r="AB140" s="34">
        <f>IF(SUM($I140:AA140)&lt;1,IF($C140&lt;=AB$4,1/$E$41,0),0)</f>
        <v>0</v>
      </c>
      <c r="AC140" s="34">
        <f>IF(SUM($I140:AB140)&lt;1,IF($C140&lt;=AC$4,1/$E$41,0),0)</f>
        <v>0</v>
      </c>
      <c r="AD140" s="34">
        <f>IF(SUM($I140:AC140)&lt;1,IF($C140&lt;=AD$4,1/$E$41,0),0)</f>
        <v>0</v>
      </c>
      <c r="AE140" s="34">
        <f>IF(SUM($I140:AD140)&lt;1,IF($C140&lt;=AE$4,1/$E$41,0),0)</f>
        <v>0</v>
      </c>
      <c r="AF140" s="34">
        <f>IF(SUM($I140:AE140)&lt;1,IF($C140&lt;=AF$4,1/$E$41,0),0)</f>
        <v>0</v>
      </c>
      <c r="AG140" s="34">
        <f>IF(SUM($I140:AF140)&lt;1,IF($C140&lt;=AG$4,1/$E$41,0),0)</f>
        <v>0</v>
      </c>
      <c r="AH140" s="34">
        <f>IF(SUM($I140:AG140)&lt;1,IF($C140&lt;=AH$4,1/$E$41,0),0)</f>
        <v>0</v>
      </c>
      <c r="AI140" s="34">
        <f>IF(SUM($I140:AH140)&lt;1,IF($C140&lt;=AI$4,1/$E$41,0),0)</f>
        <v>0</v>
      </c>
      <c r="AJ140" s="34">
        <f>IF(SUM($I140:AI140)&lt;1,IF($C140&lt;=AJ$4,1/$E$41,0),0)</f>
        <v>0</v>
      </c>
      <c r="AK140" s="34">
        <f>IF(SUM($I140:AJ140)&lt;1,IF($C140&lt;=AK$4,1/$E$41,0),0)</f>
        <v>0</v>
      </c>
      <c r="AL140" s="34">
        <f>IF(SUM($I140:AK140)&lt;1,IF($C140&lt;=AL$4,1/$E$41,0),0)</f>
        <v>0</v>
      </c>
      <c r="AM140" s="34">
        <f>IF(SUM($I140:AL140)&lt;1,IF($C140&lt;=AM$4,1/$E$41,0),0)</f>
        <v>0</v>
      </c>
      <c r="AN140" s="34">
        <f>IF(SUM($I140:AM140)&lt;1,IF($C140&lt;=AN$4,1/$E$41,0),0)</f>
        <v>0</v>
      </c>
      <c r="AO140" s="34">
        <f>IF(SUM($I140:AN140)&lt;1,IF($C140&lt;=AO$4,1/$E$41,0),0)</f>
        <v>0</v>
      </c>
      <c r="AP140" s="34">
        <f>IF(SUM($I140:AO140)&lt;1,IF($C140&lt;=AP$4,1/$E$41,0),0)</f>
        <v>0</v>
      </c>
      <c r="AQ140" s="34">
        <f>IF(SUM($I140:AP140)&lt;1,IF($C140&lt;=AQ$4,1/$E$41,0),0)</f>
        <v>0</v>
      </c>
      <c r="AR140" s="34">
        <f>IF(SUM($I140:AQ140)&lt;1,IF($C140&lt;=AR$4,1/$E$41,0),0)</f>
        <v>0</v>
      </c>
      <c r="AS140" s="34">
        <f>IF(SUM($I140:AR140)&lt;1,IF($C140&lt;=AS$4,1/$E$41,0),0)</f>
        <v>0</v>
      </c>
      <c r="AT140" s="34">
        <f>IF(SUM($I140:AS140)&lt;1,IF($C140&lt;=AT$4,1/$E$41,0),0)</f>
        <v>0</v>
      </c>
      <c r="AU140" s="34">
        <f>IF(SUM($I140:AT140)&lt;1,IF($C140&lt;=AU$4,1/$E$41,0),0)</f>
        <v>0</v>
      </c>
      <c r="AV140" s="34">
        <f>IF(SUM($I140:AU140)&lt;1,IF($C140&lt;=AV$4,1/$E$41,0),0)</f>
        <v>0</v>
      </c>
      <c r="AW140" s="34">
        <f>IF(SUM($I140:AV140)&lt;1,IF($C140&lt;=AW$4,1/$E$41,0),0)</f>
        <v>0</v>
      </c>
      <c r="AX140" s="34">
        <f>IF(SUM($I140:AW140)&lt;1,IF($C140&lt;=AX$4,1/$E$41,0),0)</f>
        <v>0</v>
      </c>
      <c r="AY140" s="34">
        <f>IF(SUM($I140:AX140)&lt;1,IF($C140&lt;=AY$4,1/$E$41,0),0)</f>
        <v>0</v>
      </c>
      <c r="AZ140" s="34">
        <f>IF(SUM($I140:AY140)&lt;1,IF($C140&lt;=AZ$4,1/$E$41,0),0)</f>
        <v>0</v>
      </c>
      <c r="BA140" s="34">
        <f>IF(SUM($I140:AZ140)&lt;1,IF($C140&lt;=BA$4,1/$E$41,0),0)</f>
        <v>0</v>
      </c>
      <c r="BB140" s="34">
        <f>IF(SUM($I140:BA140)&lt;1,IF($C140&lt;=BB$4,1/$E$41,0),0)</f>
        <v>0</v>
      </c>
      <c r="BC140" s="34">
        <f>IF(SUM($I140:BB140)&lt;1,IF($C140&lt;=BC$4,1/$E$41,0),0)</f>
        <v>0</v>
      </c>
      <c r="BD140" s="34">
        <f>IF(SUM($I140:BC140)&lt;1,IF($C140&lt;=BD$4,1/$E$41,0),0)</f>
        <v>0</v>
      </c>
      <c r="BE140" s="34">
        <f>IF(SUM($I140:BD140)&lt;1,IF($C140&lt;=BE$4,1/$E$41,0),0)</f>
        <v>0</v>
      </c>
      <c r="BF140" s="34">
        <f>IF(SUM($I140:BE140)&lt;1,IF($C140&lt;=BF$4,1/$E$41,0),0)</f>
        <v>0</v>
      </c>
      <c r="BG140" s="34">
        <f>IF(SUM($I140:BF140)&lt;1,IF($C140&lt;=BG$4,1/$E$41,0),0)</f>
        <v>0</v>
      </c>
      <c r="BH140" s="34">
        <f>IF(SUM($I140:BG140)&lt;1,IF($C140&lt;=BH$4,1/$E$41,0),0)</f>
        <v>0</v>
      </c>
      <c r="BI140" s="34">
        <f>IF(SUM($I140:BH140)&lt;1,IF($C140&lt;=BI$4,1/$E$41,0),0)</f>
        <v>0</v>
      </c>
      <c r="BJ140" s="34">
        <f>IF(SUM($I140:BI140)&lt;1,IF($C140&lt;=BJ$4,1/$E$41,0),0)</f>
        <v>0</v>
      </c>
      <c r="BK140" s="34">
        <f>IF(SUM($I140:BJ140)&lt;1,IF($C140&lt;=BK$4,1/$E$41,0),0)</f>
        <v>0</v>
      </c>
      <c r="BL140" s="34">
        <f>IF(SUM($I140:BK140)&lt;1,IF($C140&lt;=BL$4,1/$E$41,0),0)</f>
        <v>0</v>
      </c>
      <c r="BM140" s="34">
        <f>IF(SUM($I140:BL140)&lt;1,IF($C140&lt;=BM$4,1/$E$41,0),0)</f>
        <v>0</v>
      </c>
      <c r="BN140" s="34">
        <f>IF(SUM($I140:BM140)&lt;1,IF($C140&lt;=BN$4,1/$E$41,0),0)</f>
        <v>0</v>
      </c>
      <c r="BO140" s="34">
        <f>IF(SUM($I140:BN140)&lt;1,IF($C140&lt;=BO$4,1/$E$41,0),0)</f>
        <v>0</v>
      </c>
      <c r="BP140" s="34">
        <f>IF(SUM($I140:BO140)&lt;1,IF($C140&lt;=BP$4,1/$E$41,0),0)</f>
        <v>0</v>
      </c>
      <c r="BQ140" s="34">
        <f>IF(SUM($I140:BP140)&lt;1,IF($C140&lt;=BQ$4,1/$E$41,0),0)</f>
        <v>0</v>
      </c>
      <c r="BR140" s="34">
        <f>IF(SUM($I140:BQ140)&lt;1,IF($C140&lt;=BR$4,1/$E$41,0),0)</f>
        <v>0</v>
      </c>
      <c r="BS140" s="34">
        <f>IF(SUM($I140:BR140)&lt;1,IF($C140&lt;=BS$4,1/$E$41,0),0)</f>
        <v>0</v>
      </c>
      <c r="BT140" s="34">
        <f>IF(SUM($I140:BS140)&lt;1,IF($C140&lt;=BT$4,1/$E$41,0),0)</f>
        <v>0</v>
      </c>
      <c r="BU140" s="34">
        <f>IF(SUM($I140:BT140)&lt;1,IF($C140&lt;=BU$4,1/$E$41,0),0)</f>
        <v>0</v>
      </c>
      <c r="BV140" s="34">
        <f>IF(SUM($I140:BU140)&lt;1,IF($C140&lt;=BV$4,1/$E$41,0),0)</f>
        <v>0</v>
      </c>
      <c r="BW140" s="34">
        <f>IF(SUM($I140:BV140)&lt;1,IF($C140&lt;=BW$4,1/$E$41,0),0)</f>
        <v>0</v>
      </c>
      <c r="BX140" s="34">
        <f>IF(SUM($I140:BW140)&lt;1,IF($C140&lt;=BX$4,1/$E$41,0),0)</f>
        <v>0</v>
      </c>
      <c r="BY140" s="34">
        <f>IF(SUM($I140:BX140)&lt;1,IF($C140&lt;=BY$4,1/$E$41,0),0)</f>
        <v>0</v>
      </c>
      <c r="BZ140" s="34">
        <f>IF(SUM($I140:BY140)&lt;1,IF($C140&lt;=BZ$4,1/$E$41,0),0)</f>
        <v>0</v>
      </c>
      <c r="CA140" s="34">
        <f>IF(SUM($I140:BZ140)&lt;1,IF($C140&lt;=CA$4,1/$E$41,0),0)</f>
        <v>0</v>
      </c>
      <c r="CB140" s="34">
        <f>IF(SUM($I140:CA140)&lt;1,IF($C140&lt;=CB$4,1/$E$41,0),0)</f>
        <v>0</v>
      </c>
      <c r="CC140" s="34">
        <f>IF(SUM($I140:CB140)&lt;1,IF($C140&lt;=CC$4,1/$E$41,0),0)</f>
        <v>0</v>
      </c>
      <c r="CD140" s="34">
        <f>IF(SUM($I140:CC140)&lt;1,IF($C140&lt;=CD$4,1/$E$41,0),0)</f>
        <v>0</v>
      </c>
      <c r="CE140" s="34">
        <f>IF(SUM($I140:CD140)&lt;1,IF($C140&lt;=CE$4,1/$E$41,0),0)</f>
        <v>0</v>
      </c>
      <c r="CF140" s="34">
        <f>IF(SUM($I140:CE140)&lt;1,IF($C140&lt;=CF$4,1/$E$41,0),0)</f>
        <v>0</v>
      </c>
      <c r="CG140" s="34">
        <f>IF(SUM($I140:CF140)&lt;1,IF($C140&lt;=CG$4,1/$E$41,0),0)</f>
        <v>0</v>
      </c>
      <c r="CH140" s="34">
        <f>IF(SUM($I140:CG140)&lt;1,IF($C140&lt;=CH$4,1/$E$41,0),0)</f>
        <v>0</v>
      </c>
      <c r="CI140" s="34">
        <f>IF(SUM($I140:CH140)&lt;1,IF($C140&lt;=CI$4,1/$E$41,0),0)</f>
        <v>0</v>
      </c>
      <c r="CJ140" s="34">
        <f>IF(SUM($I140:CI140)&lt;1,IF($C140&lt;=CJ$4,1/$E$41,0),0)</f>
        <v>0</v>
      </c>
      <c r="CK140" s="34">
        <f>IF(SUM($I140:CJ140)&lt;1,IF($C140&lt;=CK$4,1/$E$41,0),0)</f>
        <v>0</v>
      </c>
      <c r="CL140" s="34">
        <f>IF(SUM($I140:CK140)&lt;1,IF($C140&lt;=CL$4,1/$E$41,0),0)</f>
        <v>0</v>
      </c>
      <c r="CM140" s="34">
        <f>IF(SUM($I140:CL140)&lt;1,IF($C140&lt;=CM$4,1/$E$41,0),0)</f>
        <v>0</v>
      </c>
      <c r="CN140" s="34">
        <f>IF(SUM($I140:CM140)&lt;1,IF($C140&lt;=CN$4,1/$E$41,0),0)</f>
        <v>0</v>
      </c>
      <c r="CO140" s="34">
        <f>IF(SUM($I140:CN140)&lt;1,IF($C140&lt;=CO$4,1/$E$41,0),0)</f>
        <v>0</v>
      </c>
      <c r="CP140" s="34">
        <f>IF(SUM($I140:CO140)&lt;1,IF($C140&lt;=CP$4,1/$E$41,0),0)</f>
        <v>0</v>
      </c>
      <c r="CQ140" s="34">
        <f>IF(SUM($I140:CP140)&lt;1,IF($C140&lt;=CQ$4,1/$E$41,0),0)</f>
        <v>0</v>
      </c>
      <c r="CR140" s="34">
        <f>IF(SUM($I140:CQ140)&lt;1,IF($C140&lt;=CR$4,1/$E$41,0),0)</f>
        <v>0</v>
      </c>
      <c r="CS140" s="34">
        <f>IF(SUM($I140:CR140)&lt;1,IF($C140&lt;=CS$4,1/$E$41,0),0)</f>
        <v>0</v>
      </c>
      <c r="CT140" s="34">
        <f>IF(SUM($I140:CS140)&lt;1,IF($C140&lt;=CT$4,1/$E$41,0),0)</f>
        <v>0</v>
      </c>
      <c r="CU140" s="34">
        <f>IF(SUM($I140:CT140)&lt;1,IF($C140&lt;=CU$4,1/$E$41,0),0)</f>
        <v>0</v>
      </c>
      <c r="CV140" s="34">
        <f>IF(SUM($I140:CU140)&lt;1,IF($C140&lt;=CV$4,1/$E$41,0),0)</f>
        <v>0</v>
      </c>
      <c r="CW140" s="34">
        <f>IF(SUM($I140:CV140)&lt;1,IF($C140&lt;=CW$4,1/$E$41,0),0)</f>
        <v>0</v>
      </c>
      <c r="CX140" s="34">
        <f>IF(SUM($I140:CW140)&lt;1,IF($C140&lt;=CX$4,1/$E$41,0),0)</f>
        <v>0</v>
      </c>
      <c r="CY140" s="34">
        <f>IF(SUM($I140:CX140)&lt;1,IF($C140&lt;=CY$4,1/$E$41,0),0)</f>
        <v>0</v>
      </c>
      <c r="CZ140" s="34">
        <f>IF(SUM($I140:CY140)&lt;1,IF($C140&lt;=CZ$4,1/$E$41,0),0)</f>
        <v>0</v>
      </c>
      <c r="DA140" s="34">
        <f>IF(SUM($I140:CZ140)&lt;1,IF($C140&lt;=DA$4,1/$E$41,0),0)</f>
        <v>0.25</v>
      </c>
      <c r="DB140" s="34">
        <f>IF(SUM($I140:DA140)&lt;1,IF($C140&lt;=DB$4,1/$E$41,0),0)</f>
        <v>0.25</v>
      </c>
      <c r="DC140" s="34">
        <f>IF(SUM($I140:DB140)&lt;1,IF($C140&lt;=DC$4,1/$E$41,0),0)</f>
        <v>0.25</v>
      </c>
      <c r="DD140" s="34">
        <f>IF(SUM($I140:DC140)&lt;1,IF($C140&lt;=DD$4,1/$E$41,0),0)</f>
        <v>0.25</v>
      </c>
      <c r="DE140" s="34">
        <f>IF(SUM($I140:DD140)&lt;1,IF($C140&lt;=DE$4,1/$E$41,0),0)</f>
        <v>0</v>
      </c>
      <c r="DF140" s="34">
        <f>IF(SUM($I140:DE140)&lt;1,IF($C140&lt;=DF$4,1/$E$41,0),0)</f>
        <v>0</v>
      </c>
      <c r="DG140" s="34">
        <f>IF(SUM($I140:DF140)&lt;1,IF($C140&lt;=DG$4,1/$E$41,0),0)</f>
        <v>0</v>
      </c>
      <c r="DH140" s="34">
        <f>IF(SUM($I140:DG140)&lt;1,IF($C140&lt;=DH$4,1/$E$41,0),0)</f>
        <v>0</v>
      </c>
      <c r="DI140" s="34">
        <f>IF(SUM($I140:DH140)&lt;1,IF($C140&lt;=DI$4,1/$E$41,0),0)</f>
        <v>0</v>
      </c>
      <c r="DJ140" s="34">
        <f>IF(SUM($I140:DI140)&lt;1,IF($C140&lt;=DJ$4,1/$E$41,0),0)</f>
        <v>0</v>
      </c>
      <c r="DK140" s="34">
        <f>IF(SUM($I140:DJ140)&lt;1,IF($C140&lt;=DK$4,1/$E$41,0),0)</f>
        <v>0</v>
      </c>
      <c r="DL140" s="34">
        <f>IF(SUM($I140:DK140)&lt;1,IF($C140&lt;=DL$4,1/$E$41,0),0)</f>
        <v>0</v>
      </c>
      <c r="DM140" s="34">
        <f>IF(SUM($I140:DL140)&lt;1,IF($C140&lt;=DM$4,1/$E$41,0),0)</f>
        <v>0</v>
      </c>
    </row>
    <row r="141" spans="3:117" outlineLevel="1" x14ac:dyDescent="0.15">
      <c r="C141" s="50">
        <f t="shared" si="51"/>
        <v>97</v>
      </c>
      <c r="D141" s="5" t="s">
        <v>18</v>
      </c>
      <c r="E141" s="19">
        <f t="shared" si="50"/>
        <v>0</v>
      </c>
      <c r="I141" s="9"/>
      <c r="J141" s="34">
        <f>IF(SUM($I141:I141)&lt;1,IF($C141&lt;=J$4,1/$E$41,0),0)</f>
        <v>0</v>
      </c>
      <c r="K141" s="34">
        <f>IF(SUM($I141:J141)&lt;1,IF($C141&lt;=K$4,1/$E$41,0),0)</f>
        <v>0</v>
      </c>
      <c r="L141" s="34">
        <f>IF(SUM($I141:K141)&lt;1,IF($C141&lt;=L$4,1/$E$41,0),0)</f>
        <v>0</v>
      </c>
      <c r="M141" s="34">
        <f>IF(SUM($I141:L141)&lt;1,IF($C141&lt;=M$4,1/$E$41,0),0)</f>
        <v>0</v>
      </c>
      <c r="N141" s="34">
        <f>IF(SUM($I141:M141)&lt;1,IF($C141&lt;=N$4,1/$E$41,0),0)</f>
        <v>0</v>
      </c>
      <c r="O141" s="34">
        <f>IF(SUM($I141:N141)&lt;1,IF($C141&lt;=O$4,1/$E$41,0),0)</f>
        <v>0</v>
      </c>
      <c r="P141" s="34">
        <f>IF(SUM($I141:O141)&lt;1,IF($C141&lt;=P$4,1/$E$41,0),0)</f>
        <v>0</v>
      </c>
      <c r="Q141" s="34">
        <f>IF(SUM($I141:P141)&lt;1,IF($C141&lt;=Q$4,1/$E$41,0),0)</f>
        <v>0</v>
      </c>
      <c r="R141" s="34">
        <f>IF(SUM($I141:Q141)&lt;1,IF($C141&lt;=R$4,1/$E$41,0),0)</f>
        <v>0</v>
      </c>
      <c r="S141" s="34">
        <f>IF(SUM($I141:R141)&lt;1,IF($C141&lt;=S$4,1/$E$41,0),0)</f>
        <v>0</v>
      </c>
      <c r="T141" s="34">
        <f>IF(SUM($I141:S141)&lt;1,IF($C141&lt;=T$4,1/$E$41,0),0)</f>
        <v>0</v>
      </c>
      <c r="U141" s="34">
        <f>IF(SUM($I141:T141)&lt;1,IF($C141&lt;=U$4,1/$E$41,0),0)</f>
        <v>0</v>
      </c>
      <c r="V141" s="34">
        <f>IF(SUM($I141:U141)&lt;1,IF($C141&lt;=V$4,1/$E$41,0),0)</f>
        <v>0</v>
      </c>
      <c r="W141" s="34">
        <f>IF(SUM($I141:V141)&lt;1,IF($C141&lt;=W$4,1/$E$41,0),0)</f>
        <v>0</v>
      </c>
      <c r="X141" s="34">
        <f>IF(SUM($I141:W141)&lt;1,IF($C141&lt;=X$4,1/$E$41,0),0)</f>
        <v>0</v>
      </c>
      <c r="Y141" s="34">
        <f>IF(SUM($I141:X141)&lt;1,IF($C141&lt;=Y$4,1/$E$41,0),0)</f>
        <v>0</v>
      </c>
      <c r="Z141" s="34">
        <f>IF(SUM($I141:Y141)&lt;1,IF($C141&lt;=Z$4,1/$E$41,0),0)</f>
        <v>0</v>
      </c>
      <c r="AA141" s="34">
        <f>IF(SUM($I141:Z141)&lt;1,IF($C141&lt;=AA$4,1/$E$41,0),0)</f>
        <v>0</v>
      </c>
      <c r="AB141" s="34">
        <f>IF(SUM($I141:AA141)&lt;1,IF($C141&lt;=AB$4,1/$E$41,0),0)</f>
        <v>0</v>
      </c>
      <c r="AC141" s="34">
        <f>IF(SUM($I141:AB141)&lt;1,IF($C141&lt;=AC$4,1/$E$41,0),0)</f>
        <v>0</v>
      </c>
      <c r="AD141" s="34">
        <f>IF(SUM($I141:AC141)&lt;1,IF($C141&lt;=AD$4,1/$E$41,0),0)</f>
        <v>0</v>
      </c>
      <c r="AE141" s="34">
        <f>IF(SUM($I141:AD141)&lt;1,IF($C141&lt;=AE$4,1/$E$41,0),0)</f>
        <v>0</v>
      </c>
      <c r="AF141" s="34">
        <f>IF(SUM($I141:AE141)&lt;1,IF($C141&lt;=AF$4,1/$E$41,0),0)</f>
        <v>0</v>
      </c>
      <c r="AG141" s="34">
        <f>IF(SUM($I141:AF141)&lt;1,IF($C141&lt;=AG$4,1/$E$41,0),0)</f>
        <v>0</v>
      </c>
      <c r="AH141" s="34">
        <f>IF(SUM($I141:AG141)&lt;1,IF($C141&lt;=AH$4,1/$E$41,0),0)</f>
        <v>0</v>
      </c>
      <c r="AI141" s="34">
        <f>IF(SUM($I141:AH141)&lt;1,IF($C141&lt;=AI$4,1/$E$41,0),0)</f>
        <v>0</v>
      </c>
      <c r="AJ141" s="34">
        <f>IF(SUM($I141:AI141)&lt;1,IF($C141&lt;=AJ$4,1/$E$41,0),0)</f>
        <v>0</v>
      </c>
      <c r="AK141" s="34">
        <f>IF(SUM($I141:AJ141)&lt;1,IF($C141&lt;=AK$4,1/$E$41,0),0)</f>
        <v>0</v>
      </c>
      <c r="AL141" s="34">
        <f>IF(SUM($I141:AK141)&lt;1,IF($C141&lt;=AL$4,1/$E$41,0),0)</f>
        <v>0</v>
      </c>
      <c r="AM141" s="34">
        <f>IF(SUM($I141:AL141)&lt;1,IF($C141&lt;=AM$4,1/$E$41,0),0)</f>
        <v>0</v>
      </c>
      <c r="AN141" s="34">
        <f>IF(SUM($I141:AM141)&lt;1,IF($C141&lt;=AN$4,1/$E$41,0),0)</f>
        <v>0</v>
      </c>
      <c r="AO141" s="34">
        <f>IF(SUM($I141:AN141)&lt;1,IF($C141&lt;=AO$4,1/$E$41,0),0)</f>
        <v>0</v>
      </c>
      <c r="AP141" s="34">
        <f>IF(SUM($I141:AO141)&lt;1,IF($C141&lt;=AP$4,1/$E$41,0),0)</f>
        <v>0</v>
      </c>
      <c r="AQ141" s="34">
        <f>IF(SUM($I141:AP141)&lt;1,IF($C141&lt;=AQ$4,1/$E$41,0),0)</f>
        <v>0</v>
      </c>
      <c r="AR141" s="34">
        <f>IF(SUM($I141:AQ141)&lt;1,IF($C141&lt;=AR$4,1/$E$41,0),0)</f>
        <v>0</v>
      </c>
      <c r="AS141" s="34">
        <f>IF(SUM($I141:AR141)&lt;1,IF($C141&lt;=AS$4,1/$E$41,0),0)</f>
        <v>0</v>
      </c>
      <c r="AT141" s="34">
        <f>IF(SUM($I141:AS141)&lt;1,IF($C141&lt;=AT$4,1/$E$41,0),0)</f>
        <v>0</v>
      </c>
      <c r="AU141" s="34">
        <f>IF(SUM($I141:AT141)&lt;1,IF($C141&lt;=AU$4,1/$E$41,0),0)</f>
        <v>0</v>
      </c>
      <c r="AV141" s="34">
        <f>IF(SUM($I141:AU141)&lt;1,IF($C141&lt;=AV$4,1/$E$41,0),0)</f>
        <v>0</v>
      </c>
      <c r="AW141" s="34">
        <f>IF(SUM($I141:AV141)&lt;1,IF($C141&lt;=AW$4,1/$E$41,0),0)</f>
        <v>0</v>
      </c>
      <c r="AX141" s="34">
        <f>IF(SUM($I141:AW141)&lt;1,IF($C141&lt;=AX$4,1/$E$41,0),0)</f>
        <v>0</v>
      </c>
      <c r="AY141" s="34">
        <f>IF(SUM($I141:AX141)&lt;1,IF($C141&lt;=AY$4,1/$E$41,0),0)</f>
        <v>0</v>
      </c>
      <c r="AZ141" s="34">
        <f>IF(SUM($I141:AY141)&lt;1,IF($C141&lt;=AZ$4,1/$E$41,0),0)</f>
        <v>0</v>
      </c>
      <c r="BA141" s="34">
        <f>IF(SUM($I141:AZ141)&lt;1,IF($C141&lt;=BA$4,1/$E$41,0),0)</f>
        <v>0</v>
      </c>
      <c r="BB141" s="34">
        <f>IF(SUM($I141:BA141)&lt;1,IF($C141&lt;=BB$4,1/$E$41,0),0)</f>
        <v>0</v>
      </c>
      <c r="BC141" s="34">
        <f>IF(SUM($I141:BB141)&lt;1,IF($C141&lt;=BC$4,1/$E$41,0),0)</f>
        <v>0</v>
      </c>
      <c r="BD141" s="34">
        <f>IF(SUM($I141:BC141)&lt;1,IF($C141&lt;=BD$4,1/$E$41,0),0)</f>
        <v>0</v>
      </c>
      <c r="BE141" s="34">
        <f>IF(SUM($I141:BD141)&lt;1,IF($C141&lt;=BE$4,1/$E$41,0),0)</f>
        <v>0</v>
      </c>
      <c r="BF141" s="34">
        <f>IF(SUM($I141:BE141)&lt;1,IF($C141&lt;=BF$4,1/$E$41,0),0)</f>
        <v>0</v>
      </c>
      <c r="BG141" s="34">
        <f>IF(SUM($I141:BF141)&lt;1,IF($C141&lt;=BG$4,1/$E$41,0),0)</f>
        <v>0</v>
      </c>
      <c r="BH141" s="34">
        <f>IF(SUM($I141:BG141)&lt;1,IF($C141&lt;=BH$4,1/$E$41,0),0)</f>
        <v>0</v>
      </c>
      <c r="BI141" s="34">
        <f>IF(SUM($I141:BH141)&lt;1,IF($C141&lt;=BI$4,1/$E$41,0),0)</f>
        <v>0</v>
      </c>
      <c r="BJ141" s="34">
        <f>IF(SUM($I141:BI141)&lt;1,IF($C141&lt;=BJ$4,1/$E$41,0),0)</f>
        <v>0</v>
      </c>
      <c r="BK141" s="34">
        <f>IF(SUM($I141:BJ141)&lt;1,IF($C141&lt;=BK$4,1/$E$41,0),0)</f>
        <v>0</v>
      </c>
      <c r="BL141" s="34">
        <f>IF(SUM($I141:BK141)&lt;1,IF($C141&lt;=BL$4,1/$E$41,0),0)</f>
        <v>0</v>
      </c>
      <c r="BM141" s="34">
        <f>IF(SUM($I141:BL141)&lt;1,IF($C141&lt;=BM$4,1/$E$41,0),0)</f>
        <v>0</v>
      </c>
      <c r="BN141" s="34">
        <f>IF(SUM($I141:BM141)&lt;1,IF($C141&lt;=BN$4,1/$E$41,0),0)</f>
        <v>0</v>
      </c>
      <c r="BO141" s="34">
        <f>IF(SUM($I141:BN141)&lt;1,IF($C141&lt;=BO$4,1/$E$41,0),0)</f>
        <v>0</v>
      </c>
      <c r="BP141" s="34">
        <f>IF(SUM($I141:BO141)&lt;1,IF($C141&lt;=BP$4,1/$E$41,0),0)</f>
        <v>0</v>
      </c>
      <c r="BQ141" s="34">
        <f>IF(SUM($I141:BP141)&lt;1,IF($C141&lt;=BQ$4,1/$E$41,0),0)</f>
        <v>0</v>
      </c>
      <c r="BR141" s="34">
        <f>IF(SUM($I141:BQ141)&lt;1,IF($C141&lt;=BR$4,1/$E$41,0),0)</f>
        <v>0</v>
      </c>
      <c r="BS141" s="34">
        <f>IF(SUM($I141:BR141)&lt;1,IF($C141&lt;=BS$4,1/$E$41,0),0)</f>
        <v>0</v>
      </c>
      <c r="BT141" s="34">
        <f>IF(SUM($I141:BS141)&lt;1,IF($C141&lt;=BT$4,1/$E$41,0),0)</f>
        <v>0</v>
      </c>
      <c r="BU141" s="34">
        <f>IF(SUM($I141:BT141)&lt;1,IF($C141&lt;=BU$4,1/$E$41,0),0)</f>
        <v>0</v>
      </c>
      <c r="BV141" s="34">
        <f>IF(SUM($I141:BU141)&lt;1,IF($C141&lt;=BV$4,1/$E$41,0),0)</f>
        <v>0</v>
      </c>
      <c r="BW141" s="34">
        <f>IF(SUM($I141:BV141)&lt;1,IF($C141&lt;=BW$4,1/$E$41,0),0)</f>
        <v>0</v>
      </c>
      <c r="BX141" s="34">
        <f>IF(SUM($I141:BW141)&lt;1,IF($C141&lt;=BX$4,1/$E$41,0),0)</f>
        <v>0</v>
      </c>
      <c r="BY141" s="34">
        <f>IF(SUM($I141:BX141)&lt;1,IF($C141&lt;=BY$4,1/$E$41,0),0)</f>
        <v>0</v>
      </c>
      <c r="BZ141" s="34">
        <f>IF(SUM($I141:BY141)&lt;1,IF($C141&lt;=BZ$4,1/$E$41,0),0)</f>
        <v>0</v>
      </c>
      <c r="CA141" s="34">
        <f>IF(SUM($I141:BZ141)&lt;1,IF($C141&lt;=CA$4,1/$E$41,0),0)</f>
        <v>0</v>
      </c>
      <c r="CB141" s="34">
        <f>IF(SUM($I141:CA141)&lt;1,IF($C141&lt;=CB$4,1/$E$41,0),0)</f>
        <v>0</v>
      </c>
      <c r="CC141" s="34">
        <f>IF(SUM($I141:CB141)&lt;1,IF($C141&lt;=CC$4,1/$E$41,0),0)</f>
        <v>0</v>
      </c>
      <c r="CD141" s="34">
        <f>IF(SUM($I141:CC141)&lt;1,IF($C141&lt;=CD$4,1/$E$41,0),0)</f>
        <v>0</v>
      </c>
      <c r="CE141" s="34">
        <f>IF(SUM($I141:CD141)&lt;1,IF($C141&lt;=CE$4,1/$E$41,0),0)</f>
        <v>0</v>
      </c>
      <c r="CF141" s="34">
        <f>IF(SUM($I141:CE141)&lt;1,IF($C141&lt;=CF$4,1/$E$41,0),0)</f>
        <v>0</v>
      </c>
      <c r="CG141" s="34">
        <f>IF(SUM($I141:CF141)&lt;1,IF($C141&lt;=CG$4,1/$E$41,0),0)</f>
        <v>0</v>
      </c>
      <c r="CH141" s="34">
        <f>IF(SUM($I141:CG141)&lt;1,IF($C141&lt;=CH$4,1/$E$41,0),0)</f>
        <v>0</v>
      </c>
      <c r="CI141" s="34">
        <f>IF(SUM($I141:CH141)&lt;1,IF($C141&lt;=CI$4,1/$E$41,0),0)</f>
        <v>0</v>
      </c>
      <c r="CJ141" s="34">
        <f>IF(SUM($I141:CI141)&lt;1,IF($C141&lt;=CJ$4,1/$E$41,0),0)</f>
        <v>0</v>
      </c>
      <c r="CK141" s="34">
        <f>IF(SUM($I141:CJ141)&lt;1,IF($C141&lt;=CK$4,1/$E$41,0),0)</f>
        <v>0</v>
      </c>
      <c r="CL141" s="34">
        <f>IF(SUM($I141:CK141)&lt;1,IF($C141&lt;=CL$4,1/$E$41,0),0)</f>
        <v>0</v>
      </c>
      <c r="CM141" s="34">
        <f>IF(SUM($I141:CL141)&lt;1,IF($C141&lt;=CM$4,1/$E$41,0),0)</f>
        <v>0</v>
      </c>
      <c r="CN141" s="34">
        <f>IF(SUM($I141:CM141)&lt;1,IF($C141&lt;=CN$4,1/$E$41,0),0)</f>
        <v>0</v>
      </c>
      <c r="CO141" s="34">
        <f>IF(SUM($I141:CN141)&lt;1,IF($C141&lt;=CO$4,1/$E$41,0),0)</f>
        <v>0</v>
      </c>
      <c r="CP141" s="34">
        <f>IF(SUM($I141:CO141)&lt;1,IF($C141&lt;=CP$4,1/$E$41,0),0)</f>
        <v>0</v>
      </c>
      <c r="CQ141" s="34">
        <f>IF(SUM($I141:CP141)&lt;1,IF($C141&lt;=CQ$4,1/$E$41,0),0)</f>
        <v>0</v>
      </c>
      <c r="CR141" s="34">
        <f>IF(SUM($I141:CQ141)&lt;1,IF($C141&lt;=CR$4,1/$E$41,0),0)</f>
        <v>0</v>
      </c>
      <c r="CS141" s="34">
        <f>IF(SUM($I141:CR141)&lt;1,IF($C141&lt;=CS$4,1/$E$41,0),0)</f>
        <v>0</v>
      </c>
      <c r="CT141" s="34">
        <f>IF(SUM($I141:CS141)&lt;1,IF($C141&lt;=CT$4,1/$E$41,0),0)</f>
        <v>0</v>
      </c>
      <c r="CU141" s="34">
        <f>IF(SUM($I141:CT141)&lt;1,IF($C141&lt;=CU$4,1/$E$41,0),0)</f>
        <v>0</v>
      </c>
      <c r="CV141" s="34">
        <f>IF(SUM($I141:CU141)&lt;1,IF($C141&lt;=CV$4,1/$E$41,0),0)</f>
        <v>0</v>
      </c>
      <c r="CW141" s="34">
        <f>IF(SUM($I141:CV141)&lt;1,IF($C141&lt;=CW$4,1/$E$41,0),0)</f>
        <v>0</v>
      </c>
      <c r="CX141" s="34">
        <f>IF(SUM($I141:CW141)&lt;1,IF($C141&lt;=CX$4,1/$E$41,0),0)</f>
        <v>0</v>
      </c>
      <c r="CY141" s="34">
        <f>IF(SUM($I141:CX141)&lt;1,IF($C141&lt;=CY$4,1/$E$41,0),0)</f>
        <v>0</v>
      </c>
      <c r="CZ141" s="34">
        <f>IF(SUM($I141:CY141)&lt;1,IF($C141&lt;=CZ$4,1/$E$41,0),0)</f>
        <v>0</v>
      </c>
      <c r="DA141" s="34">
        <f>IF(SUM($I141:CZ141)&lt;1,IF($C141&lt;=DA$4,1/$E$41,0),0)</f>
        <v>0</v>
      </c>
      <c r="DB141" s="34">
        <f>IF(SUM($I141:DA141)&lt;1,IF($C141&lt;=DB$4,1/$E$41,0),0)</f>
        <v>0.25</v>
      </c>
      <c r="DC141" s="34">
        <f>IF(SUM($I141:DB141)&lt;1,IF($C141&lt;=DC$4,1/$E$41,0),0)</f>
        <v>0.25</v>
      </c>
      <c r="DD141" s="34">
        <f>IF(SUM($I141:DC141)&lt;1,IF($C141&lt;=DD$4,1/$E$41,0),0)</f>
        <v>0.25</v>
      </c>
      <c r="DE141" s="34">
        <f>IF(SUM($I141:DD141)&lt;1,IF($C141&lt;=DE$4,1/$E$41,0),0)</f>
        <v>0.25</v>
      </c>
      <c r="DF141" s="34">
        <f>IF(SUM($I141:DE141)&lt;1,IF($C141&lt;=DF$4,1/$E$41,0),0)</f>
        <v>0</v>
      </c>
      <c r="DG141" s="34">
        <f>IF(SUM($I141:DF141)&lt;1,IF($C141&lt;=DG$4,1/$E$41,0),0)</f>
        <v>0</v>
      </c>
      <c r="DH141" s="34">
        <f>IF(SUM($I141:DG141)&lt;1,IF($C141&lt;=DH$4,1/$E$41,0),0)</f>
        <v>0</v>
      </c>
      <c r="DI141" s="34">
        <f>IF(SUM($I141:DH141)&lt;1,IF($C141&lt;=DI$4,1/$E$41,0),0)</f>
        <v>0</v>
      </c>
      <c r="DJ141" s="34">
        <f>IF(SUM($I141:DI141)&lt;1,IF($C141&lt;=DJ$4,1/$E$41,0),0)</f>
        <v>0</v>
      </c>
      <c r="DK141" s="34">
        <f>IF(SUM($I141:DJ141)&lt;1,IF($C141&lt;=DK$4,1/$E$41,0),0)</f>
        <v>0</v>
      </c>
      <c r="DL141" s="34">
        <f>IF(SUM($I141:DK141)&lt;1,IF($C141&lt;=DL$4,1/$E$41,0),0)</f>
        <v>0</v>
      </c>
      <c r="DM141" s="34">
        <f>IF(SUM($I141:DL141)&lt;1,IF($C141&lt;=DM$4,1/$E$41,0),0)</f>
        <v>0</v>
      </c>
    </row>
    <row r="142" spans="3:117" outlineLevel="1" x14ac:dyDescent="0.15">
      <c r="C142" s="50">
        <f t="shared" si="51"/>
        <v>98</v>
      </c>
      <c r="D142" s="5" t="s">
        <v>18</v>
      </c>
      <c r="E142" s="19">
        <f t="shared" si="50"/>
        <v>0</v>
      </c>
      <c r="I142" s="9"/>
      <c r="J142" s="34">
        <f>IF(SUM($I142:I142)&lt;1,IF($C142&lt;=J$4,1/$E$41,0),0)</f>
        <v>0</v>
      </c>
      <c r="K142" s="34">
        <f>IF(SUM($I142:J142)&lt;1,IF($C142&lt;=K$4,1/$E$41,0),0)</f>
        <v>0</v>
      </c>
      <c r="L142" s="34">
        <f>IF(SUM($I142:K142)&lt;1,IF($C142&lt;=L$4,1/$E$41,0),0)</f>
        <v>0</v>
      </c>
      <c r="M142" s="34">
        <f>IF(SUM($I142:L142)&lt;1,IF($C142&lt;=M$4,1/$E$41,0),0)</f>
        <v>0</v>
      </c>
      <c r="N142" s="34">
        <f>IF(SUM($I142:M142)&lt;1,IF($C142&lt;=N$4,1/$E$41,0),0)</f>
        <v>0</v>
      </c>
      <c r="O142" s="34">
        <f>IF(SUM($I142:N142)&lt;1,IF($C142&lt;=O$4,1/$E$41,0),0)</f>
        <v>0</v>
      </c>
      <c r="P142" s="34">
        <f>IF(SUM($I142:O142)&lt;1,IF($C142&lt;=P$4,1/$E$41,0),0)</f>
        <v>0</v>
      </c>
      <c r="Q142" s="34">
        <f>IF(SUM($I142:P142)&lt;1,IF($C142&lt;=Q$4,1/$E$41,0),0)</f>
        <v>0</v>
      </c>
      <c r="R142" s="34">
        <f>IF(SUM($I142:Q142)&lt;1,IF($C142&lt;=R$4,1/$E$41,0),0)</f>
        <v>0</v>
      </c>
      <c r="S142" s="34">
        <f>IF(SUM($I142:R142)&lt;1,IF($C142&lt;=S$4,1/$E$41,0),0)</f>
        <v>0</v>
      </c>
      <c r="T142" s="34">
        <f>IF(SUM($I142:S142)&lt;1,IF($C142&lt;=T$4,1/$E$41,0),0)</f>
        <v>0</v>
      </c>
      <c r="U142" s="34">
        <f>IF(SUM($I142:T142)&lt;1,IF($C142&lt;=U$4,1/$E$41,0),0)</f>
        <v>0</v>
      </c>
      <c r="V142" s="34">
        <f>IF(SUM($I142:U142)&lt;1,IF($C142&lt;=V$4,1/$E$41,0),0)</f>
        <v>0</v>
      </c>
      <c r="W142" s="34">
        <f>IF(SUM($I142:V142)&lt;1,IF($C142&lt;=W$4,1/$E$41,0),0)</f>
        <v>0</v>
      </c>
      <c r="X142" s="34">
        <f>IF(SUM($I142:W142)&lt;1,IF($C142&lt;=X$4,1/$E$41,0),0)</f>
        <v>0</v>
      </c>
      <c r="Y142" s="34">
        <f>IF(SUM($I142:X142)&lt;1,IF($C142&lt;=Y$4,1/$E$41,0),0)</f>
        <v>0</v>
      </c>
      <c r="Z142" s="34">
        <f>IF(SUM($I142:Y142)&lt;1,IF($C142&lt;=Z$4,1/$E$41,0),0)</f>
        <v>0</v>
      </c>
      <c r="AA142" s="34">
        <f>IF(SUM($I142:Z142)&lt;1,IF($C142&lt;=AA$4,1/$E$41,0),0)</f>
        <v>0</v>
      </c>
      <c r="AB142" s="34">
        <f>IF(SUM($I142:AA142)&lt;1,IF($C142&lt;=AB$4,1/$E$41,0),0)</f>
        <v>0</v>
      </c>
      <c r="AC142" s="34">
        <f>IF(SUM($I142:AB142)&lt;1,IF($C142&lt;=AC$4,1/$E$41,0),0)</f>
        <v>0</v>
      </c>
      <c r="AD142" s="34">
        <f>IF(SUM($I142:AC142)&lt;1,IF($C142&lt;=AD$4,1/$E$41,0),0)</f>
        <v>0</v>
      </c>
      <c r="AE142" s="34">
        <f>IF(SUM($I142:AD142)&lt;1,IF($C142&lt;=AE$4,1/$E$41,0),0)</f>
        <v>0</v>
      </c>
      <c r="AF142" s="34">
        <f>IF(SUM($I142:AE142)&lt;1,IF($C142&lt;=AF$4,1/$E$41,0),0)</f>
        <v>0</v>
      </c>
      <c r="AG142" s="34">
        <f>IF(SUM($I142:AF142)&lt;1,IF($C142&lt;=AG$4,1/$E$41,0),0)</f>
        <v>0</v>
      </c>
      <c r="AH142" s="34">
        <f>IF(SUM($I142:AG142)&lt;1,IF($C142&lt;=AH$4,1/$E$41,0),0)</f>
        <v>0</v>
      </c>
      <c r="AI142" s="34">
        <f>IF(SUM($I142:AH142)&lt;1,IF($C142&lt;=AI$4,1/$E$41,0),0)</f>
        <v>0</v>
      </c>
      <c r="AJ142" s="34">
        <f>IF(SUM($I142:AI142)&lt;1,IF($C142&lt;=AJ$4,1/$E$41,0),0)</f>
        <v>0</v>
      </c>
      <c r="AK142" s="34">
        <f>IF(SUM($I142:AJ142)&lt;1,IF($C142&lt;=AK$4,1/$E$41,0),0)</f>
        <v>0</v>
      </c>
      <c r="AL142" s="34">
        <f>IF(SUM($I142:AK142)&lt;1,IF($C142&lt;=AL$4,1/$E$41,0),0)</f>
        <v>0</v>
      </c>
      <c r="AM142" s="34">
        <f>IF(SUM($I142:AL142)&lt;1,IF($C142&lt;=AM$4,1/$E$41,0),0)</f>
        <v>0</v>
      </c>
      <c r="AN142" s="34">
        <f>IF(SUM($I142:AM142)&lt;1,IF($C142&lt;=AN$4,1/$E$41,0),0)</f>
        <v>0</v>
      </c>
      <c r="AO142" s="34">
        <f>IF(SUM($I142:AN142)&lt;1,IF($C142&lt;=AO$4,1/$E$41,0),0)</f>
        <v>0</v>
      </c>
      <c r="AP142" s="34">
        <f>IF(SUM($I142:AO142)&lt;1,IF($C142&lt;=AP$4,1/$E$41,0),0)</f>
        <v>0</v>
      </c>
      <c r="AQ142" s="34">
        <f>IF(SUM($I142:AP142)&lt;1,IF($C142&lt;=AQ$4,1/$E$41,0),0)</f>
        <v>0</v>
      </c>
      <c r="AR142" s="34">
        <f>IF(SUM($I142:AQ142)&lt;1,IF($C142&lt;=AR$4,1/$E$41,0),0)</f>
        <v>0</v>
      </c>
      <c r="AS142" s="34">
        <f>IF(SUM($I142:AR142)&lt;1,IF($C142&lt;=AS$4,1/$E$41,0),0)</f>
        <v>0</v>
      </c>
      <c r="AT142" s="34">
        <f>IF(SUM($I142:AS142)&lt;1,IF($C142&lt;=AT$4,1/$E$41,0),0)</f>
        <v>0</v>
      </c>
      <c r="AU142" s="34">
        <f>IF(SUM($I142:AT142)&lt;1,IF($C142&lt;=AU$4,1/$E$41,0),0)</f>
        <v>0</v>
      </c>
      <c r="AV142" s="34">
        <f>IF(SUM($I142:AU142)&lt;1,IF($C142&lt;=AV$4,1/$E$41,0),0)</f>
        <v>0</v>
      </c>
      <c r="AW142" s="34">
        <f>IF(SUM($I142:AV142)&lt;1,IF($C142&lt;=AW$4,1/$E$41,0),0)</f>
        <v>0</v>
      </c>
      <c r="AX142" s="34">
        <f>IF(SUM($I142:AW142)&lt;1,IF($C142&lt;=AX$4,1/$E$41,0),0)</f>
        <v>0</v>
      </c>
      <c r="AY142" s="34">
        <f>IF(SUM($I142:AX142)&lt;1,IF($C142&lt;=AY$4,1/$E$41,0),0)</f>
        <v>0</v>
      </c>
      <c r="AZ142" s="34">
        <f>IF(SUM($I142:AY142)&lt;1,IF($C142&lt;=AZ$4,1/$E$41,0),0)</f>
        <v>0</v>
      </c>
      <c r="BA142" s="34">
        <f>IF(SUM($I142:AZ142)&lt;1,IF($C142&lt;=BA$4,1/$E$41,0),0)</f>
        <v>0</v>
      </c>
      <c r="BB142" s="34">
        <f>IF(SUM($I142:BA142)&lt;1,IF($C142&lt;=BB$4,1/$E$41,0),0)</f>
        <v>0</v>
      </c>
      <c r="BC142" s="34">
        <f>IF(SUM($I142:BB142)&lt;1,IF($C142&lt;=BC$4,1/$E$41,0),0)</f>
        <v>0</v>
      </c>
      <c r="BD142" s="34">
        <f>IF(SUM($I142:BC142)&lt;1,IF($C142&lt;=BD$4,1/$E$41,0),0)</f>
        <v>0</v>
      </c>
      <c r="BE142" s="34">
        <f>IF(SUM($I142:BD142)&lt;1,IF($C142&lt;=BE$4,1/$E$41,0),0)</f>
        <v>0</v>
      </c>
      <c r="BF142" s="34">
        <f>IF(SUM($I142:BE142)&lt;1,IF($C142&lt;=BF$4,1/$E$41,0),0)</f>
        <v>0</v>
      </c>
      <c r="BG142" s="34">
        <f>IF(SUM($I142:BF142)&lt;1,IF($C142&lt;=BG$4,1/$E$41,0),0)</f>
        <v>0</v>
      </c>
      <c r="BH142" s="34">
        <f>IF(SUM($I142:BG142)&lt;1,IF($C142&lt;=BH$4,1/$E$41,0),0)</f>
        <v>0</v>
      </c>
      <c r="BI142" s="34">
        <f>IF(SUM($I142:BH142)&lt;1,IF($C142&lt;=BI$4,1/$E$41,0),0)</f>
        <v>0</v>
      </c>
      <c r="BJ142" s="34">
        <f>IF(SUM($I142:BI142)&lt;1,IF($C142&lt;=BJ$4,1/$E$41,0),0)</f>
        <v>0</v>
      </c>
      <c r="BK142" s="34">
        <f>IF(SUM($I142:BJ142)&lt;1,IF($C142&lt;=BK$4,1/$E$41,0),0)</f>
        <v>0</v>
      </c>
      <c r="BL142" s="34">
        <f>IF(SUM($I142:BK142)&lt;1,IF($C142&lt;=BL$4,1/$E$41,0),0)</f>
        <v>0</v>
      </c>
      <c r="BM142" s="34">
        <f>IF(SUM($I142:BL142)&lt;1,IF($C142&lt;=BM$4,1/$E$41,0),0)</f>
        <v>0</v>
      </c>
      <c r="BN142" s="34">
        <f>IF(SUM($I142:BM142)&lt;1,IF($C142&lt;=BN$4,1/$E$41,0),0)</f>
        <v>0</v>
      </c>
      <c r="BO142" s="34">
        <f>IF(SUM($I142:BN142)&lt;1,IF($C142&lt;=BO$4,1/$E$41,0),0)</f>
        <v>0</v>
      </c>
      <c r="BP142" s="34">
        <f>IF(SUM($I142:BO142)&lt;1,IF($C142&lt;=BP$4,1/$E$41,0),0)</f>
        <v>0</v>
      </c>
      <c r="BQ142" s="34">
        <f>IF(SUM($I142:BP142)&lt;1,IF($C142&lt;=BQ$4,1/$E$41,0),0)</f>
        <v>0</v>
      </c>
      <c r="BR142" s="34">
        <f>IF(SUM($I142:BQ142)&lt;1,IF($C142&lt;=BR$4,1/$E$41,0),0)</f>
        <v>0</v>
      </c>
      <c r="BS142" s="34">
        <f>IF(SUM($I142:BR142)&lt;1,IF($C142&lt;=BS$4,1/$E$41,0),0)</f>
        <v>0</v>
      </c>
      <c r="BT142" s="34">
        <f>IF(SUM($I142:BS142)&lt;1,IF($C142&lt;=BT$4,1/$E$41,0),0)</f>
        <v>0</v>
      </c>
      <c r="BU142" s="34">
        <f>IF(SUM($I142:BT142)&lt;1,IF($C142&lt;=BU$4,1/$E$41,0),0)</f>
        <v>0</v>
      </c>
      <c r="BV142" s="34">
        <f>IF(SUM($I142:BU142)&lt;1,IF($C142&lt;=BV$4,1/$E$41,0),0)</f>
        <v>0</v>
      </c>
      <c r="BW142" s="34">
        <f>IF(SUM($I142:BV142)&lt;1,IF($C142&lt;=BW$4,1/$E$41,0),0)</f>
        <v>0</v>
      </c>
      <c r="BX142" s="34">
        <f>IF(SUM($I142:BW142)&lt;1,IF($C142&lt;=BX$4,1/$E$41,0),0)</f>
        <v>0</v>
      </c>
      <c r="BY142" s="34">
        <f>IF(SUM($I142:BX142)&lt;1,IF($C142&lt;=BY$4,1/$E$41,0),0)</f>
        <v>0</v>
      </c>
      <c r="BZ142" s="34">
        <f>IF(SUM($I142:BY142)&lt;1,IF($C142&lt;=BZ$4,1/$E$41,0),0)</f>
        <v>0</v>
      </c>
      <c r="CA142" s="34">
        <f>IF(SUM($I142:BZ142)&lt;1,IF($C142&lt;=CA$4,1/$E$41,0),0)</f>
        <v>0</v>
      </c>
      <c r="CB142" s="34">
        <f>IF(SUM($I142:CA142)&lt;1,IF($C142&lt;=CB$4,1/$E$41,0),0)</f>
        <v>0</v>
      </c>
      <c r="CC142" s="34">
        <f>IF(SUM($I142:CB142)&lt;1,IF($C142&lt;=CC$4,1/$E$41,0),0)</f>
        <v>0</v>
      </c>
      <c r="CD142" s="34">
        <f>IF(SUM($I142:CC142)&lt;1,IF($C142&lt;=CD$4,1/$E$41,0),0)</f>
        <v>0</v>
      </c>
      <c r="CE142" s="34">
        <f>IF(SUM($I142:CD142)&lt;1,IF($C142&lt;=CE$4,1/$E$41,0),0)</f>
        <v>0</v>
      </c>
      <c r="CF142" s="34">
        <f>IF(SUM($I142:CE142)&lt;1,IF($C142&lt;=CF$4,1/$E$41,0),0)</f>
        <v>0</v>
      </c>
      <c r="CG142" s="34">
        <f>IF(SUM($I142:CF142)&lt;1,IF($C142&lt;=CG$4,1/$E$41,0),0)</f>
        <v>0</v>
      </c>
      <c r="CH142" s="34">
        <f>IF(SUM($I142:CG142)&lt;1,IF($C142&lt;=CH$4,1/$E$41,0),0)</f>
        <v>0</v>
      </c>
      <c r="CI142" s="34">
        <f>IF(SUM($I142:CH142)&lt;1,IF($C142&lt;=CI$4,1/$E$41,0),0)</f>
        <v>0</v>
      </c>
      <c r="CJ142" s="34">
        <f>IF(SUM($I142:CI142)&lt;1,IF($C142&lt;=CJ$4,1/$E$41,0),0)</f>
        <v>0</v>
      </c>
      <c r="CK142" s="34">
        <f>IF(SUM($I142:CJ142)&lt;1,IF($C142&lt;=CK$4,1/$E$41,0),0)</f>
        <v>0</v>
      </c>
      <c r="CL142" s="34">
        <f>IF(SUM($I142:CK142)&lt;1,IF($C142&lt;=CL$4,1/$E$41,0),0)</f>
        <v>0</v>
      </c>
      <c r="CM142" s="34">
        <f>IF(SUM($I142:CL142)&lt;1,IF($C142&lt;=CM$4,1/$E$41,0),0)</f>
        <v>0</v>
      </c>
      <c r="CN142" s="34">
        <f>IF(SUM($I142:CM142)&lt;1,IF($C142&lt;=CN$4,1/$E$41,0),0)</f>
        <v>0</v>
      </c>
      <c r="CO142" s="34">
        <f>IF(SUM($I142:CN142)&lt;1,IF($C142&lt;=CO$4,1/$E$41,0),0)</f>
        <v>0</v>
      </c>
      <c r="CP142" s="34">
        <f>IF(SUM($I142:CO142)&lt;1,IF($C142&lt;=CP$4,1/$E$41,0),0)</f>
        <v>0</v>
      </c>
      <c r="CQ142" s="34">
        <f>IF(SUM($I142:CP142)&lt;1,IF($C142&lt;=CQ$4,1/$E$41,0),0)</f>
        <v>0</v>
      </c>
      <c r="CR142" s="34">
        <f>IF(SUM($I142:CQ142)&lt;1,IF($C142&lt;=CR$4,1/$E$41,0),0)</f>
        <v>0</v>
      </c>
      <c r="CS142" s="34">
        <f>IF(SUM($I142:CR142)&lt;1,IF($C142&lt;=CS$4,1/$E$41,0),0)</f>
        <v>0</v>
      </c>
      <c r="CT142" s="34">
        <f>IF(SUM($I142:CS142)&lt;1,IF($C142&lt;=CT$4,1/$E$41,0),0)</f>
        <v>0</v>
      </c>
      <c r="CU142" s="34">
        <f>IF(SUM($I142:CT142)&lt;1,IF($C142&lt;=CU$4,1/$E$41,0),0)</f>
        <v>0</v>
      </c>
      <c r="CV142" s="34">
        <f>IF(SUM($I142:CU142)&lt;1,IF($C142&lt;=CV$4,1/$E$41,0),0)</f>
        <v>0</v>
      </c>
      <c r="CW142" s="34">
        <f>IF(SUM($I142:CV142)&lt;1,IF($C142&lt;=CW$4,1/$E$41,0),0)</f>
        <v>0</v>
      </c>
      <c r="CX142" s="34">
        <f>IF(SUM($I142:CW142)&lt;1,IF($C142&lt;=CX$4,1/$E$41,0),0)</f>
        <v>0</v>
      </c>
      <c r="CY142" s="34">
        <f>IF(SUM($I142:CX142)&lt;1,IF($C142&lt;=CY$4,1/$E$41,0),0)</f>
        <v>0</v>
      </c>
      <c r="CZ142" s="34">
        <f>IF(SUM($I142:CY142)&lt;1,IF($C142&lt;=CZ$4,1/$E$41,0),0)</f>
        <v>0</v>
      </c>
      <c r="DA142" s="34">
        <f>IF(SUM($I142:CZ142)&lt;1,IF($C142&lt;=DA$4,1/$E$41,0),0)</f>
        <v>0</v>
      </c>
      <c r="DB142" s="34">
        <f>IF(SUM($I142:DA142)&lt;1,IF($C142&lt;=DB$4,1/$E$41,0),0)</f>
        <v>0</v>
      </c>
      <c r="DC142" s="34">
        <f>IF(SUM($I142:DB142)&lt;1,IF($C142&lt;=DC$4,1/$E$41,0),0)</f>
        <v>0.25</v>
      </c>
      <c r="DD142" s="34">
        <f>IF(SUM($I142:DC142)&lt;1,IF($C142&lt;=DD$4,1/$E$41,0),0)</f>
        <v>0.25</v>
      </c>
      <c r="DE142" s="34">
        <f>IF(SUM($I142:DD142)&lt;1,IF($C142&lt;=DE$4,1/$E$41,0),0)</f>
        <v>0.25</v>
      </c>
      <c r="DF142" s="34">
        <f>IF(SUM($I142:DE142)&lt;1,IF($C142&lt;=DF$4,1/$E$41,0),0)</f>
        <v>0.25</v>
      </c>
      <c r="DG142" s="34">
        <f>IF(SUM($I142:DF142)&lt;1,IF($C142&lt;=DG$4,1/$E$41,0),0)</f>
        <v>0</v>
      </c>
      <c r="DH142" s="34">
        <f>IF(SUM($I142:DG142)&lt;1,IF($C142&lt;=DH$4,1/$E$41,0),0)</f>
        <v>0</v>
      </c>
      <c r="DI142" s="34">
        <f>IF(SUM($I142:DH142)&lt;1,IF($C142&lt;=DI$4,1/$E$41,0),0)</f>
        <v>0</v>
      </c>
      <c r="DJ142" s="34">
        <f>IF(SUM($I142:DI142)&lt;1,IF($C142&lt;=DJ$4,1/$E$41,0),0)</f>
        <v>0</v>
      </c>
      <c r="DK142" s="34">
        <f>IF(SUM($I142:DJ142)&lt;1,IF($C142&lt;=DK$4,1/$E$41,0),0)</f>
        <v>0</v>
      </c>
      <c r="DL142" s="34">
        <f>IF(SUM($I142:DK142)&lt;1,IF($C142&lt;=DL$4,1/$E$41,0),0)</f>
        <v>0</v>
      </c>
      <c r="DM142" s="34">
        <f>IF(SUM($I142:DL142)&lt;1,IF($C142&lt;=DM$4,1/$E$41,0),0)</f>
        <v>0</v>
      </c>
    </row>
    <row r="143" spans="3:117" outlineLevel="1" x14ac:dyDescent="0.15">
      <c r="C143" s="50">
        <f t="shared" si="51"/>
        <v>99</v>
      </c>
      <c r="D143" s="5" t="s">
        <v>18</v>
      </c>
      <c r="E143" s="19">
        <f t="shared" si="50"/>
        <v>0</v>
      </c>
      <c r="I143" s="9"/>
      <c r="J143" s="34">
        <f>IF(SUM($I143:I143)&lt;1,IF($C143&lt;=J$4,1/$E$41,0),0)</f>
        <v>0</v>
      </c>
      <c r="K143" s="34">
        <f>IF(SUM($I143:J143)&lt;1,IF($C143&lt;=K$4,1/$E$41,0),0)</f>
        <v>0</v>
      </c>
      <c r="L143" s="34">
        <f>IF(SUM($I143:K143)&lt;1,IF($C143&lt;=L$4,1/$E$41,0),0)</f>
        <v>0</v>
      </c>
      <c r="M143" s="34">
        <f>IF(SUM($I143:L143)&lt;1,IF($C143&lt;=M$4,1/$E$41,0),0)</f>
        <v>0</v>
      </c>
      <c r="N143" s="34">
        <f>IF(SUM($I143:M143)&lt;1,IF($C143&lt;=N$4,1/$E$41,0),0)</f>
        <v>0</v>
      </c>
      <c r="O143" s="34">
        <f>IF(SUM($I143:N143)&lt;1,IF($C143&lt;=O$4,1/$E$41,0),0)</f>
        <v>0</v>
      </c>
      <c r="P143" s="34">
        <f>IF(SUM($I143:O143)&lt;1,IF($C143&lt;=P$4,1/$E$41,0),0)</f>
        <v>0</v>
      </c>
      <c r="Q143" s="34">
        <f>IF(SUM($I143:P143)&lt;1,IF($C143&lt;=Q$4,1/$E$41,0),0)</f>
        <v>0</v>
      </c>
      <c r="R143" s="34">
        <f>IF(SUM($I143:Q143)&lt;1,IF($C143&lt;=R$4,1/$E$41,0),0)</f>
        <v>0</v>
      </c>
      <c r="S143" s="34">
        <f>IF(SUM($I143:R143)&lt;1,IF($C143&lt;=S$4,1/$E$41,0),0)</f>
        <v>0</v>
      </c>
      <c r="T143" s="34">
        <f>IF(SUM($I143:S143)&lt;1,IF($C143&lt;=T$4,1/$E$41,0),0)</f>
        <v>0</v>
      </c>
      <c r="U143" s="34">
        <f>IF(SUM($I143:T143)&lt;1,IF($C143&lt;=U$4,1/$E$41,0),0)</f>
        <v>0</v>
      </c>
      <c r="V143" s="34">
        <f>IF(SUM($I143:U143)&lt;1,IF($C143&lt;=V$4,1/$E$41,0),0)</f>
        <v>0</v>
      </c>
      <c r="W143" s="34">
        <f>IF(SUM($I143:V143)&lt;1,IF($C143&lt;=W$4,1/$E$41,0),0)</f>
        <v>0</v>
      </c>
      <c r="X143" s="34">
        <f>IF(SUM($I143:W143)&lt;1,IF($C143&lt;=X$4,1/$E$41,0),0)</f>
        <v>0</v>
      </c>
      <c r="Y143" s="34">
        <f>IF(SUM($I143:X143)&lt;1,IF($C143&lt;=Y$4,1/$E$41,0),0)</f>
        <v>0</v>
      </c>
      <c r="Z143" s="34">
        <f>IF(SUM($I143:Y143)&lt;1,IF($C143&lt;=Z$4,1/$E$41,0),0)</f>
        <v>0</v>
      </c>
      <c r="AA143" s="34">
        <f>IF(SUM($I143:Z143)&lt;1,IF($C143&lt;=AA$4,1/$E$41,0),0)</f>
        <v>0</v>
      </c>
      <c r="AB143" s="34">
        <f>IF(SUM($I143:AA143)&lt;1,IF($C143&lt;=AB$4,1/$E$41,0),0)</f>
        <v>0</v>
      </c>
      <c r="AC143" s="34">
        <f>IF(SUM($I143:AB143)&lt;1,IF($C143&lt;=AC$4,1/$E$41,0),0)</f>
        <v>0</v>
      </c>
      <c r="AD143" s="34">
        <f>IF(SUM($I143:AC143)&lt;1,IF($C143&lt;=AD$4,1/$E$41,0),0)</f>
        <v>0</v>
      </c>
      <c r="AE143" s="34">
        <f>IF(SUM($I143:AD143)&lt;1,IF($C143&lt;=AE$4,1/$E$41,0),0)</f>
        <v>0</v>
      </c>
      <c r="AF143" s="34">
        <f>IF(SUM($I143:AE143)&lt;1,IF($C143&lt;=AF$4,1/$E$41,0),0)</f>
        <v>0</v>
      </c>
      <c r="AG143" s="34">
        <f>IF(SUM($I143:AF143)&lt;1,IF($C143&lt;=AG$4,1/$E$41,0),0)</f>
        <v>0</v>
      </c>
      <c r="AH143" s="34">
        <f>IF(SUM($I143:AG143)&lt;1,IF($C143&lt;=AH$4,1/$E$41,0),0)</f>
        <v>0</v>
      </c>
      <c r="AI143" s="34">
        <f>IF(SUM($I143:AH143)&lt;1,IF($C143&lt;=AI$4,1/$E$41,0),0)</f>
        <v>0</v>
      </c>
      <c r="AJ143" s="34">
        <f>IF(SUM($I143:AI143)&lt;1,IF($C143&lt;=AJ$4,1/$E$41,0),0)</f>
        <v>0</v>
      </c>
      <c r="AK143" s="34">
        <f>IF(SUM($I143:AJ143)&lt;1,IF($C143&lt;=AK$4,1/$E$41,0),0)</f>
        <v>0</v>
      </c>
      <c r="AL143" s="34">
        <f>IF(SUM($I143:AK143)&lt;1,IF($C143&lt;=AL$4,1/$E$41,0),0)</f>
        <v>0</v>
      </c>
      <c r="AM143" s="34">
        <f>IF(SUM($I143:AL143)&lt;1,IF($C143&lt;=AM$4,1/$E$41,0),0)</f>
        <v>0</v>
      </c>
      <c r="AN143" s="34">
        <f>IF(SUM($I143:AM143)&lt;1,IF($C143&lt;=AN$4,1/$E$41,0),0)</f>
        <v>0</v>
      </c>
      <c r="AO143" s="34">
        <f>IF(SUM($I143:AN143)&lt;1,IF($C143&lt;=AO$4,1/$E$41,0),0)</f>
        <v>0</v>
      </c>
      <c r="AP143" s="34">
        <f>IF(SUM($I143:AO143)&lt;1,IF($C143&lt;=AP$4,1/$E$41,0),0)</f>
        <v>0</v>
      </c>
      <c r="AQ143" s="34">
        <f>IF(SUM($I143:AP143)&lt;1,IF($C143&lt;=AQ$4,1/$E$41,0),0)</f>
        <v>0</v>
      </c>
      <c r="AR143" s="34">
        <f>IF(SUM($I143:AQ143)&lt;1,IF($C143&lt;=AR$4,1/$E$41,0),0)</f>
        <v>0</v>
      </c>
      <c r="AS143" s="34">
        <f>IF(SUM($I143:AR143)&lt;1,IF($C143&lt;=AS$4,1/$E$41,0),0)</f>
        <v>0</v>
      </c>
      <c r="AT143" s="34">
        <f>IF(SUM($I143:AS143)&lt;1,IF($C143&lt;=AT$4,1/$E$41,0),0)</f>
        <v>0</v>
      </c>
      <c r="AU143" s="34">
        <f>IF(SUM($I143:AT143)&lt;1,IF($C143&lt;=AU$4,1/$E$41,0),0)</f>
        <v>0</v>
      </c>
      <c r="AV143" s="34">
        <f>IF(SUM($I143:AU143)&lt;1,IF($C143&lt;=AV$4,1/$E$41,0),0)</f>
        <v>0</v>
      </c>
      <c r="AW143" s="34">
        <f>IF(SUM($I143:AV143)&lt;1,IF($C143&lt;=AW$4,1/$E$41,0),0)</f>
        <v>0</v>
      </c>
      <c r="AX143" s="34">
        <f>IF(SUM($I143:AW143)&lt;1,IF($C143&lt;=AX$4,1/$E$41,0),0)</f>
        <v>0</v>
      </c>
      <c r="AY143" s="34">
        <f>IF(SUM($I143:AX143)&lt;1,IF($C143&lt;=AY$4,1/$E$41,0),0)</f>
        <v>0</v>
      </c>
      <c r="AZ143" s="34">
        <f>IF(SUM($I143:AY143)&lt;1,IF($C143&lt;=AZ$4,1/$E$41,0),0)</f>
        <v>0</v>
      </c>
      <c r="BA143" s="34">
        <f>IF(SUM($I143:AZ143)&lt;1,IF($C143&lt;=BA$4,1/$E$41,0),0)</f>
        <v>0</v>
      </c>
      <c r="BB143" s="34">
        <f>IF(SUM($I143:BA143)&lt;1,IF($C143&lt;=BB$4,1/$E$41,0),0)</f>
        <v>0</v>
      </c>
      <c r="BC143" s="34">
        <f>IF(SUM($I143:BB143)&lt;1,IF($C143&lt;=BC$4,1/$E$41,0),0)</f>
        <v>0</v>
      </c>
      <c r="BD143" s="34">
        <f>IF(SUM($I143:BC143)&lt;1,IF($C143&lt;=BD$4,1/$E$41,0),0)</f>
        <v>0</v>
      </c>
      <c r="BE143" s="34">
        <f>IF(SUM($I143:BD143)&lt;1,IF($C143&lt;=BE$4,1/$E$41,0),0)</f>
        <v>0</v>
      </c>
      <c r="BF143" s="34">
        <f>IF(SUM($I143:BE143)&lt;1,IF($C143&lt;=BF$4,1/$E$41,0),0)</f>
        <v>0</v>
      </c>
      <c r="BG143" s="34">
        <f>IF(SUM($I143:BF143)&lt;1,IF($C143&lt;=BG$4,1/$E$41,0),0)</f>
        <v>0</v>
      </c>
      <c r="BH143" s="34">
        <f>IF(SUM($I143:BG143)&lt;1,IF($C143&lt;=BH$4,1/$E$41,0),0)</f>
        <v>0</v>
      </c>
      <c r="BI143" s="34">
        <f>IF(SUM($I143:BH143)&lt;1,IF($C143&lt;=BI$4,1/$E$41,0),0)</f>
        <v>0</v>
      </c>
      <c r="BJ143" s="34">
        <f>IF(SUM($I143:BI143)&lt;1,IF($C143&lt;=BJ$4,1/$E$41,0),0)</f>
        <v>0</v>
      </c>
      <c r="BK143" s="34">
        <f>IF(SUM($I143:BJ143)&lt;1,IF($C143&lt;=BK$4,1/$E$41,0),0)</f>
        <v>0</v>
      </c>
      <c r="BL143" s="34">
        <f>IF(SUM($I143:BK143)&lt;1,IF($C143&lt;=BL$4,1/$E$41,0),0)</f>
        <v>0</v>
      </c>
      <c r="BM143" s="34">
        <f>IF(SUM($I143:BL143)&lt;1,IF($C143&lt;=BM$4,1/$E$41,0),0)</f>
        <v>0</v>
      </c>
      <c r="BN143" s="34">
        <f>IF(SUM($I143:BM143)&lt;1,IF($C143&lt;=BN$4,1/$E$41,0),0)</f>
        <v>0</v>
      </c>
      <c r="BO143" s="34">
        <f>IF(SUM($I143:BN143)&lt;1,IF($C143&lt;=BO$4,1/$E$41,0),0)</f>
        <v>0</v>
      </c>
      <c r="BP143" s="34">
        <f>IF(SUM($I143:BO143)&lt;1,IF($C143&lt;=BP$4,1/$E$41,0),0)</f>
        <v>0</v>
      </c>
      <c r="BQ143" s="34">
        <f>IF(SUM($I143:BP143)&lt;1,IF($C143&lt;=BQ$4,1/$E$41,0),0)</f>
        <v>0</v>
      </c>
      <c r="BR143" s="34">
        <f>IF(SUM($I143:BQ143)&lt;1,IF($C143&lt;=BR$4,1/$E$41,0),0)</f>
        <v>0</v>
      </c>
      <c r="BS143" s="34">
        <f>IF(SUM($I143:BR143)&lt;1,IF($C143&lt;=BS$4,1/$E$41,0),0)</f>
        <v>0</v>
      </c>
      <c r="BT143" s="34">
        <f>IF(SUM($I143:BS143)&lt;1,IF($C143&lt;=BT$4,1/$E$41,0),0)</f>
        <v>0</v>
      </c>
      <c r="BU143" s="34">
        <f>IF(SUM($I143:BT143)&lt;1,IF($C143&lt;=BU$4,1/$E$41,0),0)</f>
        <v>0</v>
      </c>
      <c r="BV143" s="34">
        <f>IF(SUM($I143:BU143)&lt;1,IF($C143&lt;=BV$4,1/$E$41,0),0)</f>
        <v>0</v>
      </c>
      <c r="BW143" s="34">
        <f>IF(SUM($I143:BV143)&lt;1,IF($C143&lt;=BW$4,1/$E$41,0),0)</f>
        <v>0</v>
      </c>
      <c r="BX143" s="34">
        <f>IF(SUM($I143:BW143)&lt;1,IF($C143&lt;=BX$4,1/$E$41,0),0)</f>
        <v>0</v>
      </c>
      <c r="BY143" s="34">
        <f>IF(SUM($I143:BX143)&lt;1,IF($C143&lt;=BY$4,1/$E$41,0),0)</f>
        <v>0</v>
      </c>
      <c r="BZ143" s="34">
        <f>IF(SUM($I143:BY143)&lt;1,IF($C143&lt;=BZ$4,1/$E$41,0),0)</f>
        <v>0</v>
      </c>
      <c r="CA143" s="34">
        <f>IF(SUM($I143:BZ143)&lt;1,IF($C143&lt;=CA$4,1/$E$41,0),0)</f>
        <v>0</v>
      </c>
      <c r="CB143" s="34">
        <f>IF(SUM($I143:CA143)&lt;1,IF($C143&lt;=CB$4,1/$E$41,0),0)</f>
        <v>0</v>
      </c>
      <c r="CC143" s="34">
        <f>IF(SUM($I143:CB143)&lt;1,IF($C143&lt;=CC$4,1/$E$41,0),0)</f>
        <v>0</v>
      </c>
      <c r="CD143" s="34">
        <f>IF(SUM($I143:CC143)&lt;1,IF($C143&lt;=CD$4,1/$E$41,0),0)</f>
        <v>0</v>
      </c>
      <c r="CE143" s="34">
        <f>IF(SUM($I143:CD143)&lt;1,IF($C143&lt;=CE$4,1/$E$41,0),0)</f>
        <v>0</v>
      </c>
      <c r="CF143" s="34">
        <f>IF(SUM($I143:CE143)&lt;1,IF($C143&lt;=CF$4,1/$E$41,0),0)</f>
        <v>0</v>
      </c>
      <c r="CG143" s="34">
        <f>IF(SUM($I143:CF143)&lt;1,IF($C143&lt;=CG$4,1/$E$41,0),0)</f>
        <v>0</v>
      </c>
      <c r="CH143" s="34">
        <f>IF(SUM($I143:CG143)&lt;1,IF($C143&lt;=CH$4,1/$E$41,0),0)</f>
        <v>0</v>
      </c>
      <c r="CI143" s="34">
        <f>IF(SUM($I143:CH143)&lt;1,IF($C143&lt;=CI$4,1/$E$41,0),0)</f>
        <v>0</v>
      </c>
      <c r="CJ143" s="34">
        <f>IF(SUM($I143:CI143)&lt;1,IF($C143&lt;=CJ$4,1/$E$41,0),0)</f>
        <v>0</v>
      </c>
      <c r="CK143" s="34">
        <f>IF(SUM($I143:CJ143)&lt;1,IF($C143&lt;=CK$4,1/$E$41,0),0)</f>
        <v>0</v>
      </c>
      <c r="CL143" s="34">
        <f>IF(SUM($I143:CK143)&lt;1,IF($C143&lt;=CL$4,1/$E$41,0),0)</f>
        <v>0</v>
      </c>
      <c r="CM143" s="34">
        <f>IF(SUM($I143:CL143)&lt;1,IF($C143&lt;=CM$4,1/$E$41,0),0)</f>
        <v>0</v>
      </c>
      <c r="CN143" s="34">
        <f>IF(SUM($I143:CM143)&lt;1,IF($C143&lt;=CN$4,1/$E$41,0),0)</f>
        <v>0</v>
      </c>
      <c r="CO143" s="34">
        <f>IF(SUM($I143:CN143)&lt;1,IF($C143&lt;=CO$4,1/$E$41,0),0)</f>
        <v>0</v>
      </c>
      <c r="CP143" s="34">
        <f>IF(SUM($I143:CO143)&lt;1,IF($C143&lt;=CP$4,1/$E$41,0),0)</f>
        <v>0</v>
      </c>
      <c r="CQ143" s="34">
        <f>IF(SUM($I143:CP143)&lt;1,IF($C143&lt;=CQ$4,1/$E$41,0),0)</f>
        <v>0</v>
      </c>
      <c r="CR143" s="34">
        <f>IF(SUM($I143:CQ143)&lt;1,IF($C143&lt;=CR$4,1/$E$41,0),0)</f>
        <v>0</v>
      </c>
      <c r="CS143" s="34">
        <f>IF(SUM($I143:CR143)&lt;1,IF($C143&lt;=CS$4,1/$E$41,0),0)</f>
        <v>0</v>
      </c>
      <c r="CT143" s="34">
        <f>IF(SUM($I143:CS143)&lt;1,IF($C143&lt;=CT$4,1/$E$41,0),0)</f>
        <v>0</v>
      </c>
      <c r="CU143" s="34">
        <f>IF(SUM($I143:CT143)&lt;1,IF($C143&lt;=CU$4,1/$E$41,0),0)</f>
        <v>0</v>
      </c>
      <c r="CV143" s="34">
        <f>IF(SUM($I143:CU143)&lt;1,IF($C143&lt;=CV$4,1/$E$41,0),0)</f>
        <v>0</v>
      </c>
      <c r="CW143" s="34">
        <f>IF(SUM($I143:CV143)&lt;1,IF($C143&lt;=CW$4,1/$E$41,0),0)</f>
        <v>0</v>
      </c>
      <c r="CX143" s="34">
        <f>IF(SUM($I143:CW143)&lt;1,IF($C143&lt;=CX$4,1/$E$41,0),0)</f>
        <v>0</v>
      </c>
      <c r="CY143" s="34">
        <f>IF(SUM($I143:CX143)&lt;1,IF($C143&lt;=CY$4,1/$E$41,0),0)</f>
        <v>0</v>
      </c>
      <c r="CZ143" s="34">
        <f>IF(SUM($I143:CY143)&lt;1,IF($C143&lt;=CZ$4,1/$E$41,0),0)</f>
        <v>0</v>
      </c>
      <c r="DA143" s="34">
        <f>IF(SUM($I143:CZ143)&lt;1,IF($C143&lt;=DA$4,1/$E$41,0),0)</f>
        <v>0</v>
      </c>
      <c r="DB143" s="34">
        <f>IF(SUM($I143:DA143)&lt;1,IF($C143&lt;=DB$4,1/$E$41,0),0)</f>
        <v>0</v>
      </c>
      <c r="DC143" s="34">
        <f>IF(SUM($I143:DB143)&lt;1,IF($C143&lt;=DC$4,1/$E$41,0),0)</f>
        <v>0</v>
      </c>
      <c r="DD143" s="34">
        <f>IF(SUM($I143:DC143)&lt;1,IF($C143&lt;=DD$4,1/$E$41,0),0)</f>
        <v>0.25</v>
      </c>
      <c r="DE143" s="34">
        <f>IF(SUM($I143:DD143)&lt;1,IF($C143&lt;=DE$4,1/$E$41,0),0)</f>
        <v>0.25</v>
      </c>
      <c r="DF143" s="34">
        <f>IF(SUM($I143:DE143)&lt;1,IF($C143&lt;=DF$4,1/$E$41,0),0)</f>
        <v>0.25</v>
      </c>
      <c r="DG143" s="34">
        <f>IF(SUM($I143:DF143)&lt;1,IF($C143&lt;=DG$4,1/$E$41,0),0)</f>
        <v>0.25</v>
      </c>
      <c r="DH143" s="34">
        <f>IF(SUM($I143:DG143)&lt;1,IF($C143&lt;=DH$4,1/$E$41,0),0)</f>
        <v>0</v>
      </c>
      <c r="DI143" s="34">
        <f>IF(SUM($I143:DH143)&lt;1,IF($C143&lt;=DI$4,1/$E$41,0),0)</f>
        <v>0</v>
      </c>
      <c r="DJ143" s="34">
        <f>IF(SUM($I143:DI143)&lt;1,IF($C143&lt;=DJ$4,1/$E$41,0),0)</f>
        <v>0</v>
      </c>
      <c r="DK143" s="34">
        <f>IF(SUM($I143:DJ143)&lt;1,IF($C143&lt;=DK$4,1/$E$41,0),0)</f>
        <v>0</v>
      </c>
      <c r="DL143" s="34">
        <f>IF(SUM($I143:DK143)&lt;1,IF($C143&lt;=DL$4,1/$E$41,0),0)</f>
        <v>0</v>
      </c>
      <c r="DM143" s="34">
        <f>IF(SUM($I143:DL143)&lt;1,IF($C143&lt;=DM$4,1/$E$41,0),0)</f>
        <v>0</v>
      </c>
    </row>
    <row r="144" spans="3:117" outlineLevel="1" x14ac:dyDescent="0.15">
      <c r="C144" s="50">
        <f t="shared" si="51"/>
        <v>100</v>
      </c>
      <c r="D144" s="5" t="s">
        <v>18</v>
      </c>
      <c r="E144" s="19">
        <f t="shared" si="50"/>
        <v>0</v>
      </c>
      <c r="I144" s="9"/>
      <c r="J144" s="34">
        <f>IF(SUM($I144:I144)&lt;1,IF($C144&lt;=J$4,1/$E$41,0),0)</f>
        <v>0</v>
      </c>
      <c r="K144" s="34">
        <f>IF(SUM($I144:J144)&lt;1,IF($C144&lt;=K$4,1/$E$41,0),0)</f>
        <v>0</v>
      </c>
      <c r="L144" s="34">
        <f>IF(SUM($I144:K144)&lt;1,IF($C144&lt;=L$4,1/$E$41,0),0)</f>
        <v>0</v>
      </c>
      <c r="M144" s="34">
        <f>IF(SUM($I144:L144)&lt;1,IF($C144&lt;=M$4,1/$E$41,0),0)</f>
        <v>0</v>
      </c>
      <c r="N144" s="34">
        <f>IF(SUM($I144:M144)&lt;1,IF($C144&lt;=N$4,1/$E$41,0),0)</f>
        <v>0</v>
      </c>
      <c r="O144" s="34">
        <f>IF(SUM($I144:N144)&lt;1,IF($C144&lt;=O$4,1/$E$41,0),0)</f>
        <v>0</v>
      </c>
      <c r="P144" s="34">
        <f>IF(SUM($I144:O144)&lt;1,IF($C144&lt;=P$4,1/$E$41,0),0)</f>
        <v>0</v>
      </c>
      <c r="Q144" s="34">
        <f>IF(SUM($I144:P144)&lt;1,IF($C144&lt;=Q$4,1/$E$41,0),0)</f>
        <v>0</v>
      </c>
      <c r="R144" s="34">
        <f>IF(SUM($I144:Q144)&lt;1,IF($C144&lt;=R$4,1/$E$41,0),0)</f>
        <v>0</v>
      </c>
      <c r="S144" s="34">
        <f>IF(SUM($I144:R144)&lt;1,IF($C144&lt;=S$4,1/$E$41,0),0)</f>
        <v>0</v>
      </c>
      <c r="T144" s="34">
        <f>IF(SUM($I144:S144)&lt;1,IF($C144&lt;=T$4,1/$E$41,0),0)</f>
        <v>0</v>
      </c>
      <c r="U144" s="34">
        <f>IF(SUM($I144:T144)&lt;1,IF($C144&lt;=U$4,1/$E$41,0),0)</f>
        <v>0</v>
      </c>
      <c r="V144" s="34">
        <f>IF(SUM($I144:U144)&lt;1,IF($C144&lt;=V$4,1/$E$41,0),0)</f>
        <v>0</v>
      </c>
      <c r="W144" s="34">
        <f>IF(SUM($I144:V144)&lt;1,IF($C144&lt;=W$4,1/$E$41,0),0)</f>
        <v>0</v>
      </c>
      <c r="X144" s="34">
        <f>IF(SUM($I144:W144)&lt;1,IF($C144&lt;=X$4,1/$E$41,0),0)</f>
        <v>0</v>
      </c>
      <c r="Y144" s="34">
        <f>IF(SUM($I144:X144)&lt;1,IF($C144&lt;=Y$4,1/$E$41,0),0)</f>
        <v>0</v>
      </c>
      <c r="Z144" s="34">
        <f>IF(SUM($I144:Y144)&lt;1,IF($C144&lt;=Z$4,1/$E$41,0),0)</f>
        <v>0</v>
      </c>
      <c r="AA144" s="34">
        <f>IF(SUM($I144:Z144)&lt;1,IF($C144&lt;=AA$4,1/$E$41,0),0)</f>
        <v>0</v>
      </c>
      <c r="AB144" s="34">
        <f>IF(SUM($I144:AA144)&lt;1,IF($C144&lt;=AB$4,1/$E$41,0),0)</f>
        <v>0</v>
      </c>
      <c r="AC144" s="34">
        <f>IF(SUM($I144:AB144)&lt;1,IF($C144&lt;=AC$4,1/$E$41,0),0)</f>
        <v>0</v>
      </c>
      <c r="AD144" s="34">
        <f>IF(SUM($I144:AC144)&lt;1,IF($C144&lt;=AD$4,1/$E$41,0),0)</f>
        <v>0</v>
      </c>
      <c r="AE144" s="34">
        <f>IF(SUM($I144:AD144)&lt;1,IF($C144&lt;=AE$4,1/$E$41,0),0)</f>
        <v>0</v>
      </c>
      <c r="AF144" s="34">
        <f>IF(SUM($I144:AE144)&lt;1,IF($C144&lt;=AF$4,1/$E$41,0),0)</f>
        <v>0</v>
      </c>
      <c r="AG144" s="34">
        <f>IF(SUM($I144:AF144)&lt;1,IF($C144&lt;=AG$4,1/$E$41,0),0)</f>
        <v>0</v>
      </c>
      <c r="AH144" s="34">
        <f>IF(SUM($I144:AG144)&lt;1,IF($C144&lt;=AH$4,1/$E$41,0),0)</f>
        <v>0</v>
      </c>
      <c r="AI144" s="34">
        <f>IF(SUM($I144:AH144)&lt;1,IF($C144&lt;=AI$4,1/$E$41,0),0)</f>
        <v>0</v>
      </c>
      <c r="AJ144" s="34">
        <f>IF(SUM($I144:AI144)&lt;1,IF($C144&lt;=AJ$4,1/$E$41,0),0)</f>
        <v>0</v>
      </c>
      <c r="AK144" s="34">
        <f>IF(SUM($I144:AJ144)&lt;1,IF($C144&lt;=AK$4,1/$E$41,0),0)</f>
        <v>0</v>
      </c>
      <c r="AL144" s="34">
        <f>IF(SUM($I144:AK144)&lt;1,IF($C144&lt;=AL$4,1/$E$41,0),0)</f>
        <v>0</v>
      </c>
      <c r="AM144" s="34">
        <f>IF(SUM($I144:AL144)&lt;1,IF($C144&lt;=AM$4,1/$E$41,0),0)</f>
        <v>0</v>
      </c>
      <c r="AN144" s="34">
        <f>IF(SUM($I144:AM144)&lt;1,IF($C144&lt;=AN$4,1/$E$41,0),0)</f>
        <v>0</v>
      </c>
      <c r="AO144" s="34">
        <f>IF(SUM($I144:AN144)&lt;1,IF($C144&lt;=AO$4,1/$E$41,0),0)</f>
        <v>0</v>
      </c>
      <c r="AP144" s="34">
        <f>IF(SUM($I144:AO144)&lt;1,IF($C144&lt;=AP$4,1/$E$41,0),0)</f>
        <v>0</v>
      </c>
      <c r="AQ144" s="34">
        <f>IF(SUM($I144:AP144)&lt;1,IF($C144&lt;=AQ$4,1/$E$41,0),0)</f>
        <v>0</v>
      </c>
      <c r="AR144" s="34">
        <f>IF(SUM($I144:AQ144)&lt;1,IF($C144&lt;=AR$4,1/$E$41,0),0)</f>
        <v>0</v>
      </c>
      <c r="AS144" s="34">
        <f>IF(SUM($I144:AR144)&lt;1,IF($C144&lt;=AS$4,1/$E$41,0),0)</f>
        <v>0</v>
      </c>
      <c r="AT144" s="34">
        <f>IF(SUM($I144:AS144)&lt;1,IF($C144&lt;=AT$4,1/$E$41,0),0)</f>
        <v>0</v>
      </c>
      <c r="AU144" s="34">
        <f>IF(SUM($I144:AT144)&lt;1,IF($C144&lt;=AU$4,1/$E$41,0),0)</f>
        <v>0</v>
      </c>
      <c r="AV144" s="34">
        <f>IF(SUM($I144:AU144)&lt;1,IF($C144&lt;=AV$4,1/$E$41,0),0)</f>
        <v>0</v>
      </c>
      <c r="AW144" s="34">
        <f>IF(SUM($I144:AV144)&lt;1,IF($C144&lt;=AW$4,1/$E$41,0),0)</f>
        <v>0</v>
      </c>
      <c r="AX144" s="34">
        <f>IF(SUM($I144:AW144)&lt;1,IF($C144&lt;=AX$4,1/$E$41,0),0)</f>
        <v>0</v>
      </c>
      <c r="AY144" s="34">
        <f>IF(SUM($I144:AX144)&lt;1,IF($C144&lt;=AY$4,1/$E$41,0),0)</f>
        <v>0</v>
      </c>
      <c r="AZ144" s="34">
        <f>IF(SUM($I144:AY144)&lt;1,IF($C144&lt;=AZ$4,1/$E$41,0),0)</f>
        <v>0</v>
      </c>
      <c r="BA144" s="34">
        <f>IF(SUM($I144:AZ144)&lt;1,IF($C144&lt;=BA$4,1/$E$41,0),0)</f>
        <v>0</v>
      </c>
      <c r="BB144" s="34">
        <f>IF(SUM($I144:BA144)&lt;1,IF($C144&lt;=BB$4,1/$E$41,0),0)</f>
        <v>0</v>
      </c>
      <c r="BC144" s="34">
        <f>IF(SUM($I144:BB144)&lt;1,IF($C144&lt;=BC$4,1/$E$41,0),0)</f>
        <v>0</v>
      </c>
      <c r="BD144" s="34">
        <f>IF(SUM($I144:BC144)&lt;1,IF($C144&lt;=BD$4,1/$E$41,0),0)</f>
        <v>0</v>
      </c>
      <c r="BE144" s="34">
        <f>IF(SUM($I144:BD144)&lt;1,IF($C144&lt;=BE$4,1/$E$41,0),0)</f>
        <v>0</v>
      </c>
      <c r="BF144" s="34">
        <f>IF(SUM($I144:BE144)&lt;1,IF($C144&lt;=BF$4,1/$E$41,0),0)</f>
        <v>0</v>
      </c>
      <c r="BG144" s="34">
        <f>IF(SUM($I144:BF144)&lt;1,IF($C144&lt;=BG$4,1/$E$41,0),0)</f>
        <v>0</v>
      </c>
      <c r="BH144" s="34">
        <f>IF(SUM($I144:BG144)&lt;1,IF($C144&lt;=BH$4,1/$E$41,0),0)</f>
        <v>0</v>
      </c>
      <c r="BI144" s="34">
        <f>IF(SUM($I144:BH144)&lt;1,IF($C144&lt;=BI$4,1/$E$41,0),0)</f>
        <v>0</v>
      </c>
      <c r="BJ144" s="34">
        <f>IF(SUM($I144:BI144)&lt;1,IF($C144&lt;=BJ$4,1/$E$41,0),0)</f>
        <v>0</v>
      </c>
      <c r="BK144" s="34">
        <f>IF(SUM($I144:BJ144)&lt;1,IF($C144&lt;=BK$4,1/$E$41,0),0)</f>
        <v>0</v>
      </c>
      <c r="BL144" s="34">
        <f>IF(SUM($I144:BK144)&lt;1,IF($C144&lt;=BL$4,1/$E$41,0),0)</f>
        <v>0</v>
      </c>
      <c r="BM144" s="34">
        <f>IF(SUM($I144:BL144)&lt;1,IF($C144&lt;=BM$4,1/$E$41,0),0)</f>
        <v>0</v>
      </c>
      <c r="BN144" s="34">
        <f>IF(SUM($I144:BM144)&lt;1,IF($C144&lt;=BN$4,1/$E$41,0),0)</f>
        <v>0</v>
      </c>
      <c r="BO144" s="34">
        <f>IF(SUM($I144:BN144)&lt;1,IF($C144&lt;=BO$4,1/$E$41,0),0)</f>
        <v>0</v>
      </c>
      <c r="BP144" s="34">
        <f>IF(SUM($I144:BO144)&lt;1,IF($C144&lt;=BP$4,1/$E$41,0),0)</f>
        <v>0</v>
      </c>
      <c r="BQ144" s="34">
        <f>IF(SUM($I144:BP144)&lt;1,IF($C144&lt;=BQ$4,1/$E$41,0),0)</f>
        <v>0</v>
      </c>
      <c r="BR144" s="34">
        <f>IF(SUM($I144:BQ144)&lt;1,IF($C144&lt;=BR$4,1/$E$41,0),0)</f>
        <v>0</v>
      </c>
      <c r="BS144" s="34">
        <f>IF(SUM($I144:BR144)&lt;1,IF($C144&lt;=BS$4,1/$E$41,0),0)</f>
        <v>0</v>
      </c>
      <c r="BT144" s="34">
        <f>IF(SUM($I144:BS144)&lt;1,IF($C144&lt;=BT$4,1/$E$41,0),0)</f>
        <v>0</v>
      </c>
      <c r="BU144" s="34">
        <f>IF(SUM($I144:BT144)&lt;1,IF($C144&lt;=BU$4,1/$E$41,0),0)</f>
        <v>0</v>
      </c>
      <c r="BV144" s="34">
        <f>IF(SUM($I144:BU144)&lt;1,IF($C144&lt;=BV$4,1/$E$41,0),0)</f>
        <v>0</v>
      </c>
      <c r="BW144" s="34">
        <f>IF(SUM($I144:BV144)&lt;1,IF($C144&lt;=BW$4,1/$E$41,0),0)</f>
        <v>0</v>
      </c>
      <c r="BX144" s="34">
        <f>IF(SUM($I144:BW144)&lt;1,IF($C144&lt;=BX$4,1/$E$41,0),0)</f>
        <v>0</v>
      </c>
      <c r="BY144" s="34">
        <f>IF(SUM($I144:BX144)&lt;1,IF($C144&lt;=BY$4,1/$E$41,0),0)</f>
        <v>0</v>
      </c>
      <c r="BZ144" s="34">
        <f>IF(SUM($I144:BY144)&lt;1,IF($C144&lt;=BZ$4,1/$E$41,0),0)</f>
        <v>0</v>
      </c>
      <c r="CA144" s="34">
        <f>IF(SUM($I144:BZ144)&lt;1,IF($C144&lt;=CA$4,1/$E$41,0),0)</f>
        <v>0</v>
      </c>
      <c r="CB144" s="34">
        <f>IF(SUM($I144:CA144)&lt;1,IF($C144&lt;=CB$4,1/$E$41,0),0)</f>
        <v>0</v>
      </c>
      <c r="CC144" s="34">
        <f>IF(SUM($I144:CB144)&lt;1,IF($C144&lt;=CC$4,1/$E$41,0),0)</f>
        <v>0</v>
      </c>
      <c r="CD144" s="34">
        <f>IF(SUM($I144:CC144)&lt;1,IF($C144&lt;=CD$4,1/$E$41,0),0)</f>
        <v>0</v>
      </c>
      <c r="CE144" s="34">
        <f>IF(SUM($I144:CD144)&lt;1,IF($C144&lt;=CE$4,1/$E$41,0),0)</f>
        <v>0</v>
      </c>
      <c r="CF144" s="34">
        <f>IF(SUM($I144:CE144)&lt;1,IF($C144&lt;=CF$4,1/$E$41,0),0)</f>
        <v>0</v>
      </c>
      <c r="CG144" s="34">
        <f>IF(SUM($I144:CF144)&lt;1,IF($C144&lt;=CG$4,1/$E$41,0),0)</f>
        <v>0</v>
      </c>
      <c r="CH144" s="34">
        <f>IF(SUM($I144:CG144)&lt;1,IF($C144&lt;=CH$4,1/$E$41,0),0)</f>
        <v>0</v>
      </c>
      <c r="CI144" s="34">
        <f>IF(SUM($I144:CH144)&lt;1,IF($C144&lt;=CI$4,1/$E$41,0),0)</f>
        <v>0</v>
      </c>
      <c r="CJ144" s="34">
        <f>IF(SUM($I144:CI144)&lt;1,IF($C144&lt;=CJ$4,1/$E$41,0),0)</f>
        <v>0</v>
      </c>
      <c r="CK144" s="34">
        <f>IF(SUM($I144:CJ144)&lt;1,IF($C144&lt;=CK$4,1/$E$41,0),0)</f>
        <v>0</v>
      </c>
      <c r="CL144" s="34">
        <f>IF(SUM($I144:CK144)&lt;1,IF($C144&lt;=CL$4,1/$E$41,0),0)</f>
        <v>0</v>
      </c>
      <c r="CM144" s="34">
        <f>IF(SUM($I144:CL144)&lt;1,IF($C144&lt;=CM$4,1/$E$41,0),0)</f>
        <v>0</v>
      </c>
      <c r="CN144" s="34">
        <f>IF(SUM($I144:CM144)&lt;1,IF($C144&lt;=CN$4,1/$E$41,0),0)</f>
        <v>0</v>
      </c>
      <c r="CO144" s="34">
        <f>IF(SUM($I144:CN144)&lt;1,IF($C144&lt;=CO$4,1/$E$41,0),0)</f>
        <v>0</v>
      </c>
      <c r="CP144" s="34">
        <f>IF(SUM($I144:CO144)&lt;1,IF($C144&lt;=CP$4,1/$E$41,0),0)</f>
        <v>0</v>
      </c>
      <c r="CQ144" s="34">
        <f>IF(SUM($I144:CP144)&lt;1,IF($C144&lt;=CQ$4,1/$E$41,0),0)</f>
        <v>0</v>
      </c>
      <c r="CR144" s="34">
        <f>IF(SUM($I144:CQ144)&lt;1,IF($C144&lt;=CR$4,1/$E$41,0),0)</f>
        <v>0</v>
      </c>
      <c r="CS144" s="34">
        <f>IF(SUM($I144:CR144)&lt;1,IF($C144&lt;=CS$4,1/$E$41,0),0)</f>
        <v>0</v>
      </c>
      <c r="CT144" s="34">
        <f>IF(SUM($I144:CS144)&lt;1,IF($C144&lt;=CT$4,1/$E$41,0),0)</f>
        <v>0</v>
      </c>
      <c r="CU144" s="34">
        <f>IF(SUM($I144:CT144)&lt;1,IF($C144&lt;=CU$4,1/$E$41,0),0)</f>
        <v>0</v>
      </c>
      <c r="CV144" s="34">
        <f>IF(SUM($I144:CU144)&lt;1,IF($C144&lt;=CV$4,1/$E$41,0),0)</f>
        <v>0</v>
      </c>
      <c r="CW144" s="34">
        <f>IF(SUM($I144:CV144)&lt;1,IF($C144&lt;=CW$4,1/$E$41,0),0)</f>
        <v>0</v>
      </c>
      <c r="CX144" s="34">
        <f>IF(SUM($I144:CW144)&lt;1,IF($C144&lt;=CX$4,1/$E$41,0),0)</f>
        <v>0</v>
      </c>
      <c r="CY144" s="34">
        <f>IF(SUM($I144:CX144)&lt;1,IF($C144&lt;=CY$4,1/$E$41,0),0)</f>
        <v>0</v>
      </c>
      <c r="CZ144" s="34">
        <f>IF(SUM($I144:CY144)&lt;1,IF($C144&lt;=CZ$4,1/$E$41,0),0)</f>
        <v>0</v>
      </c>
      <c r="DA144" s="34">
        <f>IF(SUM($I144:CZ144)&lt;1,IF($C144&lt;=DA$4,1/$E$41,0),0)</f>
        <v>0</v>
      </c>
      <c r="DB144" s="34">
        <f>IF(SUM($I144:DA144)&lt;1,IF($C144&lt;=DB$4,1/$E$41,0),0)</f>
        <v>0</v>
      </c>
      <c r="DC144" s="34">
        <f>IF(SUM($I144:DB144)&lt;1,IF($C144&lt;=DC$4,1/$E$41,0),0)</f>
        <v>0</v>
      </c>
      <c r="DD144" s="34">
        <f>IF(SUM($I144:DC144)&lt;1,IF($C144&lt;=DD$4,1/$E$41,0),0)</f>
        <v>0</v>
      </c>
      <c r="DE144" s="34">
        <f>IF(SUM($I144:DD144)&lt;1,IF($C144&lt;=DE$4,1/$E$41,0),0)</f>
        <v>0.25</v>
      </c>
      <c r="DF144" s="34">
        <f>IF(SUM($I144:DE144)&lt;1,IF($C144&lt;=DF$4,1/$E$41,0),0)</f>
        <v>0.25</v>
      </c>
      <c r="DG144" s="34">
        <f>IF(SUM($I144:DF144)&lt;1,IF($C144&lt;=DG$4,1/$E$41,0),0)</f>
        <v>0.25</v>
      </c>
      <c r="DH144" s="34">
        <f>IF(SUM($I144:DG144)&lt;1,IF($C144&lt;=DH$4,1/$E$41,0),0)</f>
        <v>0.25</v>
      </c>
      <c r="DI144" s="34">
        <f>IF(SUM($I144:DH144)&lt;1,IF($C144&lt;=DI$4,1/$E$41,0),0)</f>
        <v>0</v>
      </c>
      <c r="DJ144" s="34">
        <f>IF(SUM($I144:DI144)&lt;1,IF($C144&lt;=DJ$4,1/$E$41,0),0)</f>
        <v>0</v>
      </c>
      <c r="DK144" s="34">
        <f>IF(SUM($I144:DJ144)&lt;1,IF($C144&lt;=DK$4,1/$E$41,0),0)</f>
        <v>0</v>
      </c>
      <c r="DL144" s="34">
        <f>IF(SUM($I144:DK144)&lt;1,IF($C144&lt;=DL$4,1/$E$41,0),0)</f>
        <v>0</v>
      </c>
      <c r="DM144" s="34">
        <f>IF(SUM($I144:DL144)&lt;1,IF($C144&lt;=DM$4,1/$E$41,0),0)</f>
        <v>0</v>
      </c>
    </row>
    <row r="145" spans="3:117" outlineLevel="1" x14ac:dyDescent="0.15"/>
    <row r="146" spans="3:117" outlineLevel="1" x14ac:dyDescent="0.15">
      <c r="C146" t="s">
        <v>111</v>
      </c>
      <c r="I146" s="37">
        <f>SUM(J146:DM146)</f>
        <v>2951304430.0000005</v>
      </c>
      <c r="J146" s="51">
        <f>SUMPRODUCT(J45:J144,$E$45:$E$144)</f>
        <v>556826107.50000012</v>
      </c>
      <c r="K146" s="51">
        <f t="shared" ref="K146:BV146" si="52">SUMPRODUCT(K45:K144,$E$45:$E$144)</f>
        <v>592826107.50000012</v>
      </c>
      <c r="L146" s="51">
        <f t="shared" si="52"/>
        <v>630326107.50000012</v>
      </c>
      <c r="M146" s="51">
        <f t="shared" si="52"/>
        <v>663326107.50000012</v>
      </c>
      <c r="N146" s="51">
        <f t="shared" si="52"/>
        <v>135000000</v>
      </c>
      <c r="O146" s="51">
        <f t="shared" si="52"/>
        <v>118500000</v>
      </c>
      <c r="P146" s="51">
        <f t="shared" si="52"/>
        <v>85500000</v>
      </c>
      <c r="Q146" s="51">
        <f t="shared" si="52"/>
        <v>58000000</v>
      </c>
      <c r="R146" s="51">
        <f t="shared" si="52"/>
        <v>32000000</v>
      </c>
      <c r="S146" s="51">
        <f t="shared" si="52"/>
        <v>15000000</v>
      </c>
      <c r="T146" s="51">
        <f t="shared" si="52"/>
        <v>10500000</v>
      </c>
      <c r="U146" s="51">
        <f t="shared" si="52"/>
        <v>16500000</v>
      </c>
      <c r="V146" s="51">
        <f t="shared" si="52"/>
        <v>14000000</v>
      </c>
      <c r="W146" s="51">
        <f t="shared" si="52"/>
        <v>11500000</v>
      </c>
      <c r="X146" s="51">
        <f t="shared" si="52"/>
        <v>11500000</v>
      </c>
      <c r="Y146" s="51">
        <f t="shared" si="52"/>
        <v>0</v>
      </c>
      <c r="Z146" s="51">
        <f t="shared" si="52"/>
        <v>0</v>
      </c>
      <c r="AA146" s="51">
        <f t="shared" si="52"/>
        <v>0</v>
      </c>
      <c r="AB146" s="51">
        <f t="shared" si="52"/>
        <v>0</v>
      </c>
      <c r="AC146" s="51">
        <f t="shared" si="52"/>
        <v>0</v>
      </c>
      <c r="AD146" s="51">
        <f t="shared" si="52"/>
        <v>0</v>
      </c>
      <c r="AE146" s="51">
        <f t="shared" si="52"/>
        <v>0</v>
      </c>
      <c r="AF146" s="51">
        <f t="shared" si="52"/>
        <v>0</v>
      </c>
      <c r="AG146" s="51">
        <f t="shared" si="52"/>
        <v>0</v>
      </c>
      <c r="AH146" s="51">
        <f t="shared" si="52"/>
        <v>0</v>
      </c>
      <c r="AI146" s="51">
        <f t="shared" si="52"/>
        <v>0</v>
      </c>
      <c r="AJ146" s="51">
        <f t="shared" si="52"/>
        <v>0</v>
      </c>
      <c r="AK146" s="51">
        <f t="shared" si="52"/>
        <v>0</v>
      </c>
      <c r="AL146" s="51">
        <f t="shared" si="52"/>
        <v>0</v>
      </c>
      <c r="AM146" s="51">
        <f t="shared" si="52"/>
        <v>0</v>
      </c>
      <c r="AN146" s="51">
        <f t="shared" si="52"/>
        <v>0</v>
      </c>
      <c r="AO146" s="51">
        <f t="shared" si="52"/>
        <v>0</v>
      </c>
      <c r="AP146" s="51">
        <f t="shared" si="52"/>
        <v>0</v>
      </c>
      <c r="AQ146" s="51">
        <f t="shared" si="52"/>
        <v>0</v>
      </c>
      <c r="AR146" s="51">
        <f t="shared" si="52"/>
        <v>0</v>
      </c>
      <c r="AS146" s="51">
        <f t="shared" si="52"/>
        <v>0</v>
      </c>
      <c r="AT146" s="51">
        <f t="shared" si="52"/>
        <v>0</v>
      </c>
      <c r="AU146" s="51">
        <f t="shared" si="52"/>
        <v>0</v>
      </c>
      <c r="AV146" s="51">
        <f t="shared" si="52"/>
        <v>0</v>
      </c>
      <c r="AW146" s="51">
        <f t="shared" si="52"/>
        <v>0</v>
      </c>
      <c r="AX146" s="51">
        <f t="shared" si="52"/>
        <v>0</v>
      </c>
      <c r="AY146" s="51">
        <f t="shared" si="52"/>
        <v>0</v>
      </c>
      <c r="AZ146" s="51">
        <f t="shared" si="52"/>
        <v>0</v>
      </c>
      <c r="BA146" s="51">
        <f t="shared" si="52"/>
        <v>0</v>
      </c>
      <c r="BB146" s="51">
        <f t="shared" si="52"/>
        <v>0</v>
      </c>
      <c r="BC146" s="51">
        <f t="shared" si="52"/>
        <v>0</v>
      </c>
      <c r="BD146" s="51">
        <f t="shared" si="52"/>
        <v>0</v>
      </c>
      <c r="BE146" s="51">
        <f t="shared" si="52"/>
        <v>0</v>
      </c>
      <c r="BF146" s="51">
        <f t="shared" si="52"/>
        <v>0</v>
      </c>
      <c r="BG146" s="51">
        <f t="shared" si="52"/>
        <v>0</v>
      </c>
      <c r="BH146" s="51">
        <f t="shared" si="52"/>
        <v>0</v>
      </c>
      <c r="BI146" s="51">
        <f t="shared" si="52"/>
        <v>0</v>
      </c>
      <c r="BJ146" s="51">
        <f t="shared" si="52"/>
        <v>0</v>
      </c>
      <c r="BK146" s="51">
        <f t="shared" si="52"/>
        <v>0</v>
      </c>
      <c r="BL146" s="51">
        <f t="shared" si="52"/>
        <v>0</v>
      </c>
      <c r="BM146" s="51">
        <f t="shared" si="52"/>
        <v>0</v>
      </c>
      <c r="BN146" s="51">
        <f t="shared" si="52"/>
        <v>0</v>
      </c>
      <c r="BO146" s="51">
        <f t="shared" si="52"/>
        <v>0</v>
      </c>
      <c r="BP146" s="51">
        <f t="shared" si="52"/>
        <v>0</v>
      </c>
      <c r="BQ146" s="51">
        <f t="shared" si="52"/>
        <v>0</v>
      </c>
      <c r="BR146" s="51">
        <f t="shared" si="52"/>
        <v>0</v>
      </c>
      <c r="BS146" s="51">
        <f t="shared" si="52"/>
        <v>0</v>
      </c>
      <c r="BT146" s="51">
        <f t="shared" si="52"/>
        <v>0</v>
      </c>
      <c r="BU146" s="51">
        <f t="shared" si="52"/>
        <v>0</v>
      </c>
      <c r="BV146" s="51">
        <f t="shared" si="52"/>
        <v>0</v>
      </c>
      <c r="BW146" s="51">
        <f t="shared" ref="BW146:DM146" si="53">SUMPRODUCT(BW45:BW144,$E$45:$E$144)</f>
        <v>0</v>
      </c>
      <c r="BX146" s="51">
        <f t="shared" si="53"/>
        <v>0</v>
      </c>
      <c r="BY146" s="51">
        <f t="shared" si="53"/>
        <v>0</v>
      </c>
      <c r="BZ146" s="51">
        <f t="shared" si="53"/>
        <v>0</v>
      </c>
      <c r="CA146" s="51">
        <f t="shared" si="53"/>
        <v>0</v>
      </c>
      <c r="CB146" s="51">
        <f t="shared" si="53"/>
        <v>0</v>
      </c>
      <c r="CC146" s="51">
        <f t="shared" si="53"/>
        <v>0</v>
      </c>
      <c r="CD146" s="51">
        <f t="shared" si="53"/>
        <v>0</v>
      </c>
      <c r="CE146" s="51">
        <f t="shared" si="53"/>
        <v>0</v>
      </c>
      <c r="CF146" s="51">
        <f t="shared" si="53"/>
        <v>0</v>
      </c>
      <c r="CG146" s="51">
        <f t="shared" si="53"/>
        <v>0</v>
      </c>
      <c r="CH146" s="51">
        <f t="shared" si="53"/>
        <v>0</v>
      </c>
      <c r="CI146" s="51">
        <f t="shared" si="53"/>
        <v>0</v>
      </c>
      <c r="CJ146" s="51">
        <f t="shared" si="53"/>
        <v>0</v>
      </c>
      <c r="CK146" s="51">
        <f t="shared" si="53"/>
        <v>0</v>
      </c>
      <c r="CL146" s="51">
        <f t="shared" si="53"/>
        <v>0</v>
      </c>
      <c r="CM146" s="51">
        <f t="shared" si="53"/>
        <v>0</v>
      </c>
      <c r="CN146" s="51">
        <f t="shared" si="53"/>
        <v>0</v>
      </c>
      <c r="CO146" s="51">
        <f t="shared" si="53"/>
        <v>0</v>
      </c>
      <c r="CP146" s="51">
        <f t="shared" si="53"/>
        <v>0</v>
      </c>
      <c r="CQ146" s="51">
        <f t="shared" si="53"/>
        <v>0</v>
      </c>
      <c r="CR146" s="51">
        <f t="shared" si="53"/>
        <v>0</v>
      </c>
      <c r="CS146" s="51">
        <f t="shared" si="53"/>
        <v>0</v>
      </c>
      <c r="CT146" s="51">
        <f t="shared" si="53"/>
        <v>0</v>
      </c>
      <c r="CU146" s="51">
        <f t="shared" si="53"/>
        <v>0</v>
      </c>
      <c r="CV146" s="51">
        <f t="shared" si="53"/>
        <v>0</v>
      </c>
      <c r="CW146" s="51">
        <f t="shared" si="53"/>
        <v>0</v>
      </c>
      <c r="CX146" s="51">
        <f t="shared" si="53"/>
        <v>0</v>
      </c>
      <c r="CY146" s="51">
        <f t="shared" si="53"/>
        <v>0</v>
      </c>
      <c r="CZ146" s="51">
        <f t="shared" si="53"/>
        <v>0</v>
      </c>
      <c r="DA146" s="51">
        <f t="shared" si="53"/>
        <v>0</v>
      </c>
      <c r="DB146" s="51">
        <f t="shared" si="53"/>
        <v>0</v>
      </c>
      <c r="DC146" s="51">
        <f t="shared" si="53"/>
        <v>0</v>
      </c>
      <c r="DD146" s="51">
        <f t="shared" si="53"/>
        <v>0</v>
      </c>
      <c r="DE146" s="51">
        <f t="shared" si="53"/>
        <v>0</v>
      </c>
      <c r="DF146" s="51">
        <f t="shared" si="53"/>
        <v>0</v>
      </c>
      <c r="DG146" s="51">
        <f t="shared" si="53"/>
        <v>0</v>
      </c>
      <c r="DH146" s="51">
        <f t="shared" si="53"/>
        <v>0</v>
      </c>
      <c r="DI146" s="51">
        <f t="shared" si="53"/>
        <v>0</v>
      </c>
      <c r="DJ146" s="51">
        <f t="shared" si="53"/>
        <v>0</v>
      </c>
      <c r="DK146" s="51">
        <f t="shared" si="53"/>
        <v>0</v>
      </c>
      <c r="DL146" s="51">
        <f t="shared" si="53"/>
        <v>0</v>
      </c>
      <c r="DM146" s="51">
        <f t="shared" si="53"/>
        <v>0</v>
      </c>
    </row>
    <row r="148" spans="3:117" ht="20" x14ac:dyDescent="0.2">
      <c r="C148" s="4" t="s">
        <v>177</v>
      </c>
    </row>
    <row r="149" spans="3:117" x14ac:dyDescent="0.15">
      <c r="C149" t="s">
        <v>193</v>
      </c>
      <c r="D149" s="5" t="s">
        <v>183</v>
      </c>
      <c r="I149" s="35">
        <f>SUM(J149:DM149)</f>
        <v>105957942.86543715</v>
      </c>
      <c r="J149" s="19">
        <f>Operations!J55/Lbs_per_kg</f>
        <v>0</v>
      </c>
      <c r="K149" s="19">
        <f>Operations!K55/Lbs_per_kg</f>
        <v>0</v>
      </c>
      <c r="L149" s="19">
        <f>Operations!L55/Lbs_per_kg</f>
        <v>0</v>
      </c>
      <c r="M149" s="19">
        <f>Operations!M55/Lbs_per_kg</f>
        <v>0</v>
      </c>
      <c r="N149" s="19">
        <f>Operations!N55/Lbs_per_kg</f>
        <v>11840135.714998504</v>
      </c>
      <c r="O149" s="19">
        <f>Operations!O55/Lbs_per_kg</f>
        <v>13180956.355290255</v>
      </c>
      <c r="P149" s="19">
        <f>Operations!P55/Lbs_per_kg</f>
        <v>13477606.118061164</v>
      </c>
      <c r="Q149" s="19">
        <f>Operations!Q55/Lbs_per_kg</f>
        <v>13455380.065498818</v>
      </c>
      <c r="R149" s="19">
        <f>Operations!R55/Lbs_per_kg</f>
        <v>13457648.030045995</v>
      </c>
      <c r="S149" s="19">
        <f>Operations!S55/Lbs_per_kg</f>
        <v>7046112.2551732268</v>
      </c>
      <c r="T149" s="19">
        <f>Operations!T55/Lbs_per_kg</f>
        <v>7613556.9848772129</v>
      </c>
      <c r="U149" s="19">
        <f>Operations!U55/Lbs_per_kg</f>
        <v>8214113.9969699997</v>
      </c>
      <c r="V149" s="19">
        <f>Operations!V55/Lbs_per_kg</f>
        <v>6984423.6194899799</v>
      </c>
      <c r="W149" s="19">
        <f>Operations!W55/Lbs_per_kg</f>
        <v>7144088.3236113265</v>
      </c>
      <c r="X149" s="19">
        <f>Operations!X55/Lbs_per_kg</f>
        <v>3543921.4014206533</v>
      </c>
      <c r="Y149" s="19">
        <f>Operations!Y55/Lbs_per_kg</f>
        <v>0</v>
      </c>
      <c r="Z149" s="19">
        <f>Operations!Z55/Lbs_per_kg</f>
        <v>0</v>
      </c>
      <c r="AA149" s="19">
        <f>Operations!AA55/Lbs_per_kg</f>
        <v>0</v>
      </c>
      <c r="AB149" s="19">
        <f>Operations!AB55/Lbs_per_kg</f>
        <v>0</v>
      </c>
      <c r="AC149" s="19">
        <f>Operations!AC55/Lbs_per_kg</f>
        <v>0</v>
      </c>
      <c r="AD149" s="19">
        <f>Operations!AD55/Lbs_per_kg</f>
        <v>0</v>
      </c>
      <c r="AE149" s="19">
        <f>Operations!AE55/Lbs_per_kg</f>
        <v>0</v>
      </c>
      <c r="AF149" s="19">
        <f>Operations!AF55/Lbs_per_kg</f>
        <v>0</v>
      </c>
      <c r="AG149" s="19">
        <f>Operations!AG55/Lbs_per_kg</f>
        <v>0</v>
      </c>
      <c r="AH149" s="19">
        <f>Operations!AH55/Lbs_per_kg</f>
        <v>0</v>
      </c>
      <c r="AI149" s="19">
        <f>Operations!AI55/Lbs_per_kg</f>
        <v>0</v>
      </c>
      <c r="AJ149" s="19">
        <f>Operations!AJ55/Lbs_per_kg</f>
        <v>0</v>
      </c>
      <c r="AK149" s="19">
        <f>Operations!AK55/Lbs_per_kg</f>
        <v>0</v>
      </c>
      <c r="AL149" s="19">
        <f>Operations!AL55/Lbs_per_kg</f>
        <v>0</v>
      </c>
      <c r="AM149" s="19">
        <f>Operations!AM55/Lbs_per_kg</f>
        <v>0</v>
      </c>
      <c r="AN149" s="19">
        <f>Operations!AN55/Lbs_per_kg</f>
        <v>0</v>
      </c>
      <c r="AO149" s="19">
        <f>Operations!AO55/Lbs_per_kg</f>
        <v>0</v>
      </c>
      <c r="AP149" s="19">
        <f>Operations!AP55/Lbs_per_kg</f>
        <v>0</v>
      </c>
      <c r="AQ149" s="19">
        <f>Operations!AQ55/Lbs_per_kg</f>
        <v>0</v>
      </c>
      <c r="AR149" s="19">
        <f>Operations!AR55/Lbs_per_kg</f>
        <v>0</v>
      </c>
      <c r="AS149" s="19">
        <f>Operations!AS55/Lbs_per_kg</f>
        <v>0</v>
      </c>
      <c r="AT149" s="19">
        <f>Operations!AT55/Lbs_per_kg</f>
        <v>0</v>
      </c>
      <c r="AU149" s="19">
        <f>Operations!AU55/Lbs_per_kg</f>
        <v>0</v>
      </c>
      <c r="AV149" s="19">
        <f>Operations!AV55/Lbs_per_kg</f>
        <v>0</v>
      </c>
      <c r="AW149" s="19">
        <f>Operations!AW55/Lbs_per_kg</f>
        <v>0</v>
      </c>
      <c r="AX149" s="19">
        <f>Operations!AX55/Lbs_per_kg</f>
        <v>0</v>
      </c>
      <c r="AY149" s="19">
        <f>Operations!AY55/Lbs_per_kg</f>
        <v>0</v>
      </c>
      <c r="AZ149" s="19">
        <f>Operations!AZ55/Lbs_per_kg</f>
        <v>0</v>
      </c>
      <c r="BA149" s="19">
        <f>Operations!BA55/Lbs_per_kg</f>
        <v>0</v>
      </c>
      <c r="BB149" s="19">
        <f>Operations!BB55/Lbs_per_kg</f>
        <v>0</v>
      </c>
      <c r="BC149" s="19">
        <f>Operations!BC55/Lbs_per_kg</f>
        <v>0</v>
      </c>
      <c r="BD149" s="19">
        <f>Operations!BD55/Lbs_per_kg</f>
        <v>0</v>
      </c>
      <c r="BE149" s="19">
        <f>Operations!BE55/Lbs_per_kg</f>
        <v>0</v>
      </c>
      <c r="BF149" s="19">
        <f>Operations!BF55/Lbs_per_kg</f>
        <v>0</v>
      </c>
      <c r="BG149" s="19">
        <f>Operations!BG55/Lbs_per_kg</f>
        <v>0</v>
      </c>
      <c r="BH149" s="19">
        <f>Operations!BH55/Lbs_per_kg</f>
        <v>0</v>
      </c>
      <c r="BI149" s="19">
        <f>Operations!BI55/Lbs_per_kg</f>
        <v>0</v>
      </c>
      <c r="BJ149" s="19">
        <f>Operations!BJ55/Lbs_per_kg</f>
        <v>0</v>
      </c>
      <c r="BK149" s="19">
        <f>Operations!BK55/Lbs_per_kg</f>
        <v>0</v>
      </c>
      <c r="BL149" s="19">
        <f>Operations!BL55/Lbs_per_kg</f>
        <v>0</v>
      </c>
      <c r="BM149" s="19">
        <f>Operations!BM55/Lbs_per_kg</f>
        <v>0</v>
      </c>
      <c r="BN149" s="19">
        <f>Operations!BN55/Lbs_per_kg</f>
        <v>0</v>
      </c>
      <c r="BO149" s="19">
        <f>Operations!BO55/Lbs_per_kg</f>
        <v>0</v>
      </c>
      <c r="BP149" s="19">
        <f>Operations!BP55/Lbs_per_kg</f>
        <v>0</v>
      </c>
      <c r="BQ149" s="19">
        <f>Operations!BQ55/Lbs_per_kg</f>
        <v>0</v>
      </c>
      <c r="BR149" s="19">
        <f>Operations!BR55/Lbs_per_kg</f>
        <v>0</v>
      </c>
      <c r="BS149" s="19">
        <f>Operations!BS55/Lbs_per_kg</f>
        <v>0</v>
      </c>
      <c r="BT149" s="19">
        <f>Operations!BT55/Lbs_per_kg</f>
        <v>0</v>
      </c>
      <c r="BU149" s="19">
        <f>Operations!BU55/Lbs_per_kg</f>
        <v>0</v>
      </c>
      <c r="BV149" s="19">
        <f>Operations!BV55/Lbs_per_kg</f>
        <v>0</v>
      </c>
      <c r="BW149" s="19">
        <f>Operations!BW55/Lbs_per_kg</f>
        <v>0</v>
      </c>
      <c r="BX149" s="19">
        <f>Operations!BX55/Lbs_per_kg</f>
        <v>0</v>
      </c>
      <c r="BY149" s="19">
        <f>Operations!BY55/Lbs_per_kg</f>
        <v>0</v>
      </c>
      <c r="BZ149" s="19">
        <f>Operations!BZ55/Lbs_per_kg</f>
        <v>0</v>
      </c>
      <c r="CA149" s="19">
        <f>Operations!CA55/Lbs_per_kg</f>
        <v>0</v>
      </c>
      <c r="CB149" s="19">
        <f>Operations!CB55/Lbs_per_kg</f>
        <v>0</v>
      </c>
      <c r="CC149" s="19">
        <f>Operations!CC55/Lbs_per_kg</f>
        <v>0</v>
      </c>
      <c r="CD149" s="19">
        <f>Operations!CD55/Lbs_per_kg</f>
        <v>0</v>
      </c>
      <c r="CE149" s="19">
        <f>Operations!CE55/Lbs_per_kg</f>
        <v>0</v>
      </c>
      <c r="CF149" s="19">
        <f>Operations!CF55/Lbs_per_kg</f>
        <v>0</v>
      </c>
      <c r="CG149" s="19">
        <f>Operations!CG55/Lbs_per_kg</f>
        <v>0</v>
      </c>
      <c r="CH149" s="19">
        <f>Operations!CH55/Lbs_per_kg</f>
        <v>0</v>
      </c>
      <c r="CI149" s="19">
        <f>Operations!CI55/Lbs_per_kg</f>
        <v>0</v>
      </c>
      <c r="CJ149" s="19">
        <f>Operations!CJ55/Lbs_per_kg</f>
        <v>0</v>
      </c>
      <c r="CK149" s="19">
        <f>Operations!CK55/Lbs_per_kg</f>
        <v>0</v>
      </c>
      <c r="CL149" s="19">
        <f>Operations!CL55/Lbs_per_kg</f>
        <v>0</v>
      </c>
      <c r="CM149" s="19">
        <f>Operations!CM55/Lbs_per_kg</f>
        <v>0</v>
      </c>
      <c r="CN149" s="19">
        <f>Operations!CN55/Lbs_per_kg</f>
        <v>0</v>
      </c>
      <c r="CO149" s="19">
        <f>Operations!CO55/Lbs_per_kg</f>
        <v>0</v>
      </c>
      <c r="CP149" s="19">
        <f>Operations!CP55/Lbs_per_kg</f>
        <v>0</v>
      </c>
      <c r="CQ149" s="19">
        <f>Operations!CQ55/Lbs_per_kg</f>
        <v>0</v>
      </c>
      <c r="CR149" s="19">
        <f>Operations!CR55/Lbs_per_kg</f>
        <v>0</v>
      </c>
      <c r="CS149" s="19">
        <f>Operations!CS55/Lbs_per_kg</f>
        <v>0</v>
      </c>
      <c r="CT149" s="19">
        <f>Operations!CT55/Lbs_per_kg</f>
        <v>0</v>
      </c>
      <c r="CU149" s="19">
        <f>Operations!CU55/Lbs_per_kg</f>
        <v>0</v>
      </c>
      <c r="CV149" s="19">
        <f>Operations!CV55/Lbs_per_kg</f>
        <v>0</v>
      </c>
      <c r="CW149" s="19">
        <f>Operations!CW55/Lbs_per_kg</f>
        <v>0</v>
      </c>
      <c r="CX149" s="19">
        <f>Operations!CX55/Lbs_per_kg</f>
        <v>0</v>
      </c>
      <c r="CY149" s="19">
        <f>Operations!CY55/Lbs_per_kg</f>
        <v>0</v>
      </c>
      <c r="CZ149" s="19">
        <f>Operations!CZ55/Lbs_per_kg</f>
        <v>0</v>
      </c>
      <c r="DA149" s="19">
        <f>Operations!DA55/Lbs_per_kg</f>
        <v>0</v>
      </c>
      <c r="DB149" s="19">
        <f>Operations!DB55/Lbs_per_kg</f>
        <v>0</v>
      </c>
      <c r="DC149" s="19">
        <f>Operations!DC55/Lbs_per_kg</f>
        <v>0</v>
      </c>
      <c r="DD149" s="19">
        <f>Operations!DD55/Lbs_per_kg</f>
        <v>0</v>
      </c>
      <c r="DE149" s="19">
        <f>Operations!DE55/Lbs_per_kg</f>
        <v>0</v>
      </c>
      <c r="DF149" s="19">
        <f>Operations!DF55/Lbs_per_kg</f>
        <v>0</v>
      </c>
      <c r="DG149" s="19">
        <f>Operations!DG55/Lbs_per_kg</f>
        <v>0</v>
      </c>
      <c r="DH149" s="19">
        <f>Operations!DH55/Lbs_per_kg</f>
        <v>0</v>
      </c>
      <c r="DI149" s="19">
        <f>Operations!DI55/Lbs_per_kg</f>
        <v>0</v>
      </c>
      <c r="DJ149" s="19">
        <f>Operations!DJ55/Lbs_per_kg</f>
        <v>0</v>
      </c>
      <c r="DK149" s="19">
        <f>Operations!DK55/Lbs_per_kg</f>
        <v>0</v>
      </c>
      <c r="DL149" s="19">
        <f>Operations!DL55/Lbs_per_kg</f>
        <v>0</v>
      </c>
      <c r="DM149" s="19">
        <f>Operations!DM55/Lbs_per_kg</f>
        <v>0</v>
      </c>
    </row>
    <row r="150" spans="3:117" x14ac:dyDescent="0.15">
      <c r="D150" s="5"/>
    </row>
    <row r="151" spans="3:117" x14ac:dyDescent="0.15">
      <c r="C151" t="s">
        <v>192</v>
      </c>
      <c r="D151" s="5" t="s">
        <v>18</v>
      </c>
      <c r="E151" s="48">
        <v>1</v>
      </c>
    </row>
    <row r="152" spans="3:117" x14ac:dyDescent="0.15">
      <c r="D152" s="5"/>
    </row>
    <row r="153" spans="3:117" x14ac:dyDescent="0.15">
      <c r="C153" t="s">
        <v>182</v>
      </c>
      <c r="D153" s="5" t="s">
        <v>183</v>
      </c>
      <c r="I153" s="35">
        <f>SUM(J153:DM153)</f>
        <v>105957942.86543715</v>
      </c>
      <c r="J153" s="19">
        <f>J149/$E$151</f>
        <v>0</v>
      </c>
      <c r="K153" s="19">
        <f t="shared" ref="K153:BV153" si="54">K149/$E$151</f>
        <v>0</v>
      </c>
      <c r="L153" s="19">
        <f t="shared" si="54"/>
        <v>0</v>
      </c>
      <c r="M153" s="19">
        <f t="shared" si="54"/>
        <v>0</v>
      </c>
      <c r="N153" s="19">
        <f t="shared" si="54"/>
        <v>11840135.714998504</v>
      </c>
      <c r="O153" s="19">
        <f t="shared" si="54"/>
        <v>13180956.355290255</v>
      </c>
      <c r="P153" s="19">
        <f t="shared" si="54"/>
        <v>13477606.118061164</v>
      </c>
      <c r="Q153" s="19">
        <f t="shared" si="54"/>
        <v>13455380.065498818</v>
      </c>
      <c r="R153" s="19">
        <f t="shared" si="54"/>
        <v>13457648.030045995</v>
      </c>
      <c r="S153" s="19">
        <f t="shared" si="54"/>
        <v>7046112.2551732268</v>
      </c>
      <c r="T153" s="19">
        <f t="shared" si="54"/>
        <v>7613556.9848772129</v>
      </c>
      <c r="U153" s="19">
        <f t="shared" si="54"/>
        <v>8214113.9969699997</v>
      </c>
      <c r="V153" s="19">
        <f t="shared" si="54"/>
        <v>6984423.6194899799</v>
      </c>
      <c r="W153" s="19">
        <f t="shared" si="54"/>
        <v>7144088.3236113265</v>
      </c>
      <c r="X153" s="19">
        <f t="shared" si="54"/>
        <v>3543921.4014206533</v>
      </c>
      <c r="Y153" s="19">
        <f t="shared" si="54"/>
        <v>0</v>
      </c>
      <c r="Z153" s="19">
        <f t="shared" si="54"/>
        <v>0</v>
      </c>
      <c r="AA153" s="19">
        <f t="shared" si="54"/>
        <v>0</v>
      </c>
      <c r="AB153" s="19">
        <f t="shared" si="54"/>
        <v>0</v>
      </c>
      <c r="AC153" s="19">
        <f t="shared" si="54"/>
        <v>0</v>
      </c>
      <c r="AD153" s="19">
        <f t="shared" si="54"/>
        <v>0</v>
      </c>
      <c r="AE153" s="19">
        <f t="shared" si="54"/>
        <v>0</v>
      </c>
      <c r="AF153" s="19">
        <f t="shared" si="54"/>
        <v>0</v>
      </c>
      <c r="AG153" s="19">
        <f t="shared" si="54"/>
        <v>0</v>
      </c>
      <c r="AH153" s="19">
        <f t="shared" si="54"/>
        <v>0</v>
      </c>
      <c r="AI153" s="19">
        <f t="shared" si="54"/>
        <v>0</v>
      </c>
      <c r="AJ153" s="19">
        <f t="shared" si="54"/>
        <v>0</v>
      </c>
      <c r="AK153" s="19">
        <f t="shared" si="54"/>
        <v>0</v>
      </c>
      <c r="AL153" s="19">
        <f t="shared" si="54"/>
        <v>0</v>
      </c>
      <c r="AM153" s="19">
        <f t="shared" si="54"/>
        <v>0</v>
      </c>
      <c r="AN153" s="19">
        <f t="shared" si="54"/>
        <v>0</v>
      </c>
      <c r="AO153" s="19">
        <f t="shared" si="54"/>
        <v>0</v>
      </c>
      <c r="AP153" s="19">
        <f t="shared" si="54"/>
        <v>0</v>
      </c>
      <c r="AQ153" s="19">
        <f t="shared" si="54"/>
        <v>0</v>
      </c>
      <c r="AR153" s="19">
        <f t="shared" si="54"/>
        <v>0</v>
      </c>
      <c r="AS153" s="19">
        <f t="shared" si="54"/>
        <v>0</v>
      </c>
      <c r="AT153" s="19">
        <f t="shared" si="54"/>
        <v>0</v>
      </c>
      <c r="AU153" s="19">
        <f t="shared" si="54"/>
        <v>0</v>
      </c>
      <c r="AV153" s="19">
        <f t="shared" si="54"/>
        <v>0</v>
      </c>
      <c r="AW153" s="19">
        <f t="shared" si="54"/>
        <v>0</v>
      </c>
      <c r="AX153" s="19">
        <f t="shared" si="54"/>
        <v>0</v>
      </c>
      <c r="AY153" s="19">
        <f t="shared" si="54"/>
        <v>0</v>
      </c>
      <c r="AZ153" s="19">
        <f t="shared" si="54"/>
        <v>0</v>
      </c>
      <c r="BA153" s="19">
        <f t="shared" si="54"/>
        <v>0</v>
      </c>
      <c r="BB153" s="19">
        <f t="shared" si="54"/>
        <v>0</v>
      </c>
      <c r="BC153" s="19">
        <f t="shared" si="54"/>
        <v>0</v>
      </c>
      <c r="BD153" s="19">
        <f t="shared" si="54"/>
        <v>0</v>
      </c>
      <c r="BE153" s="19">
        <f t="shared" si="54"/>
        <v>0</v>
      </c>
      <c r="BF153" s="19">
        <f t="shared" si="54"/>
        <v>0</v>
      </c>
      <c r="BG153" s="19">
        <f t="shared" si="54"/>
        <v>0</v>
      </c>
      <c r="BH153" s="19">
        <f t="shared" si="54"/>
        <v>0</v>
      </c>
      <c r="BI153" s="19">
        <f t="shared" si="54"/>
        <v>0</v>
      </c>
      <c r="BJ153" s="19">
        <f t="shared" si="54"/>
        <v>0</v>
      </c>
      <c r="BK153" s="19">
        <f t="shared" si="54"/>
        <v>0</v>
      </c>
      <c r="BL153" s="19">
        <f t="shared" si="54"/>
        <v>0</v>
      </c>
      <c r="BM153" s="19">
        <f t="shared" si="54"/>
        <v>0</v>
      </c>
      <c r="BN153" s="19">
        <f t="shared" si="54"/>
        <v>0</v>
      </c>
      <c r="BO153" s="19">
        <f t="shared" si="54"/>
        <v>0</v>
      </c>
      <c r="BP153" s="19">
        <f t="shared" si="54"/>
        <v>0</v>
      </c>
      <c r="BQ153" s="19">
        <f t="shared" si="54"/>
        <v>0</v>
      </c>
      <c r="BR153" s="19">
        <f t="shared" si="54"/>
        <v>0</v>
      </c>
      <c r="BS153" s="19">
        <f t="shared" si="54"/>
        <v>0</v>
      </c>
      <c r="BT153" s="19">
        <f t="shared" si="54"/>
        <v>0</v>
      </c>
      <c r="BU153" s="19">
        <f t="shared" si="54"/>
        <v>0</v>
      </c>
      <c r="BV153" s="19">
        <f t="shared" si="54"/>
        <v>0</v>
      </c>
      <c r="BW153" s="19">
        <f t="shared" ref="BW153:DM153" si="55">BW149/$E$151</f>
        <v>0</v>
      </c>
      <c r="BX153" s="19">
        <f t="shared" si="55"/>
        <v>0</v>
      </c>
      <c r="BY153" s="19">
        <f t="shared" si="55"/>
        <v>0</v>
      </c>
      <c r="BZ153" s="19">
        <f t="shared" si="55"/>
        <v>0</v>
      </c>
      <c r="CA153" s="19">
        <f t="shared" si="55"/>
        <v>0</v>
      </c>
      <c r="CB153" s="19">
        <f t="shared" si="55"/>
        <v>0</v>
      </c>
      <c r="CC153" s="19">
        <f t="shared" si="55"/>
        <v>0</v>
      </c>
      <c r="CD153" s="19">
        <f t="shared" si="55"/>
        <v>0</v>
      </c>
      <c r="CE153" s="19">
        <f t="shared" si="55"/>
        <v>0</v>
      </c>
      <c r="CF153" s="19">
        <f t="shared" si="55"/>
        <v>0</v>
      </c>
      <c r="CG153" s="19">
        <f t="shared" si="55"/>
        <v>0</v>
      </c>
      <c r="CH153" s="19">
        <f t="shared" si="55"/>
        <v>0</v>
      </c>
      <c r="CI153" s="19">
        <f t="shared" si="55"/>
        <v>0</v>
      </c>
      <c r="CJ153" s="19">
        <f t="shared" si="55"/>
        <v>0</v>
      </c>
      <c r="CK153" s="19">
        <f t="shared" si="55"/>
        <v>0</v>
      </c>
      <c r="CL153" s="19">
        <f t="shared" si="55"/>
        <v>0</v>
      </c>
      <c r="CM153" s="19">
        <f t="shared" si="55"/>
        <v>0</v>
      </c>
      <c r="CN153" s="19">
        <f t="shared" si="55"/>
        <v>0</v>
      </c>
      <c r="CO153" s="19">
        <f t="shared" si="55"/>
        <v>0</v>
      </c>
      <c r="CP153" s="19">
        <f t="shared" si="55"/>
        <v>0</v>
      </c>
      <c r="CQ153" s="19">
        <f t="shared" si="55"/>
        <v>0</v>
      </c>
      <c r="CR153" s="19">
        <f t="shared" si="55"/>
        <v>0</v>
      </c>
      <c r="CS153" s="19">
        <f t="shared" si="55"/>
        <v>0</v>
      </c>
      <c r="CT153" s="19">
        <f t="shared" si="55"/>
        <v>0</v>
      </c>
      <c r="CU153" s="19">
        <f t="shared" si="55"/>
        <v>0</v>
      </c>
      <c r="CV153" s="19">
        <f t="shared" si="55"/>
        <v>0</v>
      </c>
      <c r="CW153" s="19">
        <f t="shared" si="55"/>
        <v>0</v>
      </c>
      <c r="CX153" s="19">
        <f t="shared" si="55"/>
        <v>0</v>
      </c>
      <c r="CY153" s="19">
        <f t="shared" si="55"/>
        <v>0</v>
      </c>
      <c r="CZ153" s="19">
        <f t="shared" si="55"/>
        <v>0</v>
      </c>
      <c r="DA153" s="19">
        <f t="shared" si="55"/>
        <v>0</v>
      </c>
      <c r="DB153" s="19">
        <f t="shared" si="55"/>
        <v>0</v>
      </c>
      <c r="DC153" s="19">
        <f t="shared" si="55"/>
        <v>0</v>
      </c>
      <c r="DD153" s="19">
        <f t="shared" si="55"/>
        <v>0</v>
      </c>
      <c r="DE153" s="19">
        <f t="shared" si="55"/>
        <v>0</v>
      </c>
      <c r="DF153" s="19">
        <f t="shared" si="55"/>
        <v>0</v>
      </c>
      <c r="DG153" s="19">
        <f t="shared" si="55"/>
        <v>0</v>
      </c>
      <c r="DH153" s="19">
        <f t="shared" si="55"/>
        <v>0</v>
      </c>
      <c r="DI153" s="19">
        <f t="shared" si="55"/>
        <v>0</v>
      </c>
      <c r="DJ153" s="19">
        <f t="shared" si="55"/>
        <v>0</v>
      </c>
      <c r="DK153" s="19">
        <f t="shared" si="55"/>
        <v>0</v>
      </c>
      <c r="DL153" s="19">
        <f t="shared" si="55"/>
        <v>0</v>
      </c>
      <c r="DM153" s="19">
        <f t="shared" si="55"/>
        <v>0</v>
      </c>
    </row>
    <row r="154" spans="3:117" x14ac:dyDescent="0.15">
      <c r="D154" s="5"/>
    </row>
    <row r="155" spans="3:117" x14ac:dyDescent="0.15">
      <c r="C155" t="s">
        <v>64</v>
      </c>
      <c r="D155" s="5" t="s">
        <v>167</v>
      </c>
      <c r="I155" s="35">
        <f t="shared" ref="I155:I157" si="56">SUM(J155:DM155)</f>
        <v>25384207333.333332</v>
      </c>
      <c r="J155" s="19">
        <f>Operations!J68</f>
        <v>0</v>
      </c>
      <c r="K155" s="19">
        <f>Operations!K68</f>
        <v>0</v>
      </c>
      <c r="L155" s="19">
        <f>Operations!L68</f>
        <v>0</v>
      </c>
      <c r="M155" s="19">
        <f>Operations!M68</f>
        <v>0</v>
      </c>
      <c r="N155" s="19">
        <f>Operations!N68</f>
        <v>2836526000</v>
      </c>
      <c r="O155" s="19">
        <f>Operations!O68</f>
        <v>3157744666.6666665</v>
      </c>
      <c r="P155" s="19">
        <f>Operations!P68</f>
        <v>3228812666.6666665</v>
      </c>
      <c r="Q155" s="19">
        <f>Operations!Q68</f>
        <v>3223488000</v>
      </c>
      <c r="R155" s="19">
        <f>Operations!R68</f>
        <v>3224031333.3333335</v>
      </c>
      <c r="S155" s="19">
        <f>Operations!S68</f>
        <v>1688027999.9999998</v>
      </c>
      <c r="T155" s="19">
        <f>Operations!T68</f>
        <v>1823970000</v>
      </c>
      <c r="U155" s="19">
        <f>Operations!U68</f>
        <v>1967844666.6666667</v>
      </c>
      <c r="V155" s="19">
        <f>Operations!V68</f>
        <v>1673249333.333333</v>
      </c>
      <c r="W155" s="19">
        <f>Operations!W68</f>
        <v>1711500000.0000002</v>
      </c>
      <c r="X155" s="19">
        <f>Operations!X68</f>
        <v>849012666.66666663</v>
      </c>
      <c r="Y155" s="19">
        <f>Operations!Y68</f>
        <v>0</v>
      </c>
      <c r="Z155" s="19">
        <f>Operations!Z68</f>
        <v>0</v>
      </c>
      <c r="AA155" s="19">
        <f>Operations!AA68</f>
        <v>0</v>
      </c>
      <c r="AB155" s="19">
        <f>Operations!AB68</f>
        <v>0</v>
      </c>
      <c r="AC155" s="19">
        <f>Operations!AC68</f>
        <v>0</v>
      </c>
      <c r="AD155" s="19">
        <f>Operations!AD68</f>
        <v>0</v>
      </c>
      <c r="AE155" s="19">
        <f>Operations!AE68</f>
        <v>0</v>
      </c>
      <c r="AF155" s="19">
        <f>Operations!AF68</f>
        <v>0</v>
      </c>
      <c r="AG155" s="19">
        <f>Operations!AG68</f>
        <v>0</v>
      </c>
      <c r="AH155" s="19">
        <f>Operations!AH68</f>
        <v>0</v>
      </c>
      <c r="AI155" s="19">
        <f>Operations!AI68</f>
        <v>0</v>
      </c>
      <c r="AJ155" s="19">
        <f>Operations!AJ68</f>
        <v>0</v>
      </c>
      <c r="AK155" s="19">
        <f>Operations!AK68</f>
        <v>0</v>
      </c>
      <c r="AL155" s="19">
        <f>Operations!AL68</f>
        <v>0</v>
      </c>
      <c r="AM155" s="19">
        <f>Operations!AM68</f>
        <v>0</v>
      </c>
      <c r="AN155" s="19">
        <f>Operations!AN68</f>
        <v>0</v>
      </c>
      <c r="AO155" s="19">
        <f>Operations!AO68</f>
        <v>0</v>
      </c>
      <c r="AP155" s="19">
        <f>Operations!AP68</f>
        <v>0</v>
      </c>
      <c r="AQ155" s="19">
        <f>Operations!AQ68</f>
        <v>0</v>
      </c>
      <c r="AR155" s="19">
        <f>Operations!AR68</f>
        <v>0</v>
      </c>
      <c r="AS155" s="19">
        <f>Operations!AS68</f>
        <v>0</v>
      </c>
      <c r="AT155" s="19">
        <f>Operations!AT68</f>
        <v>0</v>
      </c>
      <c r="AU155" s="19">
        <f>Operations!AU68</f>
        <v>0</v>
      </c>
      <c r="AV155" s="19">
        <f>Operations!AV68</f>
        <v>0</v>
      </c>
      <c r="AW155" s="19">
        <f>Operations!AW68</f>
        <v>0</v>
      </c>
      <c r="AX155" s="19">
        <f>Operations!AX68</f>
        <v>0</v>
      </c>
      <c r="AY155" s="19">
        <f>Operations!AY68</f>
        <v>0</v>
      </c>
      <c r="AZ155" s="19">
        <f>Operations!AZ68</f>
        <v>0</v>
      </c>
      <c r="BA155" s="19">
        <f>Operations!BA68</f>
        <v>0</v>
      </c>
      <c r="BB155" s="19">
        <f>Operations!BB68</f>
        <v>0</v>
      </c>
      <c r="BC155" s="19">
        <f>Operations!BC68</f>
        <v>0</v>
      </c>
      <c r="BD155" s="19">
        <f>Operations!BD68</f>
        <v>0</v>
      </c>
      <c r="BE155" s="19">
        <f>Operations!BE68</f>
        <v>0</v>
      </c>
      <c r="BF155" s="19">
        <f>Operations!BF68</f>
        <v>0</v>
      </c>
      <c r="BG155" s="19">
        <f>Operations!BG68</f>
        <v>0</v>
      </c>
      <c r="BH155" s="19">
        <f>Operations!BH68</f>
        <v>0</v>
      </c>
      <c r="BI155" s="19">
        <f>Operations!BI68</f>
        <v>0</v>
      </c>
      <c r="BJ155" s="19">
        <f>Operations!BJ68</f>
        <v>0</v>
      </c>
      <c r="BK155" s="19">
        <f>Operations!BK68</f>
        <v>0</v>
      </c>
      <c r="BL155" s="19">
        <f>Operations!BL68</f>
        <v>0</v>
      </c>
      <c r="BM155" s="19">
        <f>Operations!BM68</f>
        <v>0</v>
      </c>
      <c r="BN155" s="19">
        <f>Operations!BN68</f>
        <v>0</v>
      </c>
      <c r="BO155" s="19">
        <f>Operations!BO68</f>
        <v>0</v>
      </c>
      <c r="BP155" s="19">
        <f>Operations!BP68</f>
        <v>0</v>
      </c>
      <c r="BQ155" s="19">
        <f>Operations!BQ68</f>
        <v>0</v>
      </c>
      <c r="BR155" s="19">
        <f>Operations!BR68</f>
        <v>0</v>
      </c>
      <c r="BS155" s="19">
        <f>Operations!BS68</f>
        <v>0</v>
      </c>
      <c r="BT155" s="19">
        <f>Operations!BT68</f>
        <v>0</v>
      </c>
      <c r="BU155" s="19">
        <f>Operations!BU68</f>
        <v>0</v>
      </c>
      <c r="BV155" s="19">
        <f>Operations!BV68</f>
        <v>0</v>
      </c>
      <c r="BW155" s="19">
        <f>Operations!BW68</f>
        <v>0</v>
      </c>
      <c r="BX155" s="19">
        <f>Operations!BX68</f>
        <v>0</v>
      </c>
      <c r="BY155" s="19">
        <f>Operations!BY68</f>
        <v>0</v>
      </c>
      <c r="BZ155" s="19">
        <f>Operations!BZ68</f>
        <v>0</v>
      </c>
      <c r="CA155" s="19">
        <f>Operations!CA68</f>
        <v>0</v>
      </c>
      <c r="CB155" s="19">
        <f>Operations!CB68</f>
        <v>0</v>
      </c>
      <c r="CC155" s="19">
        <f>Operations!CC68</f>
        <v>0</v>
      </c>
      <c r="CD155" s="19">
        <f>Operations!CD68</f>
        <v>0</v>
      </c>
      <c r="CE155" s="19">
        <f>Operations!CE68</f>
        <v>0</v>
      </c>
      <c r="CF155" s="19">
        <f>Operations!CF68</f>
        <v>0</v>
      </c>
      <c r="CG155" s="19">
        <f>Operations!CG68</f>
        <v>0</v>
      </c>
      <c r="CH155" s="19">
        <f>Operations!CH68</f>
        <v>0</v>
      </c>
      <c r="CI155" s="19">
        <f>Operations!CI68</f>
        <v>0</v>
      </c>
      <c r="CJ155" s="19">
        <f>Operations!CJ68</f>
        <v>0</v>
      </c>
      <c r="CK155" s="19">
        <f>Operations!CK68</f>
        <v>0</v>
      </c>
      <c r="CL155" s="19">
        <f>Operations!CL68</f>
        <v>0</v>
      </c>
      <c r="CM155" s="19">
        <f>Operations!CM68</f>
        <v>0</v>
      </c>
      <c r="CN155" s="19">
        <f>Operations!CN68</f>
        <v>0</v>
      </c>
      <c r="CO155" s="19">
        <f>Operations!CO68</f>
        <v>0</v>
      </c>
      <c r="CP155" s="19">
        <f>Operations!CP68</f>
        <v>0</v>
      </c>
      <c r="CQ155" s="19">
        <f>Operations!CQ68</f>
        <v>0</v>
      </c>
      <c r="CR155" s="19">
        <f>Operations!CR68</f>
        <v>0</v>
      </c>
      <c r="CS155" s="19">
        <f>Operations!CS68</f>
        <v>0</v>
      </c>
      <c r="CT155" s="19">
        <f>Operations!CT68</f>
        <v>0</v>
      </c>
      <c r="CU155" s="19">
        <f>Operations!CU68</f>
        <v>0</v>
      </c>
      <c r="CV155" s="19">
        <f>Operations!CV68</f>
        <v>0</v>
      </c>
      <c r="CW155" s="19">
        <f>Operations!CW68</f>
        <v>0</v>
      </c>
      <c r="CX155" s="19">
        <f>Operations!CX68</f>
        <v>0</v>
      </c>
      <c r="CY155" s="19">
        <f>Operations!CY68</f>
        <v>0</v>
      </c>
      <c r="CZ155" s="19">
        <f>Operations!CZ68</f>
        <v>0</v>
      </c>
      <c r="DA155" s="19">
        <f>Operations!DA68</f>
        <v>0</v>
      </c>
      <c r="DB155" s="19">
        <f>Operations!DB68</f>
        <v>0</v>
      </c>
      <c r="DC155" s="19">
        <f>Operations!DC68</f>
        <v>0</v>
      </c>
      <c r="DD155" s="19">
        <f>Operations!DD68</f>
        <v>0</v>
      </c>
      <c r="DE155" s="19">
        <f>Operations!DE68</f>
        <v>0</v>
      </c>
      <c r="DF155" s="19">
        <f>Operations!DF68</f>
        <v>0</v>
      </c>
      <c r="DG155" s="19">
        <f>Operations!DG68</f>
        <v>0</v>
      </c>
      <c r="DH155" s="19">
        <f>Operations!DH68</f>
        <v>0</v>
      </c>
      <c r="DI155" s="19">
        <f>Operations!DI68</f>
        <v>0</v>
      </c>
      <c r="DJ155" s="19">
        <f>Operations!DJ68</f>
        <v>0</v>
      </c>
      <c r="DK155" s="19">
        <f>Operations!DK68</f>
        <v>0</v>
      </c>
      <c r="DL155" s="19">
        <f>Operations!DL68</f>
        <v>0</v>
      </c>
      <c r="DM155" s="19">
        <f>Operations!DM68</f>
        <v>0</v>
      </c>
    </row>
    <row r="156" spans="3:117" x14ac:dyDescent="0.15">
      <c r="D156" s="5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</row>
    <row r="157" spans="3:117" x14ac:dyDescent="0.15">
      <c r="C157" t="s">
        <v>184</v>
      </c>
      <c r="D157" s="5" t="s">
        <v>167</v>
      </c>
      <c r="I157" s="35">
        <f t="shared" si="56"/>
        <v>3237566917.5</v>
      </c>
      <c r="J157" s="19">
        <f>Operations!J110</f>
        <v>0</v>
      </c>
      <c r="K157" s="19">
        <f>Operations!K110</f>
        <v>0</v>
      </c>
      <c r="L157" s="19">
        <f>Operations!L110</f>
        <v>0</v>
      </c>
      <c r="M157" s="19">
        <f>Operations!M110</f>
        <v>0</v>
      </c>
      <c r="N157" s="19">
        <f>Operations!N110</f>
        <v>275178194.7982496</v>
      </c>
      <c r="O157" s="19">
        <f>Operations!O110</f>
        <v>318109918.80852932</v>
      </c>
      <c r="P157" s="19">
        <f>Operations!P110</f>
        <v>312520873.35832947</v>
      </c>
      <c r="Q157" s="19">
        <f>Operations!Q110</f>
        <v>302294457.1182341</v>
      </c>
      <c r="R157" s="19">
        <f>Operations!R110</f>
        <v>312049110.36835682</v>
      </c>
      <c r="S157" s="19">
        <f>Operations!S110</f>
        <v>305397231.67822289</v>
      </c>
      <c r="T157" s="19">
        <f>Operations!T110</f>
        <v>300382202.71812195</v>
      </c>
      <c r="U157" s="19">
        <f>Operations!U110</f>
        <v>298029803.86811137</v>
      </c>
      <c r="V157" s="19">
        <f>Operations!V110</f>
        <v>292666509.00800341</v>
      </c>
      <c r="W157" s="19">
        <f>Operations!W110</f>
        <v>287103825.94803566</v>
      </c>
      <c r="X157" s="19">
        <f>Operations!X110</f>
        <v>233834789.8278057</v>
      </c>
      <c r="Y157" s="19">
        <f>Operations!Y110</f>
        <v>0</v>
      </c>
      <c r="Z157" s="19">
        <f>Operations!Z110</f>
        <v>0</v>
      </c>
      <c r="AA157" s="19">
        <f>Operations!AA110</f>
        <v>0</v>
      </c>
      <c r="AB157" s="19">
        <f>Operations!AB110</f>
        <v>0</v>
      </c>
      <c r="AC157" s="19">
        <f>Operations!AC110</f>
        <v>0</v>
      </c>
      <c r="AD157" s="19">
        <f>Operations!AD110</f>
        <v>0</v>
      </c>
      <c r="AE157" s="19">
        <f>Operations!AE110</f>
        <v>0</v>
      </c>
      <c r="AF157" s="19">
        <f>Operations!AF110</f>
        <v>0</v>
      </c>
      <c r="AG157" s="19">
        <f>Operations!AG110</f>
        <v>0</v>
      </c>
      <c r="AH157" s="19">
        <f>Operations!AH110</f>
        <v>0</v>
      </c>
      <c r="AI157" s="19">
        <f>Operations!AI110</f>
        <v>0</v>
      </c>
      <c r="AJ157" s="19">
        <f>Operations!AJ110</f>
        <v>0</v>
      </c>
      <c r="AK157" s="19">
        <f>Operations!AK110</f>
        <v>0</v>
      </c>
      <c r="AL157" s="19">
        <f>Operations!AL110</f>
        <v>0</v>
      </c>
      <c r="AM157" s="19">
        <f>Operations!AM110</f>
        <v>0</v>
      </c>
      <c r="AN157" s="19">
        <f>Operations!AN110</f>
        <v>0</v>
      </c>
      <c r="AO157" s="19">
        <f>Operations!AO110</f>
        <v>0</v>
      </c>
      <c r="AP157" s="19">
        <f>Operations!AP110</f>
        <v>0</v>
      </c>
      <c r="AQ157" s="19">
        <f>Operations!AQ110</f>
        <v>0</v>
      </c>
      <c r="AR157" s="19">
        <f>Operations!AR110</f>
        <v>0</v>
      </c>
      <c r="AS157" s="19">
        <f>Operations!AS110</f>
        <v>0</v>
      </c>
      <c r="AT157" s="19">
        <f>Operations!AT110</f>
        <v>0</v>
      </c>
      <c r="AU157" s="19">
        <f>Operations!AU110</f>
        <v>0</v>
      </c>
      <c r="AV157" s="19">
        <f>Operations!AV110</f>
        <v>0</v>
      </c>
      <c r="AW157" s="19">
        <f>Operations!AW110</f>
        <v>0</v>
      </c>
      <c r="AX157" s="19">
        <f>Operations!AX110</f>
        <v>0</v>
      </c>
      <c r="AY157" s="19">
        <f>Operations!AY110</f>
        <v>0</v>
      </c>
      <c r="AZ157" s="19">
        <f>Operations!AZ110</f>
        <v>0</v>
      </c>
      <c r="BA157" s="19">
        <f>Operations!BA110</f>
        <v>0</v>
      </c>
      <c r="BB157" s="19">
        <f>Operations!BB110</f>
        <v>0</v>
      </c>
      <c r="BC157" s="19">
        <f>Operations!BC110</f>
        <v>0</v>
      </c>
      <c r="BD157" s="19">
        <f>Operations!BD110</f>
        <v>0</v>
      </c>
      <c r="BE157" s="19">
        <f>Operations!BE110</f>
        <v>0</v>
      </c>
      <c r="BF157" s="19">
        <f>Operations!BF110</f>
        <v>0</v>
      </c>
      <c r="BG157" s="19">
        <f>Operations!BG110</f>
        <v>0</v>
      </c>
      <c r="BH157" s="19">
        <f>Operations!BH110</f>
        <v>0</v>
      </c>
      <c r="BI157" s="19">
        <f>Operations!BI110</f>
        <v>0</v>
      </c>
      <c r="BJ157" s="19">
        <f>Operations!BJ110</f>
        <v>0</v>
      </c>
      <c r="BK157" s="19">
        <f>Operations!BK110</f>
        <v>0</v>
      </c>
      <c r="BL157" s="19">
        <f>Operations!BL110</f>
        <v>0</v>
      </c>
      <c r="BM157" s="19">
        <f>Operations!BM110</f>
        <v>0</v>
      </c>
      <c r="BN157" s="19">
        <f>Operations!BN110</f>
        <v>0</v>
      </c>
      <c r="BO157" s="19">
        <f>Operations!BO110</f>
        <v>0</v>
      </c>
      <c r="BP157" s="19">
        <f>Operations!BP110</f>
        <v>0</v>
      </c>
      <c r="BQ157" s="19">
        <f>Operations!BQ110</f>
        <v>0</v>
      </c>
      <c r="BR157" s="19">
        <f>Operations!BR110</f>
        <v>0</v>
      </c>
      <c r="BS157" s="19">
        <f>Operations!BS110</f>
        <v>0</v>
      </c>
      <c r="BT157" s="19">
        <f>Operations!BT110</f>
        <v>0</v>
      </c>
      <c r="BU157" s="19">
        <f>Operations!BU110</f>
        <v>0</v>
      </c>
      <c r="BV157" s="19">
        <f>Operations!BV110</f>
        <v>0</v>
      </c>
      <c r="BW157" s="19">
        <f>Operations!BW110</f>
        <v>0</v>
      </c>
      <c r="BX157" s="19">
        <f>Operations!BX110</f>
        <v>0</v>
      </c>
      <c r="BY157" s="19">
        <f>Operations!BY110</f>
        <v>0</v>
      </c>
      <c r="BZ157" s="19">
        <f>Operations!BZ110</f>
        <v>0</v>
      </c>
      <c r="CA157" s="19">
        <f>Operations!CA110</f>
        <v>0</v>
      </c>
      <c r="CB157" s="19">
        <f>Operations!CB110</f>
        <v>0</v>
      </c>
      <c r="CC157" s="19">
        <f>Operations!CC110</f>
        <v>0</v>
      </c>
      <c r="CD157" s="19">
        <f>Operations!CD110</f>
        <v>0</v>
      </c>
      <c r="CE157" s="19">
        <f>Operations!CE110</f>
        <v>0</v>
      </c>
      <c r="CF157" s="19">
        <f>Operations!CF110</f>
        <v>0</v>
      </c>
      <c r="CG157" s="19">
        <f>Operations!CG110</f>
        <v>0</v>
      </c>
      <c r="CH157" s="19">
        <f>Operations!CH110</f>
        <v>0</v>
      </c>
      <c r="CI157" s="19">
        <f>Operations!CI110</f>
        <v>0</v>
      </c>
      <c r="CJ157" s="19">
        <f>Operations!CJ110</f>
        <v>0</v>
      </c>
      <c r="CK157" s="19">
        <f>Operations!CK110</f>
        <v>0</v>
      </c>
      <c r="CL157" s="19">
        <f>Operations!CL110</f>
        <v>0</v>
      </c>
      <c r="CM157" s="19">
        <f>Operations!CM110</f>
        <v>0</v>
      </c>
      <c r="CN157" s="19">
        <f>Operations!CN110</f>
        <v>0</v>
      </c>
      <c r="CO157" s="19">
        <f>Operations!CO110</f>
        <v>0</v>
      </c>
      <c r="CP157" s="19">
        <f>Operations!CP110</f>
        <v>0</v>
      </c>
      <c r="CQ157" s="19">
        <f>Operations!CQ110</f>
        <v>0</v>
      </c>
      <c r="CR157" s="19">
        <f>Operations!CR110</f>
        <v>0</v>
      </c>
      <c r="CS157" s="19">
        <f>Operations!CS110</f>
        <v>0</v>
      </c>
      <c r="CT157" s="19">
        <f>Operations!CT110</f>
        <v>0</v>
      </c>
      <c r="CU157" s="19">
        <f>Operations!CU110</f>
        <v>0</v>
      </c>
      <c r="CV157" s="19">
        <f>Operations!CV110</f>
        <v>0</v>
      </c>
      <c r="CW157" s="19">
        <f>Operations!CW110</f>
        <v>0</v>
      </c>
      <c r="CX157" s="19">
        <f>Operations!CX110</f>
        <v>0</v>
      </c>
      <c r="CY157" s="19">
        <f>Operations!CY110</f>
        <v>0</v>
      </c>
      <c r="CZ157" s="19">
        <f>Operations!CZ110</f>
        <v>0</v>
      </c>
      <c r="DA157" s="19">
        <f>Operations!DA110</f>
        <v>0</v>
      </c>
      <c r="DB157" s="19">
        <f>Operations!DB110</f>
        <v>0</v>
      </c>
      <c r="DC157" s="19">
        <f>Operations!DC110</f>
        <v>0</v>
      </c>
      <c r="DD157" s="19">
        <f>Operations!DD110</f>
        <v>0</v>
      </c>
      <c r="DE157" s="19">
        <f>Operations!DE110</f>
        <v>0</v>
      </c>
      <c r="DF157" s="19">
        <f>Operations!DF110</f>
        <v>0</v>
      </c>
      <c r="DG157" s="19">
        <f>Operations!DG110</f>
        <v>0</v>
      </c>
      <c r="DH157" s="19">
        <f>Operations!DH110</f>
        <v>0</v>
      </c>
      <c r="DI157" s="19">
        <f>Operations!DI110</f>
        <v>0</v>
      </c>
      <c r="DJ157" s="19">
        <f>Operations!DJ110</f>
        <v>0</v>
      </c>
      <c r="DK157" s="19">
        <f>Operations!DK110</f>
        <v>0</v>
      </c>
      <c r="DL157" s="19">
        <f>Operations!DL110</f>
        <v>0</v>
      </c>
      <c r="DM157" s="19">
        <f>Operations!DM110</f>
        <v>0</v>
      </c>
    </row>
    <row r="158" spans="3:117" x14ac:dyDescent="0.15">
      <c r="D158" s="5"/>
    </row>
    <row r="159" spans="3:117" x14ac:dyDescent="0.15">
      <c r="C159" t="s">
        <v>179</v>
      </c>
      <c r="D159" s="5" t="s">
        <v>167</v>
      </c>
      <c r="I159" s="35">
        <f>IF(I$153=0,0,I155/I$153)</f>
        <v>239.5687066666666</v>
      </c>
      <c r="J159" s="19">
        <f>IF(J$153=0,0,J155/J$153)</f>
        <v>0</v>
      </c>
      <c r="K159" s="19">
        <f t="shared" ref="K159:BV159" si="57">IF(K$153=0,0,K155/K$153)</f>
        <v>0</v>
      </c>
      <c r="L159" s="19">
        <f t="shared" si="57"/>
        <v>0</v>
      </c>
      <c r="M159" s="19">
        <f t="shared" si="57"/>
        <v>0</v>
      </c>
      <c r="N159" s="19">
        <f t="shared" si="57"/>
        <v>239.56870666666666</v>
      </c>
      <c r="O159" s="19">
        <f t="shared" si="57"/>
        <v>239.56870666666666</v>
      </c>
      <c r="P159" s="19">
        <f t="shared" si="57"/>
        <v>239.56870666666663</v>
      </c>
      <c r="Q159" s="19">
        <f t="shared" si="57"/>
        <v>239.56870666666663</v>
      </c>
      <c r="R159" s="19">
        <f t="shared" si="57"/>
        <v>239.56870666666666</v>
      </c>
      <c r="S159" s="19">
        <f t="shared" si="57"/>
        <v>239.56870666666666</v>
      </c>
      <c r="T159" s="19">
        <f t="shared" si="57"/>
        <v>239.56870666666666</v>
      </c>
      <c r="U159" s="19">
        <f t="shared" si="57"/>
        <v>239.56870666666666</v>
      </c>
      <c r="V159" s="19">
        <f t="shared" si="57"/>
        <v>239.56870666666663</v>
      </c>
      <c r="W159" s="19">
        <f t="shared" si="57"/>
        <v>239.56870666666666</v>
      </c>
      <c r="X159" s="19">
        <f t="shared" si="57"/>
        <v>239.56870666666663</v>
      </c>
      <c r="Y159" s="19">
        <f t="shared" si="57"/>
        <v>0</v>
      </c>
      <c r="Z159" s="19">
        <f t="shared" si="57"/>
        <v>0</v>
      </c>
      <c r="AA159" s="19">
        <f t="shared" si="57"/>
        <v>0</v>
      </c>
      <c r="AB159" s="19">
        <f t="shared" si="57"/>
        <v>0</v>
      </c>
      <c r="AC159" s="19">
        <f t="shared" si="57"/>
        <v>0</v>
      </c>
      <c r="AD159" s="19">
        <f t="shared" si="57"/>
        <v>0</v>
      </c>
      <c r="AE159" s="19">
        <f t="shared" si="57"/>
        <v>0</v>
      </c>
      <c r="AF159" s="19">
        <f t="shared" si="57"/>
        <v>0</v>
      </c>
      <c r="AG159" s="19">
        <f t="shared" si="57"/>
        <v>0</v>
      </c>
      <c r="AH159" s="19">
        <f t="shared" si="57"/>
        <v>0</v>
      </c>
      <c r="AI159" s="19">
        <f t="shared" si="57"/>
        <v>0</v>
      </c>
      <c r="AJ159" s="19">
        <f t="shared" si="57"/>
        <v>0</v>
      </c>
      <c r="AK159" s="19">
        <f t="shared" si="57"/>
        <v>0</v>
      </c>
      <c r="AL159" s="19">
        <f t="shared" si="57"/>
        <v>0</v>
      </c>
      <c r="AM159" s="19">
        <f t="shared" si="57"/>
        <v>0</v>
      </c>
      <c r="AN159" s="19">
        <f t="shared" si="57"/>
        <v>0</v>
      </c>
      <c r="AO159" s="19">
        <f t="shared" si="57"/>
        <v>0</v>
      </c>
      <c r="AP159" s="19">
        <f t="shared" si="57"/>
        <v>0</v>
      </c>
      <c r="AQ159" s="19">
        <f t="shared" si="57"/>
        <v>0</v>
      </c>
      <c r="AR159" s="19">
        <f t="shared" si="57"/>
        <v>0</v>
      </c>
      <c r="AS159" s="19">
        <f t="shared" si="57"/>
        <v>0</v>
      </c>
      <c r="AT159" s="19">
        <f t="shared" si="57"/>
        <v>0</v>
      </c>
      <c r="AU159" s="19">
        <f t="shared" si="57"/>
        <v>0</v>
      </c>
      <c r="AV159" s="19">
        <f t="shared" si="57"/>
        <v>0</v>
      </c>
      <c r="AW159" s="19">
        <f t="shared" si="57"/>
        <v>0</v>
      </c>
      <c r="AX159" s="19">
        <f t="shared" si="57"/>
        <v>0</v>
      </c>
      <c r="AY159" s="19">
        <f t="shared" si="57"/>
        <v>0</v>
      </c>
      <c r="AZ159" s="19">
        <f t="shared" si="57"/>
        <v>0</v>
      </c>
      <c r="BA159" s="19">
        <f t="shared" si="57"/>
        <v>0</v>
      </c>
      <c r="BB159" s="19">
        <f t="shared" si="57"/>
        <v>0</v>
      </c>
      <c r="BC159" s="19">
        <f t="shared" si="57"/>
        <v>0</v>
      </c>
      <c r="BD159" s="19">
        <f t="shared" si="57"/>
        <v>0</v>
      </c>
      <c r="BE159" s="19">
        <f t="shared" si="57"/>
        <v>0</v>
      </c>
      <c r="BF159" s="19">
        <f t="shared" si="57"/>
        <v>0</v>
      </c>
      <c r="BG159" s="19">
        <f t="shared" si="57"/>
        <v>0</v>
      </c>
      <c r="BH159" s="19">
        <f t="shared" si="57"/>
        <v>0</v>
      </c>
      <c r="BI159" s="19">
        <f t="shared" si="57"/>
        <v>0</v>
      </c>
      <c r="BJ159" s="19">
        <f t="shared" si="57"/>
        <v>0</v>
      </c>
      <c r="BK159" s="19">
        <f t="shared" si="57"/>
        <v>0</v>
      </c>
      <c r="BL159" s="19">
        <f t="shared" si="57"/>
        <v>0</v>
      </c>
      <c r="BM159" s="19">
        <f t="shared" si="57"/>
        <v>0</v>
      </c>
      <c r="BN159" s="19">
        <f t="shared" si="57"/>
        <v>0</v>
      </c>
      <c r="BO159" s="19">
        <f t="shared" si="57"/>
        <v>0</v>
      </c>
      <c r="BP159" s="19">
        <f t="shared" si="57"/>
        <v>0</v>
      </c>
      <c r="BQ159" s="19">
        <f t="shared" si="57"/>
        <v>0</v>
      </c>
      <c r="BR159" s="19">
        <f t="shared" si="57"/>
        <v>0</v>
      </c>
      <c r="BS159" s="19">
        <f t="shared" si="57"/>
        <v>0</v>
      </c>
      <c r="BT159" s="19">
        <f t="shared" si="57"/>
        <v>0</v>
      </c>
      <c r="BU159" s="19">
        <f t="shared" si="57"/>
        <v>0</v>
      </c>
      <c r="BV159" s="19">
        <f t="shared" si="57"/>
        <v>0</v>
      </c>
      <c r="BW159" s="19">
        <f t="shared" ref="BW159:DM159" si="58">IF(BW$153=0,0,BW155/BW$153)</f>
        <v>0</v>
      </c>
      <c r="BX159" s="19">
        <f t="shared" si="58"/>
        <v>0</v>
      </c>
      <c r="BY159" s="19">
        <f t="shared" si="58"/>
        <v>0</v>
      </c>
      <c r="BZ159" s="19">
        <f t="shared" si="58"/>
        <v>0</v>
      </c>
      <c r="CA159" s="19">
        <f t="shared" si="58"/>
        <v>0</v>
      </c>
      <c r="CB159" s="19">
        <f t="shared" si="58"/>
        <v>0</v>
      </c>
      <c r="CC159" s="19">
        <f t="shared" si="58"/>
        <v>0</v>
      </c>
      <c r="CD159" s="19">
        <f t="shared" si="58"/>
        <v>0</v>
      </c>
      <c r="CE159" s="19">
        <f t="shared" si="58"/>
        <v>0</v>
      </c>
      <c r="CF159" s="19">
        <f t="shared" si="58"/>
        <v>0</v>
      </c>
      <c r="CG159" s="19">
        <f t="shared" si="58"/>
        <v>0</v>
      </c>
      <c r="CH159" s="19">
        <f t="shared" si="58"/>
        <v>0</v>
      </c>
      <c r="CI159" s="19">
        <f t="shared" si="58"/>
        <v>0</v>
      </c>
      <c r="CJ159" s="19">
        <f t="shared" si="58"/>
        <v>0</v>
      </c>
      <c r="CK159" s="19">
        <f t="shared" si="58"/>
        <v>0</v>
      </c>
      <c r="CL159" s="19">
        <f t="shared" si="58"/>
        <v>0</v>
      </c>
      <c r="CM159" s="19">
        <f t="shared" si="58"/>
        <v>0</v>
      </c>
      <c r="CN159" s="19">
        <f t="shared" si="58"/>
        <v>0</v>
      </c>
      <c r="CO159" s="19">
        <f t="shared" si="58"/>
        <v>0</v>
      </c>
      <c r="CP159" s="19">
        <f t="shared" si="58"/>
        <v>0</v>
      </c>
      <c r="CQ159" s="19">
        <f t="shared" si="58"/>
        <v>0</v>
      </c>
      <c r="CR159" s="19">
        <f t="shared" si="58"/>
        <v>0</v>
      </c>
      <c r="CS159" s="19">
        <f t="shared" si="58"/>
        <v>0</v>
      </c>
      <c r="CT159" s="19">
        <f t="shared" si="58"/>
        <v>0</v>
      </c>
      <c r="CU159" s="19">
        <f t="shared" si="58"/>
        <v>0</v>
      </c>
      <c r="CV159" s="19">
        <f t="shared" si="58"/>
        <v>0</v>
      </c>
      <c r="CW159" s="19">
        <f t="shared" si="58"/>
        <v>0</v>
      </c>
      <c r="CX159" s="19">
        <f t="shared" si="58"/>
        <v>0</v>
      </c>
      <c r="CY159" s="19">
        <f t="shared" si="58"/>
        <v>0</v>
      </c>
      <c r="CZ159" s="19">
        <f t="shared" si="58"/>
        <v>0</v>
      </c>
      <c r="DA159" s="19">
        <f t="shared" si="58"/>
        <v>0</v>
      </c>
      <c r="DB159" s="19">
        <f t="shared" si="58"/>
        <v>0</v>
      </c>
      <c r="DC159" s="19">
        <f t="shared" si="58"/>
        <v>0</v>
      </c>
      <c r="DD159" s="19">
        <f t="shared" si="58"/>
        <v>0</v>
      </c>
      <c r="DE159" s="19">
        <f t="shared" si="58"/>
        <v>0</v>
      </c>
      <c r="DF159" s="19">
        <f t="shared" si="58"/>
        <v>0</v>
      </c>
      <c r="DG159" s="19">
        <f t="shared" si="58"/>
        <v>0</v>
      </c>
      <c r="DH159" s="19">
        <f t="shared" si="58"/>
        <v>0</v>
      </c>
      <c r="DI159" s="19">
        <f t="shared" si="58"/>
        <v>0</v>
      </c>
      <c r="DJ159" s="19">
        <f t="shared" si="58"/>
        <v>0</v>
      </c>
      <c r="DK159" s="19">
        <f t="shared" si="58"/>
        <v>0</v>
      </c>
      <c r="DL159" s="19">
        <f t="shared" si="58"/>
        <v>0</v>
      </c>
      <c r="DM159" s="19">
        <f t="shared" si="58"/>
        <v>0</v>
      </c>
    </row>
    <row r="160" spans="3:117" x14ac:dyDescent="0.15">
      <c r="C160" t="s">
        <v>194</v>
      </c>
      <c r="D160" s="5" t="s">
        <v>167</v>
      </c>
      <c r="I160" s="35">
        <f>IF(I$153=0,0,I157/I$153)</f>
        <v>30.555207377058988</v>
      </c>
      <c r="J160" s="19">
        <f>IF(J$153=0,0,J157/J$153)</f>
        <v>0</v>
      </c>
      <c r="K160" s="19">
        <f t="shared" ref="K160:BV160" si="59">IF(K$153=0,0,K157/K$153)</f>
        <v>0</v>
      </c>
      <c r="L160" s="19">
        <f t="shared" si="59"/>
        <v>0</v>
      </c>
      <c r="M160" s="19">
        <f t="shared" si="59"/>
        <v>0</v>
      </c>
      <c r="N160" s="19">
        <f t="shared" si="59"/>
        <v>23.241135188143776</v>
      </c>
      <c r="O160" s="19">
        <f t="shared" si="59"/>
        <v>24.134054482386176</v>
      </c>
      <c r="P160" s="19">
        <f t="shared" si="59"/>
        <v>23.188158981699601</v>
      </c>
      <c r="Q160" s="19">
        <f t="shared" si="59"/>
        <v>22.466437636596588</v>
      </c>
      <c r="R160" s="19">
        <f t="shared" si="59"/>
        <v>23.187492321961873</v>
      </c>
      <c r="S160" s="19">
        <f t="shared" si="59"/>
        <v>43.342657712272675</v>
      </c>
      <c r="T160" s="19">
        <f t="shared" si="59"/>
        <v>39.453596172560381</v>
      </c>
      <c r="U160" s="19">
        <f t="shared" si="59"/>
        <v>36.282647645022678</v>
      </c>
      <c r="V160" s="19">
        <f t="shared" si="59"/>
        <v>41.90274315425539</v>
      </c>
      <c r="W160" s="19">
        <f t="shared" si="59"/>
        <v>40.187608683273538</v>
      </c>
      <c r="X160" s="19">
        <f t="shared" si="59"/>
        <v>65.981934513013812</v>
      </c>
      <c r="Y160" s="19">
        <f t="shared" si="59"/>
        <v>0</v>
      </c>
      <c r="Z160" s="19">
        <f t="shared" si="59"/>
        <v>0</v>
      </c>
      <c r="AA160" s="19">
        <f t="shared" si="59"/>
        <v>0</v>
      </c>
      <c r="AB160" s="19">
        <f t="shared" si="59"/>
        <v>0</v>
      </c>
      <c r="AC160" s="19">
        <f t="shared" si="59"/>
        <v>0</v>
      </c>
      <c r="AD160" s="19">
        <f t="shared" si="59"/>
        <v>0</v>
      </c>
      <c r="AE160" s="19">
        <f t="shared" si="59"/>
        <v>0</v>
      </c>
      <c r="AF160" s="19">
        <f t="shared" si="59"/>
        <v>0</v>
      </c>
      <c r="AG160" s="19">
        <f t="shared" si="59"/>
        <v>0</v>
      </c>
      <c r="AH160" s="19">
        <f t="shared" si="59"/>
        <v>0</v>
      </c>
      <c r="AI160" s="19">
        <f t="shared" si="59"/>
        <v>0</v>
      </c>
      <c r="AJ160" s="19">
        <f t="shared" si="59"/>
        <v>0</v>
      </c>
      <c r="AK160" s="19">
        <f t="shared" si="59"/>
        <v>0</v>
      </c>
      <c r="AL160" s="19">
        <f t="shared" si="59"/>
        <v>0</v>
      </c>
      <c r="AM160" s="19">
        <f t="shared" si="59"/>
        <v>0</v>
      </c>
      <c r="AN160" s="19">
        <f t="shared" si="59"/>
        <v>0</v>
      </c>
      <c r="AO160" s="19">
        <f t="shared" si="59"/>
        <v>0</v>
      </c>
      <c r="AP160" s="19">
        <f t="shared" si="59"/>
        <v>0</v>
      </c>
      <c r="AQ160" s="19">
        <f t="shared" si="59"/>
        <v>0</v>
      </c>
      <c r="AR160" s="19">
        <f t="shared" si="59"/>
        <v>0</v>
      </c>
      <c r="AS160" s="19">
        <f t="shared" si="59"/>
        <v>0</v>
      </c>
      <c r="AT160" s="19">
        <f t="shared" si="59"/>
        <v>0</v>
      </c>
      <c r="AU160" s="19">
        <f t="shared" si="59"/>
        <v>0</v>
      </c>
      <c r="AV160" s="19">
        <f t="shared" si="59"/>
        <v>0</v>
      </c>
      <c r="AW160" s="19">
        <f t="shared" si="59"/>
        <v>0</v>
      </c>
      <c r="AX160" s="19">
        <f t="shared" si="59"/>
        <v>0</v>
      </c>
      <c r="AY160" s="19">
        <f t="shared" si="59"/>
        <v>0</v>
      </c>
      <c r="AZ160" s="19">
        <f t="shared" si="59"/>
        <v>0</v>
      </c>
      <c r="BA160" s="19">
        <f t="shared" si="59"/>
        <v>0</v>
      </c>
      <c r="BB160" s="19">
        <f t="shared" si="59"/>
        <v>0</v>
      </c>
      <c r="BC160" s="19">
        <f t="shared" si="59"/>
        <v>0</v>
      </c>
      <c r="BD160" s="19">
        <f t="shared" si="59"/>
        <v>0</v>
      </c>
      <c r="BE160" s="19">
        <f t="shared" si="59"/>
        <v>0</v>
      </c>
      <c r="BF160" s="19">
        <f t="shared" si="59"/>
        <v>0</v>
      </c>
      <c r="BG160" s="19">
        <f t="shared" si="59"/>
        <v>0</v>
      </c>
      <c r="BH160" s="19">
        <f t="shared" si="59"/>
        <v>0</v>
      </c>
      <c r="BI160" s="19">
        <f t="shared" si="59"/>
        <v>0</v>
      </c>
      <c r="BJ160" s="19">
        <f t="shared" si="59"/>
        <v>0</v>
      </c>
      <c r="BK160" s="19">
        <f t="shared" si="59"/>
        <v>0</v>
      </c>
      <c r="BL160" s="19">
        <f t="shared" si="59"/>
        <v>0</v>
      </c>
      <c r="BM160" s="19">
        <f t="shared" si="59"/>
        <v>0</v>
      </c>
      <c r="BN160" s="19">
        <f t="shared" si="59"/>
        <v>0</v>
      </c>
      <c r="BO160" s="19">
        <f t="shared" si="59"/>
        <v>0</v>
      </c>
      <c r="BP160" s="19">
        <f t="shared" si="59"/>
        <v>0</v>
      </c>
      <c r="BQ160" s="19">
        <f t="shared" si="59"/>
        <v>0</v>
      </c>
      <c r="BR160" s="19">
        <f t="shared" si="59"/>
        <v>0</v>
      </c>
      <c r="BS160" s="19">
        <f t="shared" si="59"/>
        <v>0</v>
      </c>
      <c r="BT160" s="19">
        <f t="shared" si="59"/>
        <v>0</v>
      </c>
      <c r="BU160" s="19">
        <f t="shared" si="59"/>
        <v>0</v>
      </c>
      <c r="BV160" s="19">
        <f t="shared" si="59"/>
        <v>0</v>
      </c>
      <c r="BW160" s="19">
        <f t="shared" ref="BW160:DM160" si="60">IF(BW$153=0,0,BW157/BW$153)</f>
        <v>0</v>
      </c>
      <c r="BX160" s="19">
        <f t="shared" si="60"/>
        <v>0</v>
      </c>
      <c r="BY160" s="19">
        <f t="shared" si="60"/>
        <v>0</v>
      </c>
      <c r="BZ160" s="19">
        <f t="shared" si="60"/>
        <v>0</v>
      </c>
      <c r="CA160" s="19">
        <f t="shared" si="60"/>
        <v>0</v>
      </c>
      <c r="CB160" s="19">
        <f t="shared" si="60"/>
        <v>0</v>
      </c>
      <c r="CC160" s="19">
        <f t="shared" si="60"/>
        <v>0</v>
      </c>
      <c r="CD160" s="19">
        <f t="shared" si="60"/>
        <v>0</v>
      </c>
      <c r="CE160" s="19">
        <f t="shared" si="60"/>
        <v>0</v>
      </c>
      <c r="CF160" s="19">
        <f t="shared" si="60"/>
        <v>0</v>
      </c>
      <c r="CG160" s="19">
        <f t="shared" si="60"/>
        <v>0</v>
      </c>
      <c r="CH160" s="19">
        <f t="shared" si="60"/>
        <v>0</v>
      </c>
      <c r="CI160" s="19">
        <f t="shared" si="60"/>
        <v>0</v>
      </c>
      <c r="CJ160" s="19">
        <f t="shared" si="60"/>
        <v>0</v>
      </c>
      <c r="CK160" s="19">
        <f t="shared" si="60"/>
        <v>0</v>
      </c>
      <c r="CL160" s="19">
        <f t="shared" si="60"/>
        <v>0</v>
      </c>
      <c r="CM160" s="19">
        <f t="shared" si="60"/>
        <v>0</v>
      </c>
      <c r="CN160" s="19">
        <f t="shared" si="60"/>
        <v>0</v>
      </c>
      <c r="CO160" s="19">
        <f t="shared" si="60"/>
        <v>0</v>
      </c>
      <c r="CP160" s="19">
        <f t="shared" si="60"/>
        <v>0</v>
      </c>
      <c r="CQ160" s="19">
        <f t="shared" si="60"/>
        <v>0</v>
      </c>
      <c r="CR160" s="19">
        <f t="shared" si="60"/>
        <v>0</v>
      </c>
      <c r="CS160" s="19">
        <f t="shared" si="60"/>
        <v>0</v>
      </c>
      <c r="CT160" s="19">
        <f t="shared" si="60"/>
        <v>0</v>
      </c>
      <c r="CU160" s="19">
        <f t="shared" si="60"/>
        <v>0</v>
      </c>
      <c r="CV160" s="19">
        <f t="shared" si="60"/>
        <v>0</v>
      </c>
      <c r="CW160" s="19">
        <f t="shared" si="60"/>
        <v>0</v>
      </c>
      <c r="CX160" s="19">
        <f t="shared" si="60"/>
        <v>0</v>
      </c>
      <c r="CY160" s="19">
        <f t="shared" si="60"/>
        <v>0</v>
      </c>
      <c r="CZ160" s="19">
        <f t="shared" si="60"/>
        <v>0</v>
      </c>
      <c r="DA160" s="19">
        <f t="shared" si="60"/>
        <v>0</v>
      </c>
      <c r="DB160" s="19">
        <f t="shared" si="60"/>
        <v>0</v>
      </c>
      <c r="DC160" s="19">
        <f t="shared" si="60"/>
        <v>0</v>
      </c>
      <c r="DD160" s="19">
        <f t="shared" si="60"/>
        <v>0</v>
      </c>
      <c r="DE160" s="19">
        <f t="shared" si="60"/>
        <v>0</v>
      </c>
      <c r="DF160" s="19">
        <f t="shared" si="60"/>
        <v>0</v>
      </c>
      <c r="DG160" s="19">
        <f t="shared" si="60"/>
        <v>0</v>
      </c>
      <c r="DH160" s="19">
        <f t="shared" si="60"/>
        <v>0</v>
      </c>
      <c r="DI160" s="19">
        <f t="shared" si="60"/>
        <v>0</v>
      </c>
      <c r="DJ160" s="19">
        <f t="shared" si="60"/>
        <v>0</v>
      </c>
      <c r="DK160" s="19">
        <f t="shared" si="60"/>
        <v>0</v>
      </c>
      <c r="DL160" s="19">
        <f t="shared" si="60"/>
        <v>0</v>
      </c>
      <c r="DM160" s="19">
        <f t="shared" si="60"/>
        <v>0</v>
      </c>
    </row>
    <row r="161" spans="3:117" x14ac:dyDescent="0.15">
      <c r="C161" t="s">
        <v>195</v>
      </c>
      <c r="D161" s="5" t="s">
        <v>167</v>
      </c>
      <c r="I161" s="35">
        <f>IF(I153=0,0,-I17/I153)</f>
        <v>27.348628631645955</v>
      </c>
      <c r="J161" s="19">
        <f>IF(J153=0,0,-J17/J153)</f>
        <v>0</v>
      </c>
      <c r="K161" s="19">
        <f t="shared" ref="K161:BV161" si="61">IF(K153=0,0,-K17/K153)</f>
        <v>0</v>
      </c>
      <c r="L161" s="19">
        <f t="shared" si="61"/>
        <v>0</v>
      </c>
      <c r="M161" s="19">
        <f t="shared" si="61"/>
        <v>0</v>
      </c>
      <c r="N161" s="19">
        <f t="shared" si="61"/>
        <v>47.028692989949434</v>
      </c>
      <c r="O161" s="19">
        <f t="shared" si="61"/>
        <v>44.975955577158544</v>
      </c>
      <c r="P161" s="19">
        <f t="shared" si="61"/>
        <v>46.768402487687212</v>
      </c>
      <c r="Q161" s="19">
        <f t="shared" si="61"/>
        <v>49.298206685431836</v>
      </c>
      <c r="R161" s="19">
        <f t="shared" si="61"/>
        <v>10.031470558495398</v>
      </c>
      <c r="S161" s="19">
        <f t="shared" si="61"/>
        <v>16.817784859018929</v>
      </c>
      <c r="T161" s="19">
        <f t="shared" si="61"/>
        <v>11.22996782841823</v>
      </c>
      <c r="U161" s="19">
        <f t="shared" si="61"/>
        <v>7.0610171737809928</v>
      </c>
      <c r="V161" s="19">
        <f t="shared" si="61"/>
        <v>4.5816235874788935</v>
      </c>
      <c r="W161" s="19">
        <f t="shared" si="61"/>
        <v>2.0996380952380949</v>
      </c>
      <c r="X161" s="19">
        <f t="shared" si="61"/>
        <v>2.9628196595417888</v>
      </c>
      <c r="Y161" s="19">
        <f t="shared" si="61"/>
        <v>0</v>
      </c>
      <c r="Z161" s="19">
        <f t="shared" si="61"/>
        <v>0</v>
      </c>
      <c r="AA161" s="19">
        <f t="shared" si="61"/>
        <v>0</v>
      </c>
      <c r="AB161" s="19">
        <f t="shared" si="61"/>
        <v>0</v>
      </c>
      <c r="AC161" s="19">
        <f t="shared" si="61"/>
        <v>0</v>
      </c>
      <c r="AD161" s="19">
        <f t="shared" si="61"/>
        <v>0</v>
      </c>
      <c r="AE161" s="19">
        <f t="shared" si="61"/>
        <v>0</v>
      </c>
      <c r="AF161" s="19">
        <f t="shared" si="61"/>
        <v>0</v>
      </c>
      <c r="AG161" s="19">
        <f t="shared" si="61"/>
        <v>0</v>
      </c>
      <c r="AH161" s="19">
        <f t="shared" si="61"/>
        <v>0</v>
      </c>
      <c r="AI161" s="19">
        <f t="shared" si="61"/>
        <v>0</v>
      </c>
      <c r="AJ161" s="19">
        <f t="shared" si="61"/>
        <v>0</v>
      </c>
      <c r="AK161" s="19">
        <f t="shared" si="61"/>
        <v>0</v>
      </c>
      <c r="AL161" s="19">
        <f t="shared" si="61"/>
        <v>0</v>
      </c>
      <c r="AM161" s="19">
        <f t="shared" si="61"/>
        <v>0</v>
      </c>
      <c r="AN161" s="19">
        <f t="shared" si="61"/>
        <v>0</v>
      </c>
      <c r="AO161" s="19">
        <f t="shared" si="61"/>
        <v>0</v>
      </c>
      <c r="AP161" s="19">
        <f t="shared" si="61"/>
        <v>0</v>
      </c>
      <c r="AQ161" s="19">
        <f t="shared" si="61"/>
        <v>0</v>
      </c>
      <c r="AR161" s="19">
        <f t="shared" si="61"/>
        <v>0</v>
      </c>
      <c r="AS161" s="19">
        <f t="shared" si="61"/>
        <v>0</v>
      </c>
      <c r="AT161" s="19">
        <f t="shared" si="61"/>
        <v>0</v>
      </c>
      <c r="AU161" s="19">
        <f t="shared" si="61"/>
        <v>0</v>
      </c>
      <c r="AV161" s="19">
        <f t="shared" si="61"/>
        <v>0</v>
      </c>
      <c r="AW161" s="19">
        <f t="shared" si="61"/>
        <v>0</v>
      </c>
      <c r="AX161" s="19">
        <f t="shared" si="61"/>
        <v>0</v>
      </c>
      <c r="AY161" s="19">
        <f t="shared" si="61"/>
        <v>0</v>
      </c>
      <c r="AZ161" s="19">
        <f t="shared" si="61"/>
        <v>0</v>
      </c>
      <c r="BA161" s="19">
        <f t="shared" si="61"/>
        <v>0</v>
      </c>
      <c r="BB161" s="19">
        <f t="shared" si="61"/>
        <v>0</v>
      </c>
      <c r="BC161" s="19">
        <f t="shared" si="61"/>
        <v>0</v>
      </c>
      <c r="BD161" s="19">
        <f t="shared" si="61"/>
        <v>0</v>
      </c>
      <c r="BE161" s="19">
        <f t="shared" si="61"/>
        <v>0</v>
      </c>
      <c r="BF161" s="19">
        <f t="shared" si="61"/>
        <v>0</v>
      </c>
      <c r="BG161" s="19">
        <f t="shared" si="61"/>
        <v>0</v>
      </c>
      <c r="BH161" s="19">
        <f t="shared" si="61"/>
        <v>0</v>
      </c>
      <c r="BI161" s="19">
        <f t="shared" si="61"/>
        <v>0</v>
      </c>
      <c r="BJ161" s="19">
        <f t="shared" si="61"/>
        <v>0</v>
      </c>
      <c r="BK161" s="19">
        <f t="shared" si="61"/>
        <v>0</v>
      </c>
      <c r="BL161" s="19">
        <f t="shared" si="61"/>
        <v>0</v>
      </c>
      <c r="BM161" s="19">
        <f t="shared" si="61"/>
        <v>0</v>
      </c>
      <c r="BN161" s="19">
        <f t="shared" si="61"/>
        <v>0</v>
      </c>
      <c r="BO161" s="19">
        <f t="shared" si="61"/>
        <v>0</v>
      </c>
      <c r="BP161" s="19">
        <f t="shared" si="61"/>
        <v>0</v>
      </c>
      <c r="BQ161" s="19">
        <f t="shared" si="61"/>
        <v>0</v>
      </c>
      <c r="BR161" s="19">
        <f t="shared" si="61"/>
        <v>0</v>
      </c>
      <c r="BS161" s="19">
        <f t="shared" si="61"/>
        <v>0</v>
      </c>
      <c r="BT161" s="19">
        <f t="shared" si="61"/>
        <v>0</v>
      </c>
      <c r="BU161" s="19">
        <f t="shared" si="61"/>
        <v>0</v>
      </c>
      <c r="BV161" s="19">
        <f t="shared" si="61"/>
        <v>0</v>
      </c>
      <c r="BW161" s="19">
        <f t="shared" ref="BW161:DM161" si="62">IF(BW153=0,0,-BW17/BW153)</f>
        <v>0</v>
      </c>
      <c r="BX161" s="19">
        <f t="shared" si="62"/>
        <v>0</v>
      </c>
      <c r="BY161" s="19">
        <f t="shared" si="62"/>
        <v>0</v>
      </c>
      <c r="BZ161" s="19">
        <f t="shared" si="62"/>
        <v>0</v>
      </c>
      <c r="CA161" s="19">
        <f t="shared" si="62"/>
        <v>0</v>
      </c>
      <c r="CB161" s="19">
        <f t="shared" si="62"/>
        <v>0</v>
      </c>
      <c r="CC161" s="19">
        <f t="shared" si="62"/>
        <v>0</v>
      </c>
      <c r="CD161" s="19">
        <f t="shared" si="62"/>
        <v>0</v>
      </c>
      <c r="CE161" s="19">
        <f t="shared" si="62"/>
        <v>0</v>
      </c>
      <c r="CF161" s="19">
        <f t="shared" si="62"/>
        <v>0</v>
      </c>
      <c r="CG161" s="19">
        <f t="shared" si="62"/>
        <v>0</v>
      </c>
      <c r="CH161" s="19">
        <f t="shared" si="62"/>
        <v>0</v>
      </c>
      <c r="CI161" s="19">
        <f t="shared" si="62"/>
        <v>0</v>
      </c>
      <c r="CJ161" s="19">
        <f t="shared" si="62"/>
        <v>0</v>
      </c>
      <c r="CK161" s="19">
        <f t="shared" si="62"/>
        <v>0</v>
      </c>
      <c r="CL161" s="19">
        <f t="shared" si="62"/>
        <v>0</v>
      </c>
      <c r="CM161" s="19">
        <f t="shared" si="62"/>
        <v>0</v>
      </c>
      <c r="CN161" s="19">
        <f t="shared" si="62"/>
        <v>0</v>
      </c>
      <c r="CO161" s="19">
        <f t="shared" si="62"/>
        <v>0</v>
      </c>
      <c r="CP161" s="19">
        <f t="shared" si="62"/>
        <v>0</v>
      </c>
      <c r="CQ161" s="19">
        <f t="shared" si="62"/>
        <v>0</v>
      </c>
      <c r="CR161" s="19">
        <f t="shared" si="62"/>
        <v>0</v>
      </c>
      <c r="CS161" s="19">
        <f t="shared" si="62"/>
        <v>0</v>
      </c>
      <c r="CT161" s="19">
        <f t="shared" si="62"/>
        <v>0</v>
      </c>
      <c r="CU161" s="19">
        <f t="shared" si="62"/>
        <v>0</v>
      </c>
      <c r="CV161" s="19">
        <f t="shared" si="62"/>
        <v>0</v>
      </c>
      <c r="CW161" s="19">
        <f t="shared" si="62"/>
        <v>0</v>
      </c>
      <c r="CX161" s="19">
        <f t="shared" si="62"/>
        <v>0</v>
      </c>
      <c r="CY161" s="19">
        <f t="shared" si="62"/>
        <v>0</v>
      </c>
      <c r="CZ161" s="19">
        <f t="shared" si="62"/>
        <v>0</v>
      </c>
      <c r="DA161" s="19">
        <f t="shared" si="62"/>
        <v>0</v>
      </c>
      <c r="DB161" s="19">
        <f t="shared" si="62"/>
        <v>0</v>
      </c>
      <c r="DC161" s="19">
        <f t="shared" si="62"/>
        <v>0</v>
      </c>
      <c r="DD161" s="19">
        <f t="shared" si="62"/>
        <v>0</v>
      </c>
      <c r="DE161" s="19">
        <f t="shared" si="62"/>
        <v>0</v>
      </c>
      <c r="DF161" s="19">
        <f t="shared" si="62"/>
        <v>0</v>
      </c>
      <c r="DG161" s="19">
        <f t="shared" si="62"/>
        <v>0</v>
      </c>
      <c r="DH161" s="19">
        <f t="shared" si="62"/>
        <v>0</v>
      </c>
      <c r="DI161" s="19">
        <f t="shared" si="62"/>
        <v>0</v>
      </c>
      <c r="DJ161" s="19">
        <f t="shared" si="62"/>
        <v>0</v>
      </c>
      <c r="DK161" s="19">
        <f t="shared" si="62"/>
        <v>0</v>
      </c>
      <c r="DL161" s="19">
        <f t="shared" si="62"/>
        <v>0</v>
      </c>
      <c r="DM161" s="19">
        <f t="shared" si="62"/>
        <v>0</v>
      </c>
    </row>
    <row r="162" spans="3:117" x14ac:dyDescent="0.15">
      <c r="C162" t="s">
        <v>178</v>
      </c>
      <c r="D162" s="5" t="s">
        <v>167</v>
      </c>
      <c r="I162" s="35">
        <f t="shared" ref="I162" si="63">SUM(J162:DM162)</f>
        <v>2009.0317273399471</v>
      </c>
      <c r="J162" s="36">
        <f>J159-J160-J161</f>
        <v>0</v>
      </c>
      <c r="K162" s="36">
        <f t="shared" ref="K162:BV162" si="64">K159-K160-K161</f>
        <v>0</v>
      </c>
      <c r="L162" s="36">
        <f t="shared" si="64"/>
        <v>0</v>
      </c>
      <c r="M162" s="36">
        <f t="shared" si="64"/>
        <v>0</v>
      </c>
      <c r="N162" s="36">
        <f t="shared" si="64"/>
        <v>169.29887848857345</v>
      </c>
      <c r="O162" s="36">
        <f t="shared" si="64"/>
        <v>170.45869660712194</v>
      </c>
      <c r="P162" s="36">
        <f t="shared" si="64"/>
        <v>169.61214519727983</v>
      </c>
      <c r="Q162" s="36">
        <f t="shared" si="64"/>
        <v>167.8040623446382</v>
      </c>
      <c r="R162" s="36">
        <f t="shared" si="64"/>
        <v>206.34974378620939</v>
      </c>
      <c r="S162" s="36">
        <f t="shared" si="64"/>
        <v>179.40826409537505</v>
      </c>
      <c r="T162" s="36">
        <f t="shared" si="64"/>
        <v>188.88514266568802</v>
      </c>
      <c r="U162" s="36">
        <f t="shared" si="64"/>
        <v>196.225041847863</v>
      </c>
      <c r="V162" s="36">
        <f t="shared" si="64"/>
        <v>193.08433992493232</v>
      </c>
      <c r="W162" s="36">
        <f t="shared" si="64"/>
        <v>197.28145988815501</v>
      </c>
      <c r="X162" s="36">
        <f t="shared" si="64"/>
        <v>170.62395249411102</v>
      </c>
      <c r="Y162" s="36">
        <f t="shared" si="64"/>
        <v>0</v>
      </c>
      <c r="Z162" s="36">
        <f t="shared" si="64"/>
        <v>0</v>
      </c>
      <c r="AA162" s="36">
        <f t="shared" si="64"/>
        <v>0</v>
      </c>
      <c r="AB162" s="36">
        <f t="shared" si="64"/>
        <v>0</v>
      </c>
      <c r="AC162" s="36">
        <f t="shared" si="64"/>
        <v>0</v>
      </c>
      <c r="AD162" s="36">
        <f t="shared" si="64"/>
        <v>0</v>
      </c>
      <c r="AE162" s="36">
        <f t="shared" si="64"/>
        <v>0</v>
      </c>
      <c r="AF162" s="36">
        <f t="shared" si="64"/>
        <v>0</v>
      </c>
      <c r="AG162" s="36">
        <f t="shared" si="64"/>
        <v>0</v>
      </c>
      <c r="AH162" s="36">
        <f t="shared" si="64"/>
        <v>0</v>
      </c>
      <c r="AI162" s="36">
        <f t="shared" si="64"/>
        <v>0</v>
      </c>
      <c r="AJ162" s="36">
        <f t="shared" si="64"/>
        <v>0</v>
      </c>
      <c r="AK162" s="36">
        <f t="shared" si="64"/>
        <v>0</v>
      </c>
      <c r="AL162" s="36">
        <f t="shared" si="64"/>
        <v>0</v>
      </c>
      <c r="AM162" s="36">
        <f t="shared" si="64"/>
        <v>0</v>
      </c>
      <c r="AN162" s="36">
        <f t="shared" si="64"/>
        <v>0</v>
      </c>
      <c r="AO162" s="36">
        <f t="shared" si="64"/>
        <v>0</v>
      </c>
      <c r="AP162" s="36">
        <f t="shared" si="64"/>
        <v>0</v>
      </c>
      <c r="AQ162" s="36">
        <f t="shared" si="64"/>
        <v>0</v>
      </c>
      <c r="AR162" s="36">
        <f t="shared" si="64"/>
        <v>0</v>
      </c>
      <c r="AS162" s="36">
        <f t="shared" si="64"/>
        <v>0</v>
      </c>
      <c r="AT162" s="36">
        <f t="shared" si="64"/>
        <v>0</v>
      </c>
      <c r="AU162" s="36">
        <f t="shared" si="64"/>
        <v>0</v>
      </c>
      <c r="AV162" s="36">
        <f t="shared" si="64"/>
        <v>0</v>
      </c>
      <c r="AW162" s="36">
        <f t="shared" si="64"/>
        <v>0</v>
      </c>
      <c r="AX162" s="36">
        <f t="shared" si="64"/>
        <v>0</v>
      </c>
      <c r="AY162" s="36">
        <f t="shared" si="64"/>
        <v>0</v>
      </c>
      <c r="AZ162" s="36">
        <f t="shared" si="64"/>
        <v>0</v>
      </c>
      <c r="BA162" s="36">
        <f t="shared" si="64"/>
        <v>0</v>
      </c>
      <c r="BB162" s="36">
        <f t="shared" si="64"/>
        <v>0</v>
      </c>
      <c r="BC162" s="36">
        <f t="shared" si="64"/>
        <v>0</v>
      </c>
      <c r="BD162" s="36">
        <f t="shared" si="64"/>
        <v>0</v>
      </c>
      <c r="BE162" s="36">
        <f t="shared" si="64"/>
        <v>0</v>
      </c>
      <c r="BF162" s="36">
        <f t="shared" si="64"/>
        <v>0</v>
      </c>
      <c r="BG162" s="36">
        <f t="shared" si="64"/>
        <v>0</v>
      </c>
      <c r="BH162" s="36">
        <f t="shared" si="64"/>
        <v>0</v>
      </c>
      <c r="BI162" s="36">
        <f t="shared" si="64"/>
        <v>0</v>
      </c>
      <c r="BJ162" s="36">
        <f t="shared" si="64"/>
        <v>0</v>
      </c>
      <c r="BK162" s="36">
        <f t="shared" si="64"/>
        <v>0</v>
      </c>
      <c r="BL162" s="36">
        <f t="shared" si="64"/>
        <v>0</v>
      </c>
      <c r="BM162" s="36">
        <f t="shared" si="64"/>
        <v>0</v>
      </c>
      <c r="BN162" s="36">
        <f t="shared" si="64"/>
        <v>0</v>
      </c>
      <c r="BO162" s="36">
        <f t="shared" si="64"/>
        <v>0</v>
      </c>
      <c r="BP162" s="36">
        <f t="shared" si="64"/>
        <v>0</v>
      </c>
      <c r="BQ162" s="36">
        <f t="shared" si="64"/>
        <v>0</v>
      </c>
      <c r="BR162" s="36">
        <f t="shared" si="64"/>
        <v>0</v>
      </c>
      <c r="BS162" s="36">
        <f t="shared" si="64"/>
        <v>0</v>
      </c>
      <c r="BT162" s="36">
        <f t="shared" si="64"/>
        <v>0</v>
      </c>
      <c r="BU162" s="36">
        <f t="shared" si="64"/>
        <v>0</v>
      </c>
      <c r="BV162" s="36">
        <f t="shared" si="64"/>
        <v>0</v>
      </c>
      <c r="BW162" s="36">
        <f t="shared" ref="BW162:DM162" si="65">BW159-BW160-BW161</f>
        <v>0</v>
      </c>
      <c r="BX162" s="36">
        <f t="shared" si="65"/>
        <v>0</v>
      </c>
      <c r="BY162" s="36">
        <f t="shared" si="65"/>
        <v>0</v>
      </c>
      <c r="BZ162" s="36">
        <f t="shared" si="65"/>
        <v>0</v>
      </c>
      <c r="CA162" s="36">
        <f t="shared" si="65"/>
        <v>0</v>
      </c>
      <c r="CB162" s="36">
        <f t="shared" si="65"/>
        <v>0</v>
      </c>
      <c r="CC162" s="36">
        <f t="shared" si="65"/>
        <v>0</v>
      </c>
      <c r="CD162" s="36">
        <f t="shared" si="65"/>
        <v>0</v>
      </c>
      <c r="CE162" s="36">
        <f t="shared" si="65"/>
        <v>0</v>
      </c>
      <c r="CF162" s="36">
        <f t="shared" si="65"/>
        <v>0</v>
      </c>
      <c r="CG162" s="36">
        <f t="shared" si="65"/>
        <v>0</v>
      </c>
      <c r="CH162" s="36">
        <f t="shared" si="65"/>
        <v>0</v>
      </c>
      <c r="CI162" s="36">
        <f t="shared" si="65"/>
        <v>0</v>
      </c>
      <c r="CJ162" s="36">
        <f t="shared" si="65"/>
        <v>0</v>
      </c>
      <c r="CK162" s="36">
        <f t="shared" si="65"/>
        <v>0</v>
      </c>
      <c r="CL162" s="36">
        <f t="shared" si="65"/>
        <v>0</v>
      </c>
      <c r="CM162" s="36">
        <f t="shared" si="65"/>
        <v>0</v>
      </c>
      <c r="CN162" s="36">
        <f t="shared" si="65"/>
        <v>0</v>
      </c>
      <c r="CO162" s="36">
        <f t="shared" si="65"/>
        <v>0</v>
      </c>
      <c r="CP162" s="36">
        <f t="shared" si="65"/>
        <v>0</v>
      </c>
      <c r="CQ162" s="36">
        <f t="shared" si="65"/>
        <v>0</v>
      </c>
      <c r="CR162" s="36">
        <f t="shared" si="65"/>
        <v>0</v>
      </c>
      <c r="CS162" s="36">
        <f t="shared" si="65"/>
        <v>0</v>
      </c>
      <c r="CT162" s="36">
        <f t="shared" si="65"/>
        <v>0</v>
      </c>
      <c r="CU162" s="36">
        <f t="shared" si="65"/>
        <v>0</v>
      </c>
      <c r="CV162" s="36">
        <f t="shared" si="65"/>
        <v>0</v>
      </c>
      <c r="CW162" s="36">
        <f t="shared" si="65"/>
        <v>0</v>
      </c>
      <c r="CX162" s="36">
        <f t="shared" si="65"/>
        <v>0</v>
      </c>
      <c r="CY162" s="36">
        <f t="shared" si="65"/>
        <v>0</v>
      </c>
      <c r="CZ162" s="36">
        <f t="shared" si="65"/>
        <v>0</v>
      </c>
      <c r="DA162" s="36">
        <f t="shared" si="65"/>
        <v>0</v>
      </c>
      <c r="DB162" s="36">
        <f t="shared" si="65"/>
        <v>0</v>
      </c>
      <c r="DC162" s="36">
        <f t="shared" si="65"/>
        <v>0</v>
      </c>
      <c r="DD162" s="36">
        <f t="shared" si="65"/>
        <v>0</v>
      </c>
      <c r="DE162" s="36">
        <f t="shared" si="65"/>
        <v>0</v>
      </c>
      <c r="DF162" s="36">
        <f t="shared" si="65"/>
        <v>0</v>
      </c>
      <c r="DG162" s="36">
        <f t="shared" si="65"/>
        <v>0</v>
      </c>
      <c r="DH162" s="36">
        <f t="shared" si="65"/>
        <v>0</v>
      </c>
      <c r="DI162" s="36">
        <f t="shared" si="65"/>
        <v>0</v>
      </c>
      <c r="DJ162" s="36">
        <f t="shared" si="65"/>
        <v>0</v>
      </c>
      <c r="DK162" s="36">
        <f t="shared" si="65"/>
        <v>0</v>
      </c>
      <c r="DL162" s="36">
        <f t="shared" si="65"/>
        <v>0</v>
      </c>
      <c r="DM162" s="36">
        <f t="shared" si="65"/>
        <v>0</v>
      </c>
    </row>
    <row r="163" spans="3:117" x14ac:dyDescent="0.15">
      <c r="D163" s="5"/>
    </row>
    <row r="164" spans="3:117" x14ac:dyDescent="0.15">
      <c r="C164" t="s">
        <v>180</v>
      </c>
      <c r="D164" s="5" t="s">
        <v>181</v>
      </c>
      <c r="E164" s="15">
        <v>24.22</v>
      </c>
    </row>
    <row r="165" spans="3:117" x14ac:dyDescent="0.15">
      <c r="D165" s="5"/>
    </row>
    <row r="166" spans="3:117" x14ac:dyDescent="0.15">
      <c r="C166" t="s">
        <v>186</v>
      </c>
      <c r="D166" s="5" t="s">
        <v>18</v>
      </c>
      <c r="E166" s="48">
        <v>0.1</v>
      </c>
    </row>
    <row r="167" spans="3:117" x14ac:dyDescent="0.15">
      <c r="C167" t="s">
        <v>187</v>
      </c>
      <c r="D167" s="5" t="s">
        <v>18</v>
      </c>
      <c r="E167" s="48">
        <v>0.15</v>
      </c>
    </row>
    <row r="168" spans="3:117" x14ac:dyDescent="0.15">
      <c r="D168" s="5"/>
    </row>
    <row r="169" spans="3:117" x14ac:dyDescent="0.15">
      <c r="C169" t="s">
        <v>188</v>
      </c>
      <c r="D169" s="5" t="s">
        <v>181</v>
      </c>
      <c r="J169" s="37">
        <f>MIN(J162,$E$164)</f>
        <v>0</v>
      </c>
      <c r="K169" s="37">
        <f t="shared" ref="K169:BV169" si="66">MIN(K162,$E$164)</f>
        <v>0</v>
      </c>
      <c r="L169" s="37">
        <f t="shared" si="66"/>
        <v>0</v>
      </c>
      <c r="M169" s="37">
        <f t="shared" si="66"/>
        <v>0</v>
      </c>
      <c r="N169" s="37">
        <f t="shared" si="66"/>
        <v>24.22</v>
      </c>
      <c r="O169" s="37">
        <f t="shared" si="66"/>
        <v>24.22</v>
      </c>
      <c r="P169" s="37">
        <f t="shared" si="66"/>
        <v>24.22</v>
      </c>
      <c r="Q169" s="37">
        <f t="shared" si="66"/>
        <v>24.22</v>
      </c>
      <c r="R169" s="37">
        <f t="shared" si="66"/>
        <v>24.22</v>
      </c>
      <c r="S169" s="37">
        <f t="shared" si="66"/>
        <v>24.22</v>
      </c>
      <c r="T169" s="37">
        <f t="shared" si="66"/>
        <v>24.22</v>
      </c>
      <c r="U169" s="37">
        <f t="shared" si="66"/>
        <v>24.22</v>
      </c>
      <c r="V169" s="37">
        <f t="shared" si="66"/>
        <v>24.22</v>
      </c>
      <c r="W169" s="37">
        <f t="shared" si="66"/>
        <v>24.22</v>
      </c>
      <c r="X169" s="37">
        <f t="shared" si="66"/>
        <v>24.22</v>
      </c>
      <c r="Y169" s="37">
        <f t="shared" si="66"/>
        <v>0</v>
      </c>
      <c r="Z169" s="37">
        <f t="shared" si="66"/>
        <v>0</v>
      </c>
      <c r="AA169" s="37">
        <f t="shared" si="66"/>
        <v>0</v>
      </c>
      <c r="AB169" s="37">
        <f t="shared" si="66"/>
        <v>0</v>
      </c>
      <c r="AC169" s="37">
        <f t="shared" si="66"/>
        <v>0</v>
      </c>
      <c r="AD169" s="37">
        <f t="shared" si="66"/>
        <v>0</v>
      </c>
      <c r="AE169" s="37">
        <f t="shared" si="66"/>
        <v>0</v>
      </c>
      <c r="AF169" s="37">
        <f t="shared" si="66"/>
        <v>0</v>
      </c>
      <c r="AG169" s="37">
        <f t="shared" si="66"/>
        <v>0</v>
      </c>
      <c r="AH169" s="37">
        <f t="shared" si="66"/>
        <v>0</v>
      </c>
      <c r="AI169" s="37">
        <f t="shared" si="66"/>
        <v>0</v>
      </c>
      <c r="AJ169" s="37">
        <f t="shared" si="66"/>
        <v>0</v>
      </c>
      <c r="AK169" s="37">
        <f t="shared" si="66"/>
        <v>0</v>
      </c>
      <c r="AL169" s="37">
        <f t="shared" si="66"/>
        <v>0</v>
      </c>
      <c r="AM169" s="37">
        <f t="shared" si="66"/>
        <v>0</v>
      </c>
      <c r="AN169" s="37">
        <f t="shared" si="66"/>
        <v>0</v>
      </c>
      <c r="AO169" s="37">
        <f t="shared" si="66"/>
        <v>0</v>
      </c>
      <c r="AP169" s="37">
        <f t="shared" si="66"/>
        <v>0</v>
      </c>
      <c r="AQ169" s="37">
        <f t="shared" si="66"/>
        <v>0</v>
      </c>
      <c r="AR169" s="37">
        <f t="shared" si="66"/>
        <v>0</v>
      </c>
      <c r="AS169" s="37">
        <f t="shared" si="66"/>
        <v>0</v>
      </c>
      <c r="AT169" s="37">
        <f t="shared" si="66"/>
        <v>0</v>
      </c>
      <c r="AU169" s="37">
        <f t="shared" si="66"/>
        <v>0</v>
      </c>
      <c r="AV169" s="37">
        <f t="shared" si="66"/>
        <v>0</v>
      </c>
      <c r="AW169" s="37">
        <f t="shared" si="66"/>
        <v>0</v>
      </c>
      <c r="AX169" s="37">
        <f t="shared" si="66"/>
        <v>0</v>
      </c>
      <c r="AY169" s="37">
        <f t="shared" si="66"/>
        <v>0</v>
      </c>
      <c r="AZ169" s="37">
        <f t="shared" si="66"/>
        <v>0</v>
      </c>
      <c r="BA169" s="37">
        <f t="shared" si="66"/>
        <v>0</v>
      </c>
      <c r="BB169" s="37">
        <f t="shared" si="66"/>
        <v>0</v>
      </c>
      <c r="BC169" s="37">
        <f t="shared" si="66"/>
        <v>0</v>
      </c>
      <c r="BD169" s="37">
        <f t="shared" si="66"/>
        <v>0</v>
      </c>
      <c r="BE169" s="37">
        <f t="shared" si="66"/>
        <v>0</v>
      </c>
      <c r="BF169" s="37">
        <f t="shared" si="66"/>
        <v>0</v>
      </c>
      <c r="BG169" s="37">
        <f t="shared" si="66"/>
        <v>0</v>
      </c>
      <c r="BH169" s="37">
        <f t="shared" si="66"/>
        <v>0</v>
      </c>
      <c r="BI169" s="37">
        <f t="shared" si="66"/>
        <v>0</v>
      </c>
      <c r="BJ169" s="37">
        <f t="shared" si="66"/>
        <v>0</v>
      </c>
      <c r="BK169" s="37">
        <f t="shared" si="66"/>
        <v>0</v>
      </c>
      <c r="BL169" s="37">
        <f t="shared" si="66"/>
        <v>0</v>
      </c>
      <c r="BM169" s="37">
        <f t="shared" si="66"/>
        <v>0</v>
      </c>
      <c r="BN169" s="37">
        <f t="shared" si="66"/>
        <v>0</v>
      </c>
      <c r="BO169" s="37">
        <f t="shared" si="66"/>
        <v>0</v>
      </c>
      <c r="BP169" s="37">
        <f t="shared" si="66"/>
        <v>0</v>
      </c>
      <c r="BQ169" s="37">
        <f t="shared" si="66"/>
        <v>0</v>
      </c>
      <c r="BR169" s="37">
        <f t="shared" si="66"/>
        <v>0</v>
      </c>
      <c r="BS169" s="37">
        <f t="shared" si="66"/>
        <v>0</v>
      </c>
      <c r="BT169" s="37">
        <f t="shared" si="66"/>
        <v>0</v>
      </c>
      <c r="BU169" s="37">
        <f t="shared" si="66"/>
        <v>0</v>
      </c>
      <c r="BV169" s="37">
        <f t="shared" si="66"/>
        <v>0</v>
      </c>
      <c r="BW169" s="37">
        <f t="shared" ref="BW169:DM169" si="67">MIN(BW162,$E$164)</f>
        <v>0</v>
      </c>
      <c r="BX169" s="37">
        <f t="shared" si="67"/>
        <v>0</v>
      </c>
      <c r="BY169" s="37">
        <f t="shared" si="67"/>
        <v>0</v>
      </c>
      <c r="BZ169" s="37">
        <f t="shared" si="67"/>
        <v>0</v>
      </c>
      <c r="CA169" s="37">
        <f t="shared" si="67"/>
        <v>0</v>
      </c>
      <c r="CB169" s="37">
        <f t="shared" si="67"/>
        <v>0</v>
      </c>
      <c r="CC169" s="37">
        <f t="shared" si="67"/>
        <v>0</v>
      </c>
      <c r="CD169" s="37">
        <f t="shared" si="67"/>
        <v>0</v>
      </c>
      <c r="CE169" s="37">
        <f t="shared" si="67"/>
        <v>0</v>
      </c>
      <c r="CF169" s="37">
        <f t="shared" si="67"/>
        <v>0</v>
      </c>
      <c r="CG169" s="37">
        <f t="shared" si="67"/>
        <v>0</v>
      </c>
      <c r="CH169" s="37">
        <f t="shared" si="67"/>
        <v>0</v>
      </c>
      <c r="CI169" s="37">
        <f t="shared" si="67"/>
        <v>0</v>
      </c>
      <c r="CJ169" s="37">
        <f t="shared" si="67"/>
        <v>0</v>
      </c>
      <c r="CK169" s="37">
        <f t="shared" si="67"/>
        <v>0</v>
      </c>
      <c r="CL169" s="37">
        <f t="shared" si="67"/>
        <v>0</v>
      </c>
      <c r="CM169" s="37">
        <f t="shared" si="67"/>
        <v>0</v>
      </c>
      <c r="CN169" s="37">
        <f t="shared" si="67"/>
        <v>0</v>
      </c>
      <c r="CO169" s="37">
        <f t="shared" si="67"/>
        <v>0</v>
      </c>
      <c r="CP169" s="37">
        <f t="shared" si="67"/>
        <v>0</v>
      </c>
      <c r="CQ169" s="37">
        <f t="shared" si="67"/>
        <v>0</v>
      </c>
      <c r="CR169" s="37">
        <f t="shared" si="67"/>
        <v>0</v>
      </c>
      <c r="CS169" s="37">
        <f t="shared" si="67"/>
        <v>0</v>
      </c>
      <c r="CT169" s="37">
        <f t="shared" si="67"/>
        <v>0</v>
      </c>
      <c r="CU169" s="37">
        <f t="shared" si="67"/>
        <v>0</v>
      </c>
      <c r="CV169" s="37">
        <f t="shared" si="67"/>
        <v>0</v>
      </c>
      <c r="CW169" s="37">
        <f t="shared" si="67"/>
        <v>0</v>
      </c>
      <c r="CX169" s="37">
        <f t="shared" si="67"/>
        <v>0</v>
      </c>
      <c r="CY169" s="37">
        <f t="shared" si="67"/>
        <v>0</v>
      </c>
      <c r="CZ169" s="37">
        <f t="shared" si="67"/>
        <v>0</v>
      </c>
      <c r="DA169" s="37">
        <f t="shared" si="67"/>
        <v>0</v>
      </c>
      <c r="DB169" s="37">
        <f t="shared" si="67"/>
        <v>0</v>
      </c>
      <c r="DC169" s="37">
        <f t="shared" si="67"/>
        <v>0</v>
      </c>
      <c r="DD169" s="37">
        <f t="shared" si="67"/>
        <v>0</v>
      </c>
      <c r="DE169" s="37">
        <f t="shared" si="67"/>
        <v>0</v>
      </c>
      <c r="DF169" s="37">
        <f t="shared" si="67"/>
        <v>0</v>
      </c>
      <c r="DG169" s="37">
        <f t="shared" si="67"/>
        <v>0</v>
      </c>
      <c r="DH169" s="37">
        <f t="shared" si="67"/>
        <v>0</v>
      </c>
      <c r="DI169" s="37">
        <f t="shared" si="67"/>
        <v>0</v>
      </c>
      <c r="DJ169" s="37">
        <f t="shared" si="67"/>
        <v>0</v>
      </c>
      <c r="DK169" s="37">
        <f t="shared" si="67"/>
        <v>0</v>
      </c>
      <c r="DL169" s="37">
        <f t="shared" si="67"/>
        <v>0</v>
      </c>
      <c r="DM169" s="37">
        <f t="shared" si="67"/>
        <v>0</v>
      </c>
    </row>
    <row r="170" spans="3:117" x14ac:dyDescent="0.15">
      <c r="C170" t="s">
        <v>188</v>
      </c>
      <c r="D170" s="5" t="s">
        <v>167</v>
      </c>
      <c r="I170" s="35">
        <f t="shared" ref="I170:I171" si="68">SUM(J170:DM170)</f>
        <v>2566301376.2008877</v>
      </c>
      <c r="J170" s="19">
        <f>J169*J153</f>
        <v>0</v>
      </c>
      <c r="K170" s="19">
        <f t="shared" ref="K170:BV170" si="69">K169*K153</f>
        <v>0</v>
      </c>
      <c r="L170" s="19">
        <f t="shared" si="69"/>
        <v>0</v>
      </c>
      <c r="M170" s="19">
        <f t="shared" si="69"/>
        <v>0</v>
      </c>
      <c r="N170" s="19">
        <f t="shared" si="69"/>
        <v>286768087.01726377</v>
      </c>
      <c r="O170" s="19">
        <f t="shared" si="69"/>
        <v>319242762.92512995</v>
      </c>
      <c r="P170" s="19">
        <f t="shared" si="69"/>
        <v>326427620.17944139</v>
      </c>
      <c r="Q170" s="19">
        <f t="shared" si="69"/>
        <v>325889305.18638134</v>
      </c>
      <c r="R170" s="19">
        <f t="shared" si="69"/>
        <v>325944235.287714</v>
      </c>
      <c r="S170" s="19">
        <f t="shared" si="69"/>
        <v>170656838.82029554</v>
      </c>
      <c r="T170" s="19">
        <f t="shared" si="69"/>
        <v>184400350.17372608</v>
      </c>
      <c r="U170" s="19">
        <f t="shared" si="69"/>
        <v>198945841.00661337</v>
      </c>
      <c r="V170" s="19">
        <f t="shared" si="69"/>
        <v>169162740.06404731</v>
      </c>
      <c r="W170" s="19">
        <f t="shared" si="69"/>
        <v>173029819.19786632</v>
      </c>
      <c r="X170" s="19">
        <f t="shared" si="69"/>
        <v>85833776.342408225</v>
      </c>
      <c r="Y170" s="19">
        <f t="shared" si="69"/>
        <v>0</v>
      </c>
      <c r="Z170" s="19">
        <f t="shared" si="69"/>
        <v>0</v>
      </c>
      <c r="AA170" s="19">
        <f t="shared" si="69"/>
        <v>0</v>
      </c>
      <c r="AB170" s="19">
        <f t="shared" si="69"/>
        <v>0</v>
      </c>
      <c r="AC170" s="19">
        <f t="shared" si="69"/>
        <v>0</v>
      </c>
      <c r="AD170" s="19">
        <f t="shared" si="69"/>
        <v>0</v>
      </c>
      <c r="AE170" s="19">
        <f t="shared" si="69"/>
        <v>0</v>
      </c>
      <c r="AF170" s="19">
        <f t="shared" si="69"/>
        <v>0</v>
      </c>
      <c r="AG170" s="19">
        <f t="shared" si="69"/>
        <v>0</v>
      </c>
      <c r="AH170" s="19">
        <f t="shared" si="69"/>
        <v>0</v>
      </c>
      <c r="AI170" s="19">
        <f t="shared" si="69"/>
        <v>0</v>
      </c>
      <c r="AJ170" s="19">
        <f t="shared" si="69"/>
        <v>0</v>
      </c>
      <c r="AK170" s="19">
        <f t="shared" si="69"/>
        <v>0</v>
      </c>
      <c r="AL170" s="19">
        <f t="shared" si="69"/>
        <v>0</v>
      </c>
      <c r="AM170" s="19">
        <f t="shared" si="69"/>
        <v>0</v>
      </c>
      <c r="AN170" s="19">
        <f t="shared" si="69"/>
        <v>0</v>
      </c>
      <c r="AO170" s="19">
        <f t="shared" si="69"/>
        <v>0</v>
      </c>
      <c r="AP170" s="19">
        <f t="shared" si="69"/>
        <v>0</v>
      </c>
      <c r="AQ170" s="19">
        <f t="shared" si="69"/>
        <v>0</v>
      </c>
      <c r="AR170" s="19">
        <f t="shared" si="69"/>
        <v>0</v>
      </c>
      <c r="AS170" s="19">
        <f t="shared" si="69"/>
        <v>0</v>
      </c>
      <c r="AT170" s="19">
        <f t="shared" si="69"/>
        <v>0</v>
      </c>
      <c r="AU170" s="19">
        <f t="shared" si="69"/>
        <v>0</v>
      </c>
      <c r="AV170" s="19">
        <f t="shared" si="69"/>
        <v>0</v>
      </c>
      <c r="AW170" s="19">
        <f t="shared" si="69"/>
        <v>0</v>
      </c>
      <c r="AX170" s="19">
        <f t="shared" si="69"/>
        <v>0</v>
      </c>
      <c r="AY170" s="19">
        <f t="shared" si="69"/>
        <v>0</v>
      </c>
      <c r="AZ170" s="19">
        <f t="shared" si="69"/>
        <v>0</v>
      </c>
      <c r="BA170" s="19">
        <f t="shared" si="69"/>
        <v>0</v>
      </c>
      <c r="BB170" s="19">
        <f t="shared" si="69"/>
        <v>0</v>
      </c>
      <c r="BC170" s="19">
        <f t="shared" si="69"/>
        <v>0</v>
      </c>
      <c r="BD170" s="19">
        <f t="shared" si="69"/>
        <v>0</v>
      </c>
      <c r="BE170" s="19">
        <f t="shared" si="69"/>
        <v>0</v>
      </c>
      <c r="BF170" s="19">
        <f t="shared" si="69"/>
        <v>0</v>
      </c>
      <c r="BG170" s="19">
        <f t="shared" si="69"/>
        <v>0</v>
      </c>
      <c r="BH170" s="19">
        <f t="shared" si="69"/>
        <v>0</v>
      </c>
      <c r="BI170" s="19">
        <f t="shared" si="69"/>
        <v>0</v>
      </c>
      <c r="BJ170" s="19">
        <f t="shared" si="69"/>
        <v>0</v>
      </c>
      <c r="BK170" s="19">
        <f t="shared" si="69"/>
        <v>0</v>
      </c>
      <c r="BL170" s="19">
        <f t="shared" si="69"/>
        <v>0</v>
      </c>
      <c r="BM170" s="19">
        <f t="shared" si="69"/>
        <v>0</v>
      </c>
      <c r="BN170" s="19">
        <f t="shared" si="69"/>
        <v>0</v>
      </c>
      <c r="BO170" s="19">
        <f t="shared" si="69"/>
        <v>0</v>
      </c>
      <c r="BP170" s="19">
        <f t="shared" si="69"/>
        <v>0</v>
      </c>
      <c r="BQ170" s="19">
        <f t="shared" si="69"/>
        <v>0</v>
      </c>
      <c r="BR170" s="19">
        <f t="shared" si="69"/>
        <v>0</v>
      </c>
      <c r="BS170" s="19">
        <f t="shared" si="69"/>
        <v>0</v>
      </c>
      <c r="BT170" s="19">
        <f t="shared" si="69"/>
        <v>0</v>
      </c>
      <c r="BU170" s="19">
        <f t="shared" si="69"/>
        <v>0</v>
      </c>
      <c r="BV170" s="19">
        <f t="shared" si="69"/>
        <v>0</v>
      </c>
      <c r="BW170" s="19">
        <f t="shared" ref="BW170:DM170" si="70">BW169*BW153</f>
        <v>0</v>
      </c>
      <c r="BX170" s="19">
        <f t="shared" si="70"/>
        <v>0</v>
      </c>
      <c r="BY170" s="19">
        <f t="shared" si="70"/>
        <v>0</v>
      </c>
      <c r="BZ170" s="19">
        <f t="shared" si="70"/>
        <v>0</v>
      </c>
      <c r="CA170" s="19">
        <f t="shared" si="70"/>
        <v>0</v>
      </c>
      <c r="CB170" s="19">
        <f t="shared" si="70"/>
        <v>0</v>
      </c>
      <c r="CC170" s="19">
        <f t="shared" si="70"/>
        <v>0</v>
      </c>
      <c r="CD170" s="19">
        <f t="shared" si="70"/>
        <v>0</v>
      </c>
      <c r="CE170" s="19">
        <f t="shared" si="70"/>
        <v>0</v>
      </c>
      <c r="CF170" s="19">
        <f t="shared" si="70"/>
        <v>0</v>
      </c>
      <c r="CG170" s="19">
        <f t="shared" si="70"/>
        <v>0</v>
      </c>
      <c r="CH170" s="19">
        <f t="shared" si="70"/>
        <v>0</v>
      </c>
      <c r="CI170" s="19">
        <f t="shared" si="70"/>
        <v>0</v>
      </c>
      <c r="CJ170" s="19">
        <f t="shared" si="70"/>
        <v>0</v>
      </c>
      <c r="CK170" s="19">
        <f t="shared" si="70"/>
        <v>0</v>
      </c>
      <c r="CL170" s="19">
        <f t="shared" si="70"/>
        <v>0</v>
      </c>
      <c r="CM170" s="19">
        <f t="shared" si="70"/>
        <v>0</v>
      </c>
      <c r="CN170" s="19">
        <f t="shared" si="70"/>
        <v>0</v>
      </c>
      <c r="CO170" s="19">
        <f t="shared" si="70"/>
        <v>0</v>
      </c>
      <c r="CP170" s="19">
        <f t="shared" si="70"/>
        <v>0</v>
      </c>
      <c r="CQ170" s="19">
        <f t="shared" si="70"/>
        <v>0</v>
      </c>
      <c r="CR170" s="19">
        <f t="shared" si="70"/>
        <v>0</v>
      </c>
      <c r="CS170" s="19">
        <f t="shared" si="70"/>
        <v>0</v>
      </c>
      <c r="CT170" s="19">
        <f t="shared" si="70"/>
        <v>0</v>
      </c>
      <c r="CU170" s="19">
        <f t="shared" si="70"/>
        <v>0</v>
      </c>
      <c r="CV170" s="19">
        <f t="shared" si="70"/>
        <v>0</v>
      </c>
      <c r="CW170" s="19">
        <f t="shared" si="70"/>
        <v>0</v>
      </c>
      <c r="CX170" s="19">
        <f t="shared" si="70"/>
        <v>0</v>
      </c>
      <c r="CY170" s="19">
        <f t="shared" si="70"/>
        <v>0</v>
      </c>
      <c r="CZ170" s="19">
        <f t="shared" si="70"/>
        <v>0</v>
      </c>
      <c r="DA170" s="19">
        <f t="shared" si="70"/>
        <v>0</v>
      </c>
      <c r="DB170" s="19">
        <f t="shared" si="70"/>
        <v>0</v>
      </c>
      <c r="DC170" s="19">
        <f t="shared" si="70"/>
        <v>0</v>
      </c>
      <c r="DD170" s="19">
        <f t="shared" si="70"/>
        <v>0</v>
      </c>
      <c r="DE170" s="19">
        <f t="shared" si="70"/>
        <v>0</v>
      </c>
      <c r="DF170" s="19">
        <f t="shared" si="70"/>
        <v>0</v>
      </c>
      <c r="DG170" s="19">
        <f t="shared" si="70"/>
        <v>0</v>
      </c>
      <c r="DH170" s="19">
        <f t="shared" si="70"/>
        <v>0</v>
      </c>
      <c r="DI170" s="19">
        <f t="shared" si="70"/>
        <v>0</v>
      </c>
      <c r="DJ170" s="19">
        <f t="shared" si="70"/>
        <v>0</v>
      </c>
      <c r="DK170" s="19">
        <f t="shared" si="70"/>
        <v>0</v>
      </c>
      <c r="DL170" s="19">
        <f t="shared" si="70"/>
        <v>0</v>
      </c>
      <c r="DM170" s="19">
        <f t="shared" si="70"/>
        <v>0</v>
      </c>
    </row>
    <row r="171" spans="3:117" x14ac:dyDescent="0.15">
      <c r="C171" t="s">
        <v>189</v>
      </c>
      <c r="D171" s="5" t="s">
        <v>167</v>
      </c>
      <c r="I171" s="35">
        <f t="shared" si="68"/>
        <v>256630137.62008876</v>
      </c>
      <c r="J171" s="39">
        <f>J170*$E$166</f>
        <v>0</v>
      </c>
      <c r="K171" s="39">
        <f t="shared" ref="K171:BV171" si="71">K170*$E$166</f>
        <v>0</v>
      </c>
      <c r="L171" s="39">
        <f t="shared" si="71"/>
        <v>0</v>
      </c>
      <c r="M171" s="39">
        <f t="shared" si="71"/>
        <v>0</v>
      </c>
      <c r="N171" s="39">
        <f t="shared" si="71"/>
        <v>28676808.701726377</v>
      </c>
      <c r="O171" s="39">
        <f t="shared" si="71"/>
        <v>31924276.292512998</v>
      </c>
      <c r="P171" s="39">
        <f t="shared" si="71"/>
        <v>32642762.017944142</v>
      </c>
      <c r="Q171" s="39">
        <f t="shared" si="71"/>
        <v>32588930.518638134</v>
      </c>
      <c r="R171" s="39">
        <f t="shared" si="71"/>
        <v>32594423.5287714</v>
      </c>
      <c r="S171" s="39">
        <f t="shared" si="71"/>
        <v>17065683.882029556</v>
      </c>
      <c r="T171" s="39">
        <f t="shared" si="71"/>
        <v>18440035.017372608</v>
      </c>
      <c r="U171" s="39">
        <f t="shared" si="71"/>
        <v>19894584.100661337</v>
      </c>
      <c r="V171" s="39">
        <f t="shared" si="71"/>
        <v>16916274.006404731</v>
      </c>
      <c r="W171" s="39">
        <f t="shared" si="71"/>
        <v>17302981.919786632</v>
      </c>
      <c r="X171" s="39">
        <f t="shared" si="71"/>
        <v>8583377.6342408229</v>
      </c>
      <c r="Y171" s="39">
        <f t="shared" si="71"/>
        <v>0</v>
      </c>
      <c r="Z171" s="39">
        <f t="shared" si="71"/>
        <v>0</v>
      </c>
      <c r="AA171" s="39">
        <f t="shared" si="71"/>
        <v>0</v>
      </c>
      <c r="AB171" s="39">
        <f t="shared" si="71"/>
        <v>0</v>
      </c>
      <c r="AC171" s="39">
        <f t="shared" si="71"/>
        <v>0</v>
      </c>
      <c r="AD171" s="39">
        <f t="shared" si="71"/>
        <v>0</v>
      </c>
      <c r="AE171" s="39">
        <f t="shared" si="71"/>
        <v>0</v>
      </c>
      <c r="AF171" s="39">
        <f t="shared" si="71"/>
        <v>0</v>
      </c>
      <c r="AG171" s="39">
        <f t="shared" si="71"/>
        <v>0</v>
      </c>
      <c r="AH171" s="39">
        <f t="shared" si="71"/>
        <v>0</v>
      </c>
      <c r="AI171" s="39">
        <f t="shared" si="71"/>
        <v>0</v>
      </c>
      <c r="AJ171" s="39">
        <f t="shared" si="71"/>
        <v>0</v>
      </c>
      <c r="AK171" s="39">
        <f t="shared" si="71"/>
        <v>0</v>
      </c>
      <c r="AL171" s="39">
        <f t="shared" si="71"/>
        <v>0</v>
      </c>
      <c r="AM171" s="39">
        <f t="shared" si="71"/>
        <v>0</v>
      </c>
      <c r="AN171" s="39">
        <f t="shared" si="71"/>
        <v>0</v>
      </c>
      <c r="AO171" s="39">
        <f t="shared" si="71"/>
        <v>0</v>
      </c>
      <c r="AP171" s="39">
        <f t="shared" si="71"/>
        <v>0</v>
      </c>
      <c r="AQ171" s="39">
        <f t="shared" si="71"/>
        <v>0</v>
      </c>
      <c r="AR171" s="39">
        <f t="shared" si="71"/>
        <v>0</v>
      </c>
      <c r="AS171" s="39">
        <f t="shared" si="71"/>
        <v>0</v>
      </c>
      <c r="AT171" s="39">
        <f t="shared" si="71"/>
        <v>0</v>
      </c>
      <c r="AU171" s="39">
        <f t="shared" si="71"/>
        <v>0</v>
      </c>
      <c r="AV171" s="39">
        <f t="shared" si="71"/>
        <v>0</v>
      </c>
      <c r="AW171" s="39">
        <f t="shared" si="71"/>
        <v>0</v>
      </c>
      <c r="AX171" s="39">
        <f t="shared" si="71"/>
        <v>0</v>
      </c>
      <c r="AY171" s="39">
        <f t="shared" si="71"/>
        <v>0</v>
      </c>
      <c r="AZ171" s="39">
        <f t="shared" si="71"/>
        <v>0</v>
      </c>
      <c r="BA171" s="39">
        <f t="shared" si="71"/>
        <v>0</v>
      </c>
      <c r="BB171" s="39">
        <f t="shared" si="71"/>
        <v>0</v>
      </c>
      <c r="BC171" s="39">
        <f t="shared" si="71"/>
        <v>0</v>
      </c>
      <c r="BD171" s="39">
        <f t="shared" si="71"/>
        <v>0</v>
      </c>
      <c r="BE171" s="39">
        <f t="shared" si="71"/>
        <v>0</v>
      </c>
      <c r="BF171" s="39">
        <f t="shared" si="71"/>
        <v>0</v>
      </c>
      <c r="BG171" s="39">
        <f t="shared" si="71"/>
        <v>0</v>
      </c>
      <c r="BH171" s="39">
        <f t="shared" si="71"/>
        <v>0</v>
      </c>
      <c r="BI171" s="39">
        <f t="shared" si="71"/>
        <v>0</v>
      </c>
      <c r="BJ171" s="39">
        <f t="shared" si="71"/>
        <v>0</v>
      </c>
      <c r="BK171" s="39">
        <f t="shared" si="71"/>
        <v>0</v>
      </c>
      <c r="BL171" s="39">
        <f t="shared" si="71"/>
        <v>0</v>
      </c>
      <c r="BM171" s="39">
        <f t="shared" si="71"/>
        <v>0</v>
      </c>
      <c r="BN171" s="39">
        <f t="shared" si="71"/>
        <v>0</v>
      </c>
      <c r="BO171" s="39">
        <f t="shared" si="71"/>
        <v>0</v>
      </c>
      <c r="BP171" s="39">
        <f t="shared" si="71"/>
        <v>0</v>
      </c>
      <c r="BQ171" s="39">
        <f t="shared" si="71"/>
        <v>0</v>
      </c>
      <c r="BR171" s="39">
        <f t="shared" si="71"/>
        <v>0</v>
      </c>
      <c r="BS171" s="39">
        <f t="shared" si="71"/>
        <v>0</v>
      </c>
      <c r="BT171" s="39">
        <f t="shared" si="71"/>
        <v>0</v>
      </c>
      <c r="BU171" s="39">
        <f t="shared" si="71"/>
        <v>0</v>
      </c>
      <c r="BV171" s="39">
        <f t="shared" si="71"/>
        <v>0</v>
      </c>
      <c r="BW171" s="39">
        <f t="shared" ref="BW171:DM171" si="72">BW170*$E$166</f>
        <v>0</v>
      </c>
      <c r="BX171" s="39">
        <f t="shared" si="72"/>
        <v>0</v>
      </c>
      <c r="BY171" s="39">
        <f t="shared" si="72"/>
        <v>0</v>
      </c>
      <c r="BZ171" s="39">
        <f t="shared" si="72"/>
        <v>0</v>
      </c>
      <c r="CA171" s="39">
        <f t="shared" si="72"/>
        <v>0</v>
      </c>
      <c r="CB171" s="39">
        <f t="shared" si="72"/>
        <v>0</v>
      </c>
      <c r="CC171" s="39">
        <f t="shared" si="72"/>
        <v>0</v>
      </c>
      <c r="CD171" s="39">
        <f t="shared" si="72"/>
        <v>0</v>
      </c>
      <c r="CE171" s="39">
        <f t="shared" si="72"/>
        <v>0</v>
      </c>
      <c r="CF171" s="39">
        <f t="shared" si="72"/>
        <v>0</v>
      </c>
      <c r="CG171" s="39">
        <f t="shared" si="72"/>
        <v>0</v>
      </c>
      <c r="CH171" s="39">
        <f t="shared" si="72"/>
        <v>0</v>
      </c>
      <c r="CI171" s="39">
        <f t="shared" si="72"/>
        <v>0</v>
      </c>
      <c r="CJ171" s="39">
        <f t="shared" si="72"/>
        <v>0</v>
      </c>
      <c r="CK171" s="39">
        <f t="shared" si="72"/>
        <v>0</v>
      </c>
      <c r="CL171" s="39">
        <f t="shared" si="72"/>
        <v>0</v>
      </c>
      <c r="CM171" s="39">
        <f t="shared" si="72"/>
        <v>0</v>
      </c>
      <c r="CN171" s="39">
        <f t="shared" si="72"/>
        <v>0</v>
      </c>
      <c r="CO171" s="39">
        <f t="shared" si="72"/>
        <v>0</v>
      </c>
      <c r="CP171" s="39">
        <f t="shared" si="72"/>
        <v>0</v>
      </c>
      <c r="CQ171" s="39">
        <f t="shared" si="72"/>
        <v>0</v>
      </c>
      <c r="CR171" s="39">
        <f t="shared" si="72"/>
        <v>0</v>
      </c>
      <c r="CS171" s="39">
        <f t="shared" si="72"/>
        <v>0</v>
      </c>
      <c r="CT171" s="39">
        <f t="shared" si="72"/>
        <v>0</v>
      </c>
      <c r="CU171" s="39">
        <f t="shared" si="72"/>
        <v>0</v>
      </c>
      <c r="CV171" s="39">
        <f t="shared" si="72"/>
        <v>0</v>
      </c>
      <c r="CW171" s="39">
        <f t="shared" si="72"/>
        <v>0</v>
      </c>
      <c r="CX171" s="39">
        <f t="shared" si="72"/>
        <v>0</v>
      </c>
      <c r="CY171" s="39">
        <f t="shared" si="72"/>
        <v>0</v>
      </c>
      <c r="CZ171" s="39">
        <f t="shared" si="72"/>
        <v>0</v>
      </c>
      <c r="DA171" s="39">
        <f t="shared" si="72"/>
        <v>0</v>
      </c>
      <c r="DB171" s="39">
        <f t="shared" si="72"/>
        <v>0</v>
      </c>
      <c r="DC171" s="39">
        <f t="shared" si="72"/>
        <v>0</v>
      </c>
      <c r="DD171" s="39">
        <f t="shared" si="72"/>
        <v>0</v>
      </c>
      <c r="DE171" s="39">
        <f t="shared" si="72"/>
        <v>0</v>
      </c>
      <c r="DF171" s="39">
        <f t="shared" si="72"/>
        <v>0</v>
      </c>
      <c r="DG171" s="39">
        <f t="shared" si="72"/>
        <v>0</v>
      </c>
      <c r="DH171" s="39">
        <f t="shared" si="72"/>
        <v>0</v>
      </c>
      <c r="DI171" s="39">
        <f t="shared" si="72"/>
        <v>0</v>
      </c>
      <c r="DJ171" s="39">
        <f t="shared" si="72"/>
        <v>0</v>
      </c>
      <c r="DK171" s="39">
        <f t="shared" si="72"/>
        <v>0</v>
      </c>
      <c r="DL171" s="39">
        <f t="shared" si="72"/>
        <v>0</v>
      </c>
      <c r="DM171" s="39">
        <f t="shared" si="72"/>
        <v>0</v>
      </c>
    </row>
    <row r="172" spans="3:117" x14ac:dyDescent="0.15">
      <c r="D172" s="5"/>
    </row>
    <row r="173" spans="3:117" x14ac:dyDescent="0.15">
      <c r="C173" t="s">
        <v>190</v>
      </c>
      <c r="D173" s="5" t="s">
        <v>181</v>
      </c>
      <c r="J173" s="37">
        <f>MAX(0,J162-$E$164)</f>
        <v>0</v>
      </c>
      <c r="K173" s="37">
        <f t="shared" ref="K173:BV173" si="73">MAX(0,K162-$E$164)</f>
        <v>0</v>
      </c>
      <c r="L173" s="37">
        <f t="shared" si="73"/>
        <v>0</v>
      </c>
      <c r="M173" s="37">
        <f t="shared" si="73"/>
        <v>0</v>
      </c>
      <c r="N173" s="37">
        <f t="shared" si="73"/>
        <v>145.07887848857345</v>
      </c>
      <c r="O173" s="37">
        <f t="shared" si="73"/>
        <v>146.23869660712194</v>
      </c>
      <c r="P173" s="37">
        <f t="shared" si="73"/>
        <v>145.39214519727983</v>
      </c>
      <c r="Q173" s="37">
        <f t="shared" si="73"/>
        <v>143.5840623446382</v>
      </c>
      <c r="R173" s="37">
        <f t="shared" si="73"/>
        <v>182.12974378620939</v>
      </c>
      <c r="S173" s="37">
        <f t="shared" si="73"/>
        <v>155.18826409537505</v>
      </c>
      <c r="T173" s="37">
        <f t="shared" si="73"/>
        <v>164.66514266568802</v>
      </c>
      <c r="U173" s="37">
        <f t="shared" si="73"/>
        <v>172.005041847863</v>
      </c>
      <c r="V173" s="37">
        <f t="shared" si="73"/>
        <v>168.86433992493232</v>
      </c>
      <c r="W173" s="37">
        <f t="shared" si="73"/>
        <v>173.06145988815501</v>
      </c>
      <c r="X173" s="37">
        <f t="shared" si="73"/>
        <v>146.40395249411102</v>
      </c>
      <c r="Y173" s="37">
        <f t="shared" si="73"/>
        <v>0</v>
      </c>
      <c r="Z173" s="37">
        <f t="shared" si="73"/>
        <v>0</v>
      </c>
      <c r="AA173" s="37">
        <f t="shared" si="73"/>
        <v>0</v>
      </c>
      <c r="AB173" s="37">
        <f t="shared" si="73"/>
        <v>0</v>
      </c>
      <c r="AC173" s="37">
        <f t="shared" si="73"/>
        <v>0</v>
      </c>
      <c r="AD173" s="37">
        <f t="shared" si="73"/>
        <v>0</v>
      </c>
      <c r="AE173" s="37">
        <f t="shared" si="73"/>
        <v>0</v>
      </c>
      <c r="AF173" s="37">
        <f t="shared" si="73"/>
        <v>0</v>
      </c>
      <c r="AG173" s="37">
        <f t="shared" si="73"/>
        <v>0</v>
      </c>
      <c r="AH173" s="37">
        <f t="shared" si="73"/>
        <v>0</v>
      </c>
      <c r="AI173" s="37">
        <f t="shared" si="73"/>
        <v>0</v>
      </c>
      <c r="AJ173" s="37">
        <f t="shared" si="73"/>
        <v>0</v>
      </c>
      <c r="AK173" s="37">
        <f t="shared" si="73"/>
        <v>0</v>
      </c>
      <c r="AL173" s="37">
        <f t="shared" si="73"/>
        <v>0</v>
      </c>
      <c r="AM173" s="37">
        <f t="shared" si="73"/>
        <v>0</v>
      </c>
      <c r="AN173" s="37">
        <f t="shared" si="73"/>
        <v>0</v>
      </c>
      <c r="AO173" s="37">
        <f t="shared" si="73"/>
        <v>0</v>
      </c>
      <c r="AP173" s="37">
        <f t="shared" si="73"/>
        <v>0</v>
      </c>
      <c r="AQ173" s="37">
        <f t="shared" si="73"/>
        <v>0</v>
      </c>
      <c r="AR173" s="37">
        <f t="shared" si="73"/>
        <v>0</v>
      </c>
      <c r="AS173" s="37">
        <f t="shared" si="73"/>
        <v>0</v>
      </c>
      <c r="AT173" s="37">
        <f t="shared" si="73"/>
        <v>0</v>
      </c>
      <c r="AU173" s="37">
        <f t="shared" si="73"/>
        <v>0</v>
      </c>
      <c r="AV173" s="37">
        <f t="shared" si="73"/>
        <v>0</v>
      </c>
      <c r="AW173" s="37">
        <f t="shared" si="73"/>
        <v>0</v>
      </c>
      <c r="AX173" s="37">
        <f t="shared" si="73"/>
        <v>0</v>
      </c>
      <c r="AY173" s="37">
        <f t="shared" si="73"/>
        <v>0</v>
      </c>
      <c r="AZ173" s="37">
        <f t="shared" si="73"/>
        <v>0</v>
      </c>
      <c r="BA173" s="37">
        <f t="shared" si="73"/>
        <v>0</v>
      </c>
      <c r="BB173" s="37">
        <f t="shared" si="73"/>
        <v>0</v>
      </c>
      <c r="BC173" s="37">
        <f t="shared" si="73"/>
        <v>0</v>
      </c>
      <c r="BD173" s="37">
        <f t="shared" si="73"/>
        <v>0</v>
      </c>
      <c r="BE173" s="37">
        <f t="shared" si="73"/>
        <v>0</v>
      </c>
      <c r="BF173" s="37">
        <f t="shared" si="73"/>
        <v>0</v>
      </c>
      <c r="BG173" s="37">
        <f t="shared" si="73"/>
        <v>0</v>
      </c>
      <c r="BH173" s="37">
        <f t="shared" si="73"/>
        <v>0</v>
      </c>
      <c r="BI173" s="37">
        <f t="shared" si="73"/>
        <v>0</v>
      </c>
      <c r="BJ173" s="37">
        <f t="shared" si="73"/>
        <v>0</v>
      </c>
      <c r="BK173" s="37">
        <f t="shared" si="73"/>
        <v>0</v>
      </c>
      <c r="BL173" s="37">
        <f t="shared" si="73"/>
        <v>0</v>
      </c>
      <c r="BM173" s="37">
        <f t="shared" si="73"/>
        <v>0</v>
      </c>
      <c r="BN173" s="37">
        <f t="shared" si="73"/>
        <v>0</v>
      </c>
      <c r="BO173" s="37">
        <f t="shared" si="73"/>
        <v>0</v>
      </c>
      <c r="BP173" s="37">
        <f t="shared" si="73"/>
        <v>0</v>
      </c>
      <c r="BQ173" s="37">
        <f t="shared" si="73"/>
        <v>0</v>
      </c>
      <c r="BR173" s="37">
        <f t="shared" si="73"/>
        <v>0</v>
      </c>
      <c r="BS173" s="37">
        <f t="shared" si="73"/>
        <v>0</v>
      </c>
      <c r="BT173" s="37">
        <f t="shared" si="73"/>
        <v>0</v>
      </c>
      <c r="BU173" s="37">
        <f t="shared" si="73"/>
        <v>0</v>
      </c>
      <c r="BV173" s="37">
        <f t="shared" si="73"/>
        <v>0</v>
      </c>
      <c r="BW173" s="37">
        <f t="shared" ref="BW173:DM173" si="74">MAX(0,BW162-$E$164)</f>
        <v>0</v>
      </c>
      <c r="BX173" s="37">
        <f t="shared" si="74"/>
        <v>0</v>
      </c>
      <c r="BY173" s="37">
        <f t="shared" si="74"/>
        <v>0</v>
      </c>
      <c r="BZ173" s="37">
        <f t="shared" si="74"/>
        <v>0</v>
      </c>
      <c r="CA173" s="37">
        <f t="shared" si="74"/>
        <v>0</v>
      </c>
      <c r="CB173" s="37">
        <f t="shared" si="74"/>
        <v>0</v>
      </c>
      <c r="CC173" s="37">
        <f t="shared" si="74"/>
        <v>0</v>
      </c>
      <c r="CD173" s="37">
        <f t="shared" si="74"/>
        <v>0</v>
      </c>
      <c r="CE173" s="37">
        <f t="shared" si="74"/>
        <v>0</v>
      </c>
      <c r="CF173" s="37">
        <f t="shared" si="74"/>
        <v>0</v>
      </c>
      <c r="CG173" s="37">
        <f t="shared" si="74"/>
        <v>0</v>
      </c>
      <c r="CH173" s="37">
        <f t="shared" si="74"/>
        <v>0</v>
      </c>
      <c r="CI173" s="37">
        <f t="shared" si="74"/>
        <v>0</v>
      </c>
      <c r="CJ173" s="37">
        <f t="shared" si="74"/>
        <v>0</v>
      </c>
      <c r="CK173" s="37">
        <f t="shared" si="74"/>
        <v>0</v>
      </c>
      <c r="CL173" s="37">
        <f t="shared" si="74"/>
        <v>0</v>
      </c>
      <c r="CM173" s="37">
        <f t="shared" si="74"/>
        <v>0</v>
      </c>
      <c r="CN173" s="37">
        <f t="shared" si="74"/>
        <v>0</v>
      </c>
      <c r="CO173" s="37">
        <f t="shared" si="74"/>
        <v>0</v>
      </c>
      <c r="CP173" s="37">
        <f t="shared" si="74"/>
        <v>0</v>
      </c>
      <c r="CQ173" s="37">
        <f t="shared" si="74"/>
        <v>0</v>
      </c>
      <c r="CR173" s="37">
        <f t="shared" si="74"/>
        <v>0</v>
      </c>
      <c r="CS173" s="37">
        <f t="shared" si="74"/>
        <v>0</v>
      </c>
      <c r="CT173" s="37">
        <f t="shared" si="74"/>
        <v>0</v>
      </c>
      <c r="CU173" s="37">
        <f t="shared" si="74"/>
        <v>0</v>
      </c>
      <c r="CV173" s="37">
        <f t="shared" si="74"/>
        <v>0</v>
      </c>
      <c r="CW173" s="37">
        <f t="shared" si="74"/>
        <v>0</v>
      </c>
      <c r="CX173" s="37">
        <f t="shared" si="74"/>
        <v>0</v>
      </c>
      <c r="CY173" s="37">
        <f t="shared" si="74"/>
        <v>0</v>
      </c>
      <c r="CZ173" s="37">
        <f t="shared" si="74"/>
        <v>0</v>
      </c>
      <c r="DA173" s="37">
        <f t="shared" si="74"/>
        <v>0</v>
      </c>
      <c r="DB173" s="37">
        <f t="shared" si="74"/>
        <v>0</v>
      </c>
      <c r="DC173" s="37">
        <f t="shared" si="74"/>
        <v>0</v>
      </c>
      <c r="DD173" s="37">
        <f t="shared" si="74"/>
        <v>0</v>
      </c>
      <c r="DE173" s="37">
        <f t="shared" si="74"/>
        <v>0</v>
      </c>
      <c r="DF173" s="37">
        <f t="shared" si="74"/>
        <v>0</v>
      </c>
      <c r="DG173" s="37">
        <f t="shared" si="74"/>
        <v>0</v>
      </c>
      <c r="DH173" s="37">
        <f t="shared" si="74"/>
        <v>0</v>
      </c>
      <c r="DI173" s="37">
        <f t="shared" si="74"/>
        <v>0</v>
      </c>
      <c r="DJ173" s="37">
        <f t="shared" si="74"/>
        <v>0</v>
      </c>
      <c r="DK173" s="37">
        <f t="shared" si="74"/>
        <v>0</v>
      </c>
      <c r="DL173" s="37">
        <f t="shared" si="74"/>
        <v>0</v>
      </c>
      <c r="DM173" s="37">
        <f t="shared" si="74"/>
        <v>0</v>
      </c>
    </row>
    <row r="174" spans="3:117" x14ac:dyDescent="0.15">
      <c r="C174" t="s">
        <v>190</v>
      </c>
      <c r="D174" s="5" t="s">
        <v>167</v>
      </c>
      <c r="I174" s="35">
        <f t="shared" ref="I174:I175" si="75">SUM(J174:DM174)</f>
        <v>16682534609.632444</v>
      </c>
      <c r="J174" s="19">
        <f t="shared" ref="J174:AO174" si="76">J173*J153</f>
        <v>0</v>
      </c>
      <c r="K174" s="19">
        <f t="shared" si="76"/>
        <v>0</v>
      </c>
      <c r="L174" s="19">
        <f t="shared" si="76"/>
        <v>0</v>
      </c>
      <c r="M174" s="19">
        <f t="shared" si="76"/>
        <v>0</v>
      </c>
      <c r="N174" s="19">
        <f t="shared" si="76"/>
        <v>1717753610.6844866</v>
      </c>
      <c r="O174" s="19">
        <f t="shared" si="76"/>
        <v>1927565877.4330072</v>
      </c>
      <c r="P174" s="19">
        <f t="shared" si="76"/>
        <v>1959538065.6288958</v>
      </c>
      <c r="Q174" s="19">
        <f t="shared" si="76"/>
        <v>1931978130.1953843</v>
      </c>
      <c r="R174" s="19">
        <f t="shared" si="76"/>
        <v>2451037987.6772628</v>
      </c>
      <c r="S174" s="19">
        <f t="shared" si="76"/>
        <v>1093473929.5014813</v>
      </c>
      <c r="T174" s="19">
        <f t="shared" si="76"/>
        <v>1253687447.1081519</v>
      </c>
      <c r="U174" s="19">
        <f t="shared" si="76"/>
        <v>1412869021.7919421</v>
      </c>
      <c r="V174" s="19">
        <f t="shared" si="76"/>
        <v>1179420084.2612822</v>
      </c>
      <c r="W174" s="19">
        <f t="shared" si="76"/>
        <v>1236366354.8540981</v>
      </c>
      <c r="X174" s="19">
        <f t="shared" si="76"/>
        <v>518844100.49645269</v>
      </c>
      <c r="Y174" s="19">
        <f t="shared" si="76"/>
        <v>0</v>
      </c>
      <c r="Z174" s="19">
        <f t="shared" si="76"/>
        <v>0</v>
      </c>
      <c r="AA174" s="19">
        <f t="shared" si="76"/>
        <v>0</v>
      </c>
      <c r="AB174" s="19">
        <f t="shared" si="76"/>
        <v>0</v>
      </c>
      <c r="AC174" s="19">
        <f t="shared" si="76"/>
        <v>0</v>
      </c>
      <c r="AD174" s="19">
        <f t="shared" si="76"/>
        <v>0</v>
      </c>
      <c r="AE174" s="19">
        <f t="shared" si="76"/>
        <v>0</v>
      </c>
      <c r="AF174" s="19">
        <f t="shared" si="76"/>
        <v>0</v>
      </c>
      <c r="AG174" s="19">
        <f t="shared" si="76"/>
        <v>0</v>
      </c>
      <c r="AH174" s="19">
        <f t="shared" si="76"/>
        <v>0</v>
      </c>
      <c r="AI174" s="19">
        <f t="shared" si="76"/>
        <v>0</v>
      </c>
      <c r="AJ174" s="19">
        <f t="shared" si="76"/>
        <v>0</v>
      </c>
      <c r="AK174" s="19">
        <f t="shared" si="76"/>
        <v>0</v>
      </c>
      <c r="AL174" s="19">
        <f t="shared" si="76"/>
        <v>0</v>
      </c>
      <c r="AM174" s="19">
        <f t="shared" si="76"/>
        <v>0</v>
      </c>
      <c r="AN174" s="19">
        <f t="shared" si="76"/>
        <v>0</v>
      </c>
      <c r="AO174" s="19">
        <f t="shared" si="76"/>
        <v>0</v>
      </c>
      <c r="AP174" s="19">
        <f t="shared" ref="AP174:BU174" si="77">AP173*AP153</f>
        <v>0</v>
      </c>
      <c r="AQ174" s="19">
        <f t="shared" si="77"/>
        <v>0</v>
      </c>
      <c r="AR174" s="19">
        <f t="shared" si="77"/>
        <v>0</v>
      </c>
      <c r="AS174" s="19">
        <f t="shared" si="77"/>
        <v>0</v>
      </c>
      <c r="AT174" s="19">
        <f t="shared" si="77"/>
        <v>0</v>
      </c>
      <c r="AU174" s="19">
        <f t="shared" si="77"/>
        <v>0</v>
      </c>
      <c r="AV174" s="19">
        <f t="shared" si="77"/>
        <v>0</v>
      </c>
      <c r="AW174" s="19">
        <f t="shared" si="77"/>
        <v>0</v>
      </c>
      <c r="AX174" s="19">
        <f t="shared" si="77"/>
        <v>0</v>
      </c>
      <c r="AY174" s="19">
        <f t="shared" si="77"/>
        <v>0</v>
      </c>
      <c r="AZ174" s="19">
        <f t="shared" si="77"/>
        <v>0</v>
      </c>
      <c r="BA174" s="19">
        <f t="shared" si="77"/>
        <v>0</v>
      </c>
      <c r="BB174" s="19">
        <f t="shared" si="77"/>
        <v>0</v>
      </c>
      <c r="BC174" s="19">
        <f t="shared" si="77"/>
        <v>0</v>
      </c>
      <c r="BD174" s="19">
        <f t="shared" si="77"/>
        <v>0</v>
      </c>
      <c r="BE174" s="19">
        <f t="shared" si="77"/>
        <v>0</v>
      </c>
      <c r="BF174" s="19">
        <f t="shared" si="77"/>
        <v>0</v>
      </c>
      <c r="BG174" s="19">
        <f t="shared" si="77"/>
        <v>0</v>
      </c>
      <c r="BH174" s="19">
        <f t="shared" si="77"/>
        <v>0</v>
      </c>
      <c r="BI174" s="19">
        <f t="shared" si="77"/>
        <v>0</v>
      </c>
      <c r="BJ174" s="19">
        <f t="shared" si="77"/>
        <v>0</v>
      </c>
      <c r="BK174" s="19">
        <f t="shared" si="77"/>
        <v>0</v>
      </c>
      <c r="BL174" s="19">
        <f t="shared" si="77"/>
        <v>0</v>
      </c>
      <c r="BM174" s="19">
        <f t="shared" si="77"/>
        <v>0</v>
      </c>
      <c r="BN174" s="19">
        <f t="shared" si="77"/>
        <v>0</v>
      </c>
      <c r="BO174" s="19">
        <f t="shared" si="77"/>
        <v>0</v>
      </c>
      <c r="BP174" s="19">
        <f t="shared" si="77"/>
        <v>0</v>
      </c>
      <c r="BQ174" s="19">
        <f t="shared" si="77"/>
        <v>0</v>
      </c>
      <c r="BR174" s="19">
        <f t="shared" si="77"/>
        <v>0</v>
      </c>
      <c r="BS174" s="19">
        <f t="shared" si="77"/>
        <v>0</v>
      </c>
      <c r="BT174" s="19">
        <f t="shared" si="77"/>
        <v>0</v>
      </c>
      <c r="BU174" s="19">
        <f t="shared" si="77"/>
        <v>0</v>
      </c>
      <c r="BV174" s="19">
        <f t="shared" ref="BV174:DA174" si="78">BV173*BV153</f>
        <v>0</v>
      </c>
      <c r="BW174" s="19">
        <f t="shared" si="78"/>
        <v>0</v>
      </c>
      <c r="BX174" s="19">
        <f t="shared" si="78"/>
        <v>0</v>
      </c>
      <c r="BY174" s="19">
        <f t="shared" si="78"/>
        <v>0</v>
      </c>
      <c r="BZ174" s="19">
        <f t="shared" si="78"/>
        <v>0</v>
      </c>
      <c r="CA174" s="19">
        <f t="shared" si="78"/>
        <v>0</v>
      </c>
      <c r="CB174" s="19">
        <f t="shared" si="78"/>
        <v>0</v>
      </c>
      <c r="CC174" s="19">
        <f t="shared" si="78"/>
        <v>0</v>
      </c>
      <c r="CD174" s="19">
        <f t="shared" si="78"/>
        <v>0</v>
      </c>
      <c r="CE174" s="19">
        <f t="shared" si="78"/>
        <v>0</v>
      </c>
      <c r="CF174" s="19">
        <f t="shared" si="78"/>
        <v>0</v>
      </c>
      <c r="CG174" s="19">
        <f t="shared" si="78"/>
        <v>0</v>
      </c>
      <c r="CH174" s="19">
        <f t="shared" si="78"/>
        <v>0</v>
      </c>
      <c r="CI174" s="19">
        <f t="shared" si="78"/>
        <v>0</v>
      </c>
      <c r="CJ174" s="19">
        <f t="shared" si="78"/>
        <v>0</v>
      </c>
      <c r="CK174" s="19">
        <f t="shared" si="78"/>
        <v>0</v>
      </c>
      <c r="CL174" s="19">
        <f t="shared" si="78"/>
        <v>0</v>
      </c>
      <c r="CM174" s="19">
        <f t="shared" si="78"/>
        <v>0</v>
      </c>
      <c r="CN174" s="19">
        <f t="shared" si="78"/>
        <v>0</v>
      </c>
      <c r="CO174" s="19">
        <f t="shared" si="78"/>
        <v>0</v>
      </c>
      <c r="CP174" s="19">
        <f t="shared" si="78"/>
        <v>0</v>
      </c>
      <c r="CQ174" s="19">
        <f t="shared" si="78"/>
        <v>0</v>
      </c>
      <c r="CR174" s="19">
        <f t="shared" si="78"/>
        <v>0</v>
      </c>
      <c r="CS174" s="19">
        <f t="shared" si="78"/>
        <v>0</v>
      </c>
      <c r="CT174" s="19">
        <f t="shared" si="78"/>
        <v>0</v>
      </c>
      <c r="CU174" s="19">
        <f t="shared" si="78"/>
        <v>0</v>
      </c>
      <c r="CV174" s="19">
        <f t="shared" si="78"/>
        <v>0</v>
      </c>
      <c r="CW174" s="19">
        <f t="shared" si="78"/>
        <v>0</v>
      </c>
      <c r="CX174" s="19">
        <f t="shared" si="78"/>
        <v>0</v>
      </c>
      <c r="CY174" s="19">
        <f t="shared" si="78"/>
        <v>0</v>
      </c>
      <c r="CZ174" s="19">
        <f t="shared" si="78"/>
        <v>0</v>
      </c>
      <c r="DA174" s="19">
        <f t="shared" si="78"/>
        <v>0</v>
      </c>
      <c r="DB174" s="19">
        <f t="shared" ref="DB174:DM174" si="79">DB173*DB153</f>
        <v>0</v>
      </c>
      <c r="DC174" s="19">
        <f t="shared" si="79"/>
        <v>0</v>
      </c>
      <c r="DD174" s="19">
        <f t="shared" si="79"/>
        <v>0</v>
      </c>
      <c r="DE174" s="19">
        <f t="shared" si="79"/>
        <v>0</v>
      </c>
      <c r="DF174" s="19">
        <f t="shared" si="79"/>
        <v>0</v>
      </c>
      <c r="DG174" s="19">
        <f t="shared" si="79"/>
        <v>0</v>
      </c>
      <c r="DH174" s="19">
        <f t="shared" si="79"/>
        <v>0</v>
      </c>
      <c r="DI174" s="19">
        <f t="shared" si="79"/>
        <v>0</v>
      </c>
      <c r="DJ174" s="19">
        <f t="shared" si="79"/>
        <v>0</v>
      </c>
      <c r="DK174" s="19">
        <f t="shared" si="79"/>
        <v>0</v>
      </c>
      <c r="DL174" s="19">
        <f t="shared" si="79"/>
        <v>0</v>
      </c>
      <c r="DM174" s="19">
        <f t="shared" si="79"/>
        <v>0</v>
      </c>
    </row>
    <row r="175" spans="3:117" x14ac:dyDescent="0.15">
      <c r="C175" t="s">
        <v>191</v>
      </c>
      <c r="D175" s="5" t="s">
        <v>167</v>
      </c>
      <c r="I175" s="35">
        <f t="shared" si="75"/>
        <v>2502380191.4448662</v>
      </c>
      <c r="J175" s="39">
        <f>J174*$E$167</f>
        <v>0</v>
      </c>
      <c r="K175" s="39">
        <f t="shared" ref="K175:BV175" si="80">K174*$E$167</f>
        <v>0</v>
      </c>
      <c r="L175" s="39">
        <f t="shared" si="80"/>
        <v>0</v>
      </c>
      <c r="M175" s="39">
        <f t="shared" si="80"/>
        <v>0</v>
      </c>
      <c r="N175" s="39">
        <f t="shared" si="80"/>
        <v>257663041.60267299</v>
      </c>
      <c r="O175" s="39">
        <f t="shared" si="80"/>
        <v>289134881.61495107</v>
      </c>
      <c r="P175" s="39">
        <f t="shared" si="80"/>
        <v>293930709.84433436</v>
      </c>
      <c r="Q175" s="39">
        <f t="shared" si="80"/>
        <v>289796719.5293076</v>
      </c>
      <c r="R175" s="39">
        <f t="shared" si="80"/>
        <v>367655698.15158939</v>
      </c>
      <c r="S175" s="39">
        <f t="shared" si="80"/>
        <v>164021089.42522219</v>
      </c>
      <c r="T175" s="39">
        <f t="shared" si="80"/>
        <v>188053117.06622279</v>
      </c>
      <c r="U175" s="39">
        <f t="shared" si="80"/>
        <v>211930353.26879132</v>
      </c>
      <c r="V175" s="39">
        <f t="shared" si="80"/>
        <v>176913012.63919231</v>
      </c>
      <c r="W175" s="39">
        <f t="shared" si="80"/>
        <v>185454953.22811469</v>
      </c>
      <c r="X175" s="39">
        <f t="shared" si="80"/>
        <v>77826615.074467897</v>
      </c>
      <c r="Y175" s="39">
        <f t="shared" si="80"/>
        <v>0</v>
      </c>
      <c r="Z175" s="39">
        <f t="shared" si="80"/>
        <v>0</v>
      </c>
      <c r="AA175" s="39">
        <f t="shared" si="80"/>
        <v>0</v>
      </c>
      <c r="AB175" s="39">
        <f t="shared" si="80"/>
        <v>0</v>
      </c>
      <c r="AC175" s="39">
        <f t="shared" si="80"/>
        <v>0</v>
      </c>
      <c r="AD175" s="39">
        <f t="shared" si="80"/>
        <v>0</v>
      </c>
      <c r="AE175" s="39">
        <f t="shared" si="80"/>
        <v>0</v>
      </c>
      <c r="AF175" s="39">
        <f t="shared" si="80"/>
        <v>0</v>
      </c>
      <c r="AG175" s="39">
        <f t="shared" si="80"/>
        <v>0</v>
      </c>
      <c r="AH175" s="39">
        <f t="shared" si="80"/>
        <v>0</v>
      </c>
      <c r="AI175" s="39">
        <f t="shared" si="80"/>
        <v>0</v>
      </c>
      <c r="AJ175" s="39">
        <f t="shared" si="80"/>
        <v>0</v>
      </c>
      <c r="AK175" s="39">
        <f t="shared" si="80"/>
        <v>0</v>
      </c>
      <c r="AL175" s="39">
        <f t="shared" si="80"/>
        <v>0</v>
      </c>
      <c r="AM175" s="39">
        <f t="shared" si="80"/>
        <v>0</v>
      </c>
      <c r="AN175" s="39">
        <f t="shared" si="80"/>
        <v>0</v>
      </c>
      <c r="AO175" s="39">
        <f t="shared" si="80"/>
        <v>0</v>
      </c>
      <c r="AP175" s="39">
        <f t="shared" si="80"/>
        <v>0</v>
      </c>
      <c r="AQ175" s="39">
        <f t="shared" si="80"/>
        <v>0</v>
      </c>
      <c r="AR175" s="39">
        <f t="shared" si="80"/>
        <v>0</v>
      </c>
      <c r="AS175" s="39">
        <f t="shared" si="80"/>
        <v>0</v>
      </c>
      <c r="AT175" s="39">
        <f t="shared" si="80"/>
        <v>0</v>
      </c>
      <c r="AU175" s="39">
        <f t="shared" si="80"/>
        <v>0</v>
      </c>
      <c r="AV175" s="39">
        <f t="shared" si="80"/>
        <v>0</v>
      </c>
      <c r="AW175" s="39">
        <f t="shared" si="80"/>
        <v>0</v>
      </c>
      <c r="AX175" s="39">
        <f t="shared" si="80"/>
        <v>0</v>
      </c>
      <c r="AY175" s="39">
        <f t="shared" si="80"/>
        <v>0</v>
      </c>
      <c r="AZ175" s="39">
        <f t="shared" si="80"/>
        <v>0</v>
      </c>
      <c r="BA175" s="39">
        <f t="shared" si="80"/>
        <v>0</v>
      </c>
      <c r="BB175" s="39">
        <f t="shared" si="80"/>
        <v>0</v>
      </c>
      <c r="BC175" s="39">
        <f t="shared" si="80"/>
        <v>0</v>
      </c>
      <c r="BD175" s="39">
        <f t="shared" si="80"/>
        <v>0</v>
      </c>
      <c r="BE175" s="39">
        <f t="shared" si="80"/>
        <v>0</v>
      </c>
      <c r="BF175" s="39">
        <f t="shared" si="80"/>
        <v>0</v>
      </c>
      <c r="BG175" s="39">
        <f t="shared" si="80"/>
        <v>0</v>
      </c>
      <c r="BH175" s="39">
        <f t="shared" si="80"/>
        <v>0</v>
      </c>
      <c r="BI175" s="39">
        <f t="shared" si="80"/>
        <v>0</v>
      </c>
      <c r="BJ175" s="39">
        <f t="shared" si="80"/>
        <v>0</v>
      </c>
      <c r="BK175" s="39">
        <f t="shared" si="80"/>
        <v>0</v>
      </c>
      <c r="BL175" s="39">
        <f t="shared" si="80"/>
        <v>0</v>
      </c>
      <c r="BM175" s="39">
        <f t="shared" si="80"/>
        <v>0</v>
      </c>
      <c r="BN175" s="39">
        <f t="shared" si="80"/>
        <v>0</v>
      </c>
      <c r="BO175" s="39">
        <f t="shared" si="80"/>
        <v>0</v>
      </c>
      <c r="BP175" s="39">
        <f t="shared" si="80"/>
        <v>0</v>
      </c>
      <c r="BQ175" s="39">
        <f t="shared" si="80"/>
        <v>0</v>
      </c>
      <c r="BR175" s="39">
        <f t="shared" si="80"/>
        <v>0</v>
      </c>
      <c r="BS175" s="39">
        <f t="shared" si="80"/>
        <v>0</v>
      </c>
      <c r="BT175" s="39">
        <f t="shared" si="80"/>
        <v>0</v>
      </c>
      <c r="BU175" s="39">
        <f t="shared" si="80"/>
        <v>0</v>
      </c>
      <c r="BV175" s="39">
        <f t="shared" si="80"/>
        <v>0</v>
      </c>
      <c r="BW175" s="39">
        <f t="shared" ref="BW175:DM175" si="81">BW174*$E$167</f>
        <v>0</v>
      </c>
      <c r="BX175" s="39">
        <f t="shared" si="81"/>
        <v>0</v>
      </c>
      <c r="BY175" s="39">
        <f t="shared" si="81"/>
        <v>0</v>
      </c>
      <c r="BZ175" s="39">
        <f t="shared" si="81"/>
        <v>0</v>
      </c>
      <c r="CA175" s="39">
        <f t="shared" si="81"/>
        <v>0</v>
      </c>
      <c r="CB175" s="39">
        <f t="shared" si="81"/>
        <v>0</v>
      </c>
      <c r="CC175" s="39">
        <f t="shared" si="81"/>
        <v>0</v>
      </c>
      <c r="CD175" s="39">
        <f t="shared" si="81"/>
        <v>0</v>
      </c>
      <c r="CE175" s="39">
        <f t="shared" si="81"/>
        <v>0</v>
      </c>
      <c r="CF175" s="39">
        <f t="shared" si="81"/>
        <v>0</v>
      </c>
      <c r="CG175" s="39">
        <f t="shared" si="81"/>
        <v>0</v>
      </c>
      <c r="CH175" s="39">
        <f t="shared" si="81"/>
        <v>0</v>
      </c>
      <c r="CI175" s="39">
        <f t="shared" si="81"/>
        <v>0</v>
      </c>
      <c r="CJ175" s="39">
        <f t="shared" si="81"/>
        <v>0</v>
      </c>
      <c r="CK175" s="39">
        <f t="shared" si="81"/>
        <v>0</v>
      </c>
      <c r="CL175" s="39">
        <f t="shared" si="81"/>
        <v>0</v>
      </c>
      <c r="CM175" s="39">
        <f t="shared" si="81"/>
        <v>0</v>
      </c>
      <c r="CN175" s="39">
        <f t="shared" si="81"/>
        <v>0</v>
      </c>
      <c r="CO175" s="39">
        <f t="shared" si="81"/>
        <v>0</v>
      </c>
      <c r="CP175" s="39">
        <f t="shared" si="81"/>
        <v>0</v>
      </c>
      <c r="CQ175" s="39">
        <f t="shared" si="81"/>
        <v>0</v>
      </c>
      <c r="CR175" s="39">
        <f t="shared" si="81"/>
        <v>0</v>
      </c>
      <c r="CS175" s="39">
        <f t="shared" si="81"/>
        <v>0</v>
      </c>
      <c r="CT175" s="39">
        <f t="shared" si="81"/>
        <v>0</v>
      </c>
      <c r="CU175" s="39">
        <f t="shared" si="81"/>
        <v>0</v>
      </c>
      <c r="CV175" s="39">
        <f t="shared" si="81"/>
        <v>0</v>
      </c>
      <c r="CW175" s="39">
        <f t="shared" si="81"/>
        <v>0</v>
      </c>
      <c r="CX175" s="39">
        <f t="shared" si="81"/>
        <v>0</v>
      </c>
      <c r="CY175" s="39">
        <f t="shared" si="81"/>
        <v>0</v>
      </c>
      <c r="CZ175" s="39">
        <f t="shared" si="81"/>
        <v>0</v>
      </c>
      <c r="DA175" s="39">
        <f t="shared" si="81"/>
        <v>0</v>
      </c>
      <c r="DB175" s="39">
        <f t="shared" si="81"/>
        <v>0</v>
      </c>
      <c r="DC175" s="39">
        <f t="shared" si="81"/>
        <v>0</v>
      </c>
      <c r="DD175" s="39">
        <f t="shared" si="81"/>
        <v>0</v>
      </c>
      <c r="DE175" s="39">
        <f t="shared" si="81"/>
        <v>0</v>
      </c>
      <c r="DF175" s="39">
        <f t="shared" si="81"/>
        <v>0</v>
      </c>
      <c r="DG175" s="39">
        <f t="shared" si="81"/>
        <v>0</v>
      </c>
      <c r="DH175" s="39">
        <f t="shared" si="81"/>
        <v>0</v>
      </c>
      <c r="DI175" s="39">
        <f t="shared" si="81"/>
        <v>0</v>
      </c>
      <c r="DJ175" s="39">
        <f t="shared" si="81"/>
        <v>0</v>
      </c>
      <c r="DK175" s="39">
        <f t="shared" si="81"/>
        <v>0</v>
      </c>
      <c r="DL175" s="39">
        <f t="shared" si="81"/>
        <v>0</v>
      </c>
      <c r="DM175" s="39">
        <f t="shared" si="81"/>
        <v>0</v>
      </c>
    </row>
  </sheetData>
  <conditionalFormatting sqref="J5:DM6">
    <cfRule type="cellIs" dxfId="18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481D9-0593-4D28-A7D6-4ECB73AE8CC0}">
  <sheetPr codeName="Sheet1">
    <tabColor theme="9" tint="-0.249977111117893"/>
    <outlinePr summaryBelow="0"/>
  </sheetPr>
  <dimension ref="A1:EE86"/>
  <sheetViews>
    <sheetView zoomScaleNormal="100" workbookViewId="0">
      <pane xSplit="9" ySplit="1" topLeftCell="J10" activePane="bottomRight" state="frozen"/>
      <selection activeCell="D57" sqref="D57"/>
      <selection pane="topRight" activeCell="D57" sqref="D57"/>
      <selection pane="bottomLeft" activeCell="D57" sqref="D57"/>
      <selection pane="bottomRight" activeCell="K28" sqref="K28"/>
    </sheetView>
  </sheetViews>
  <sheetFormatPr baseColWidth="10" defaultColWidth="0" defaultRowHeight="13" outlineLevelRow="1" x14ac:dyDescent="0.15"/>
  <cols>
    <col min="1" max="2" width="2.6640625" customWidth="1"/>
    <col min="3" max="3" width="38.83203125" customWidth="1"/>
    <col min="4" max="4" width="9.1640625" customWidth="1"/>
    <col min="5" max="5" width="12.5" customWidth="1"/>
    <col min="6" max="6" width="1" customWidth="1"/>
    <col min="7" max="7" width="0.83203125" customWidth="1"/>
    <col min="8" max="8" width="1" customWidth="1"/>
    <col min="9" max="9" width="15.5" customWidth="1"/>
    <col min="10" max="13" width="16.1640625" customWidth="1"/>
    <col min="14" max="22" width="14.5" bestFit="1" customWidth="1"/>
    <col min="23" max="28" width="15" customWidth="1"/>
    <col min="29" max="35" width="15.5" customWidth="1"/>
    <col min="36" max="117" width="15" bestFit="1" customWidth="1"/>
    <col min="118" max="118" width="3.5" customWidth="1"/>
    <col min="119" max="135" width="9.6640625" hidden="1" customWidth="1"/>
    <col min="136" max="16384" width="9.1640625" hidden="1"/>
  </cols>
  <sheetData>
    <row r="1" spans="1:134" ht="23" x14ac:dyDescent="0.25">
      <c r="A1" s="16" t="s">
        <v>127</v>
      </c>
    </row>
    <row r="3" spans="1:134" ht="20" x14ac:dyDescent="0.2">
      <c r="C3" s="4" t="s">
        <v>15</v>
      </c>
    </row>
    <row r="4" spans="1:134" ht="13.5" customHeight="1" outlineLevel="1" x14ac:dyDescent="0.15">
      <c r="C4" t="s">
        <v>85</v>
      </c>
      <c r="D4" s="5" t="s">
        <v>8</v>
      </c>
      <c r="E4" s="17" t="s">
        <v>91</v>
      </c>
      <c r="J4">
        <v>1</v>
      </c>
      <c r="K4">
        <f>J4+1</f>
        <v>2</v>
      </c>
      <c r="L4">
        <f t="shared" ref="L4:BW4" si="0">K4+1</f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>
        <f t="shared" si="0"/>
        <v>31</v>
      </c>
      <c r="AO4">
        <f t="shared" si="0"/>
        <v>32</v>
      </c>
      <c r="AP4">
        <f t="shared" si="0"/>
        <v>33</v>
      </c>
      <c r="AQ4">
        <f t="shared" si="0"/>
        <v>34</v>
      </c>
      <c r="AR4">
        <f t="shared" si="0"/>
        <v>35</v>
      </c>
      <c r="AS4">
        <f t="shared" si="0"/>
        <v>36</v>
      </c>
      <c r="AT4">
        <f t="shared" si="0"/>
        <v>37</v>
      </c>
      <c r="AU4">
        <f t="shared" si="0"/>
        <v>38</v>
      </c>
      <c r="AV4">
        <f t="shared" si="0"/>
        <v>39</v>
      </c>
      <c r="AW4">
        <f t="shared" si="0"/>
        <v>40</v>
      </c>
      <c r="AX4">
        <f t="shared" si="0"/>
        <v>41</v>
      </c>
      <c r="AY4">
        <f t="shared" si="0"/>
        <v>42</v>
      </c>
      <c r="AZ4">
        <f t="shared" si="0"/>
        <v>43</v>
      </c>
      <c r="BA4">
        <f t="shared" si="0"/>
        <v>44</v>
      </c>
      <c r="BB4">
        <f t="shared" si="0"/>
        <v>45</v>
      </c>
      <c r="BC4">
        <f t="shared" si="0"/>
        <v>46</v>
      </c>
      <c r="BD4">
        <f t="shared" si="0"/>
        <v>47</v>
      </c>
      <c r="BE4">
        <f t="shared" si="0"/>
        <v>48</v>
      </c>
      <c r="BF4">
        <f t="shared" si="0"/>
        <v>49</v>
      </c>
      <c r="BG4">
        <f t="shared" si="0"/>
        <v>50</v>
      </c>
      <c r="BH4">
        <f t="shared" si="0"/>
        <v>51</v>
      </c>
      <c r="BI4">
        <f t="shared" si="0"/>
        <v>52</v>
      </c>
      <c r="BJ4">
        <f t="shared" si="0"/>
        <v>53</v>
      </c>
      <c r="BK4">
        <f t="shared" si="0"/>
        <v>54</v>
      </c>
      <c r="BL4">
        <f t="shared" si="0"/>
        <v>55</v>
      </c>
      <c r="BM4">
        <f t="shared" si="0"/>
        <v>56</v>
      </c>
      <c r="BN4">
        <f t="shared" si="0"/>
        <v>57</v>
      </c>
      <c r="BO4">
        <f t="shared" si="0"/>
        <v>58</v>
      </c>
      <c r="BP4">
        <f t="shared" si="0"/>
        <v>59</v>
      </c>
      <c r="BQ4">
        <f t="shared" si="0"/>
        <v>60</v>
      </c>
      <c r="BR4">
        <f t="shared" si="0"/>
        <v>61</v>
      </c>
      <c r="BS4">
        <f t="shared" si="0"/>
        <v>62</v>
      </c>
      <c r="BT4">
        <f t="shared" si="0"/>
        <v>63</v>
      </c>
      <c r="BU4">
        <f t="shared" si="0"/>
        <v>64</v>
      </c>
      <c r="BV4">
        <f t="shared" si="0"/>
        <v>65</v>
      </c>
      <c r="BW4">
        <f t="shared" si="0"/>
        <v>66</v>
      </c>
      <c r="BX4">
        <f t="shared" ref="BX4:DM4" si="1">BW4+1</f>
        <v>67</v>
      </c>
      <c r="BY4">
        <f t="shared" si="1"/>
        <v>68</v>
      </c>
      <c r="BZ4">
        <f t="shared" si="1"/>
        <v>69</v>
      </c>
      <c r="CA4">
        <f t="shared" si="1"/>
        <v>70</v>
      </c>
      <c r="CB4">
        <f t="shared" si="1"/>
        <v>71</v>
      </c>
      <c r="CC4">
        <f t="shared" si="1"/>
        <v>72</v>
      </c>
      <c r="CD4">
        <f t="shared" si="1"/>
        <v>73</v>
      </c>
      <c r="CE4">
        <f t="shared" si="1"/>
        <v>74</v>
      </c>
      <c r="CF4">
        <f t="shared" si="1"/>
        <v>75</v>
      </c>
      <c r="CG4">
        <f t="shared" si="1"/>
        <v>76</v>
      </c>
      <c r="CH4">
        <f t="shared" si="1"/>
        <v>77</v>
      </c>
      <c r="CI4">
        <f t="shared" si="1"/>
        <v>78</v>
      </c>
      <c r="CJ4">
        <f t="shared" si="1"/>
        <v>79</v>
      </c>
      <c r="CK4">
        <f t="shared" si="1"/>
        <v>80</v>
      </c>
      <c r="CL4">
        <f t="shared" si="1"/>
        <v>81</v>
      </c>
      <c r="CM4">
        <f t="shared" si="1"/>
        <v>82</v>
      </c>
      <c r="CN4">
        <f t="shared" si="1"/>
        <v>83</v>
      </c>
      <c r="CO4">
        <f t="shared" si="1"/>
        <v>84</v>
      </c>
      <c r="CP4">
        <f t="shared" si="1"/>
        <v>85</v>
      </c>
      <c r="CQ4">
        <f t="shared" si="1"/>
        <v>86</v>
      </c>
      <c r="CR4">
        <f t="shared" si="1"/>
        <v>87</v>
      </c>
      <c r="CS4">
        <f t="shared" si="1"/>
        <v>88</v>
      </c>
      <c r="CT4">
        <f t="shared" si="1"/>
        <v>89</v>
      </c>
      <c r="CU4">
        <f t="shared" si="1"/>
        <v>90</v>
      </c>
      <c r="CV4">
        <f t="shared" si="1"/>
        <v>91</v>
      </c>
      <c r="CW4">
        <f t="shared" si="1"/>
        <v>92</v>
      </c>
      <c r="CX4">
        <f t="shared" si="1"/>
        <v>93</v>
      </c>
      <c r="CY4">
        <f t="shared" si="1"/>
        <v>94</v>
      </c>
      <c r="CZ4">
        <f t="shared" si="1"/>
        <v>95</v>
      </c>
      <c r="DA4">
        <f t="shared" si="1"/>
        <v>96</v>
      </c>
      <c r="DB4">
        <f t="shared" si="1"/>
        <v>97</v>
      </c>
      <c r="DC4">
        <f t="shared" si="1"/>
        <v>98</v>
      </c>
      <c r="DD4">
        <f t="shared" si="1"/>
        <v>99</v>
      </c>
      <c r="DE4">
        <f t="shared" si="1"/>
        <v>100</v>
      </c>
      <c r="DF4">
        <f t="shared" si="1"/>
        <v>101</v>
      </c>
      <c r="DG4">
        <f t="shared" si="1"/>
        <v>102</v>
      </c>
      <c r="DH4">
        <f t="shared" si="1"/>
        <v>103</v>
      </c>
      <c r="DI4">
        <f t="shared" si="1"/>
        <v>104</v>
      </c>
      <c r="DJ4">
        <f t="shared" si="1"/>
        <v>105</v>
      </c>
      <c r="DK4">
        <f t="shared" si="1"/>
        <v>106</v>
      </c>
      <c r="DL4">
        <f t="shared" si="1"/>
        <v>107</v>
      </c>
      <c r="DM4">
        <f t="shared" si="1"/>
        <v>108</v>
      </c>
    </row>
    <row r="5" spans="1:134" ht="13.5" customHeight="1" outlineLevel="1" x14ac:dyDescent="0.15">
      <c r="C5" t="s">
        <v>90</v>
      </c>
      <c r="D5" s="5" t="s">
        <v>22</v>
      </c>
      <c r="E5" s="8">
        <f>Operations!E5</f>
        <v>4</v>
      </c>
      <c r="J5" s="13">
        <f>IF(J4&lt;=$E$5,1,0)</f>
        <v>1</v>
      </c>
      <c r="K5" s="13">
        <f t="shared" ref="K5:BV5" si="2">IF(K4&lt;=$E$5,1,0)</f>
        <v>1</v>
      </c>
      <c r="L5" s="13">
        <f t="shared" si="2"/>
        <v>1</v>
      </c>
      <c r="M5" s="13">
        <f t="shared" si="2"/>
        <v>1</v>
      </c>
      <c r="N5" s="13">
        <f t="shared" si="2"/>
        <v>0</v>
      </c>
      <c r="O5" s="13">
        <f t="shared" si="2"/>
        <v>0</v>
      </c>
      <c r="P5" s="13">
        <f t="shared" si="2"/>
        <v>0</v>
      </c>
      <c r="Q5" s="13">
        <f t="shared" si="2"/>
        <v>0</v>
      </c>
      <c r="R5" s="13">
        <f t="shared" si="2"/>
        <v>0</v>
      </c>
      <c r="S5" s="13">
        <f t="shared" si="2"/>
        <v>0</v>
      </c>
      <c r="T5" s="13">
        <f t="shared" si="2"/>
        <v>0</v>
      </c>
      <c r="U5" s="13">
        <f t="shared" si="2"/>
        <v>0</v>
      </c>
      <c r="V5" s="13">
        <f t="shared" si="2"/>
        <v>0</v>
      </c>
      <c r="W5" s="13">
        <f t="shared" si="2"/>
        <v>0</v>
      </c>
      <c r="X5" s="13">
        <f t="shared" si="2"/>
        <v>0</v>
      </c>
      <c r="Y5" s="13">
        <f t="shared" si="2"/>
        <v>0</v>
      </c>
      <c r="Z5" s="13">
        <f t="shared" si="2"/>
        <v>0</v>
      </c>
      <c r="AA5" s="13">
        <f t="shared" si="2"/>
        <v>0</v>
      </c>
      <c r="AB5" s="13">
        <f t="shared" si="2"/>
        <v>0</v>
      </c>
      <c r="AC5" s="13">
        <f t="shared" si="2"/>
        <v>0</v>
      </c>
      <c r="AD5" s="13">
        <f t="shared" si="2"/>
        <v>0</v>
      </c>
      <c r="AE5" s="13">
        <f t="shared" si="2"/>
        <v>0</v>
      </c>
      <c r="AF5" s="13">
        <f t="shared" si="2"/>
        <v>0</v>
      </c>
      <c r="AG5" s="13">
        <f t="shared" si="2"/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  <c r="AM5" s="13">
        <f t="shared" si="2"/>
        <v>0</v>
      </c>
      <c r="AN5" s="13">
        <f t="shared" si="2"/>
        <v>0</v>
      </c>
      <c r="AO5" s="13">
        <f t="shared" si="2"/>
        <v>0</v>
      </c>
      <c r="AP5" s="13">
        <f t="shared" si="2"/>
        <v>0</v>
      </c>
      <c r="AQ5" s="13">
        <f t="shared" si="2"/>
        <v>0</v>
      </c>
      <c r="AR5" s="13">
        <f t="shared" si="2"/>
        <v>0</v>
      </c>
      <c r="AS5" s="13">
        <f t="shared" si="2"/>
        <v>0</v>
      </c>
      <c r="AT5" s="13">
        <f t="shared" si="2"/>
        <v>0</v>
      </c>
      <c r="AU5" s="13">
        <f t="shared" si="2"/>
        <v>0</v>
      </c>
      <c r="AV5" s="13">
        <f t="shared" si="2"/>
        <v>0</v>
      </c>
      <c r="AW5" s="13">
        <f t="shared" si="2"/>
        <v>0</v>
      </c>
      <c r="AX5" s="13">
        <f t="shared" si="2"/>
        <v>0</v>
      </c>
      <c r="AY5" s="13">
        <f t="shared" si="2"/>
        <v>0</v>
      </c>
      <c r="AZ5" s="13">
        <f t="shared" si="2"/>
        <v>0</v>
      </c>
      <c r="BA5" s="13">
        <f t="shared" si="2"/>
        <v>0</v>
      </c>
      <c r="BB5" s="13">
        <f t="shared" si="2"/>
        <v>0</v>
      </c>
      <c r="BC5" s="13">
        <f t="shared" si="2"/>
        <v>0</v>
      </c>
      <c r="BD5" s="13">
        <f t="shared" si="2"/>
        <v>0</v>
      </c>
      <c r="BE5" s="13">
        <f t="shared" si="2"/>
        <v>0</v>
      </c>
      <c r="BF5" s="13">
        <f t="shared" si="2"/>
        <v>0</v>
      </c>
      <c r="BG5" s="13">
        <f t="shared" si="2"/>
        <v>0</v>
      </c>
      <c r="BH5" s="13">
        <f t="shared" si="2"/>
        <v>0</v>
      </c>
      <c r="BI5" s="13">
        <f t="shared" si="2"/>
        <v>0</v>
      </c>
      <c r="BJ5" s="13">
        <f t="shared" si="2"/>
        <v>0</v>
      </c>
      <c r="BK5" s="13">
        <f t="shared" si="2"/>
        <v>0</v>
      </c>
      <c r="BL5" s="13">
        <f t="shared" si="2"/>
        <v>0</v>
      </c>
      <c r="BM5" s="13">
        <f t="shared" si="2"/>
        <v>0</v>
      </c>
      <c r="BN5" s="13">
        <f t="shared" si="2"/>
        <v>0</v>
      </c>
      <c r="BO5" s="13">
        <f t="shared" si="2"/>
        <v>0</v>
      </c>
      <c r="BP5" s="13">
        <f t="shared" si="2"/>
        <v>0</v>
      </c>
      <c r="BQ5" s="13">
        <f t="shared" si="2"/>
        <v>0</v>
      </c>
      <c r="BR5" s="13">
        <f t="shared" si="2"/>
        <v>0</v>
      </c>
      <c r="BS5" s="13">
        <f t="shared" si="2"/>
        <v>0</v>
      </c>
      <c r="BT5" s="13">
        <f t="shared" si="2"/>
        <v>0</v>
      </c>
      <c r="BU5" s="13">
        <f t="shared" si="2"/>
        <v>0</v>
      </c>
      <c r="BV5" s="13">
        <f t="shared" si="2"/>
        <v>0</v>
      </c>
      <c r="BW5" s="13">
        <f t="shared" ref="BW5:DM5" si="3">IF(BW4&lt;=$E$5,1,0)</f>
        <v>0</v>
      </c>
      <c r="BX5" s="13">
        <f t="shared" si="3"/>
        <v>0</v>
      </c>
      <c r="BY5" s="13">
        <f t="shared" si="3"/>
        <v>0</v>
      </c>
      <c r="BZ5" s="13">
        <f t="shared" si="3"/>
        <v>0</v>
      </c>
      <c r="CA5" s="13">
        <f t="shared" si="3"/>
        <v>0</v>
      </c>
      <c r="CB5" s="13">
        <f t="shared" si="3"/>
        <v>0</v>
      </c>
      <c r="CC5" s="13">
        <f t="shared" si="3"/>
        <v>0</v>
      </c>
      <c r="CD5" s="13">
        <f t="shared" si="3"/>
        <v>0</v>
      </c>
      <c r="CE5" s="13">
        <f t="shared" si="3"/>
        <v>0</v>
      </c>
      <c r="CF5" s="13">
        <f t="shared" si="3"/>
        <v>0</v>
      </c>
      <c r="CG5" s="13">
        <f t="shared" si="3"/>
        <v>0</v>
      </c>
      <c r="CH5" s="13">
        <f t="shared" si="3"/>
        <v>0</v>
      </c>
      <c r="CI5" s="13">
        <f t="shared" si="3"/>
        <v>0</v>
      </c>
      <c r="CJ5" s="13">
        <f t="shared" si="3"/>
        <v>0</v>
      </c>
      <c r="CK5" s="13">
        <f t="shared" si="3"/>
        <v>0</v>
      </c>
      <c r="CL5" s="13">
        <f t="shared" si="3"/>
        <v>0</v>
      </c>
      <c r="CM5" s="13">
        <f t="shared" si="3"/>
        <v>0</v>
      </c>
      <c r="CN5" s="13">
        <f t="shared" si="3"/>
        <v>0</v>
      </c>
      <c r="CO5" s="13">
        <f t="shared" si="3"/>
        <v>0</v>
      </c>
      <c r="CP5" s="13">
        <f t="shared" si="3"/>
        <v>0</v>
      </c>
      <c r="CQ5" s="13">
        <f t="shared" si="3"/>
        <v>0</v>
      </c>
      <c r="CR5" s="13">
        <f t="shared" si="3"/>
        <v>0</v>
      </c>
      <c r="CS5" s="13">
        <f t="shared" si="3"/>
        <v>0</v>
      </c>
      <c r="CT5" s="13">
        <f t="shared" si="3"/>
        <v>0</v>
      </c>
      <c r="CU5" s="13">
        <f t="shared" si="3"/>
        <v>0</v>
      </c>
      <c r="CV5" s="13">
        <f t="shared" si="3"/>
        <v>0</v>
      </c>
      <c r="CW5" s="13">
        <f t="shared" si="3"/>
        <v>0</v>
      </c>
      <c r="CX5" s="13">
        <f t="shared" si="3"/>
        <v>0</v>
      </c>
      <c r="CY5" s="13">
        <f t="shared" si="3"/>
        <v>0</v>
      </c>
      <c r="CZ5" s="13">
        <f t="shared" si="3"/>
        <v>0</v>
      </c>
      <c r="DA5" s="13">
        <f t="shared" si="3"/>
        <v>0</v>
      </c>
      <c r="DB5" s="13">
        <f t="shared" si="3"/>
        <v>0</v>
      </c>
      <c r="DC5" s="13">
        <f t="shared" si="3"/>
        <v>0</v>
      </c>
      <c r="DD5" s="13">
        <f t="shared" si="3"/>
        <v>0</v>
      </c>
      <c r="DE5" s="13">
        <f t="shared" si="3"/>
        <v>0</v>
      </c>
      <c r="DF5" s="13">
        <f t="shared" si="3"/>
        <v>0</v>
      </c>
      <c r="DG5" s="13">
        <f t="shared" si="3"/>
        <v>0</v>
      </c>
      <c r="DH5" s="13">
        <f t="shared" si="3"/>
        <v>0</v>
      </c>
      <c r="DI5" s="13">
        <f t="shared" si="3"/>
        <v>0</v>
      </c>
      <c r="DJ5" s="13">
        <f t="shared" si="3"/>
        <v>0</v>
      </c>
      <c r="DK5" s="13">
        <f t="shared" si="3"/>
        <v>0</v>
      </c>
      <c r="DL5" s="13">
        <f t="shared" si="3"/>
        <v>0</v>
      </c>
      <c r="DM5" s="13">
        <f t="shared" si="3"/>
        <v>0</v>
      </c>
    </row>
    <row r="6" spans="1:134" outlineLevel="1" x14ac:dyDescent="0.15">
      <c r="C6" t="s">
        <v>86</v>
      </c>
      <c r="D6" s="5" t="s">
        <v>22</v>
      </c>
      <c r="E6" s="8">
        <f>Operations!E6</f>
        <v>11</v>
      </c>
      <c r="J6" s="13">
        <f>IF(AND(J4&gt;$E$5,J4&lt;=$E$6+$E$5),1,0)</f>
        <v>0</v>
      </c>
      <c r="K6" s="13">
        <f t="shared" ref="K6:BV6" si="4">IF(AND(K4&gt;$E$5,K4&lt;=$E$6+$E$5),1,0)</f>
        <v>0</v>
      </c>
      <c r="L6" s="13">
        <f t="shared" si="4"/>
        <v>0</v>
      </c>
      <c r="M6" s="13">
        <f t="shared" si="4"/>
        <v>0</v>
      </c>
      <c r="N6" s="13">
        <f t="shared" si="4"/>
        <v>1</v>
      </c>
      <c r="O6" s="13">
        <f t="shared" si="4"/>
        <v>1</v>
      </c>
      <c r="P6" s="13">
        <f t="shared" si="4"/>
        <v>1</v>
      </c>
      <c r="Q6" s="13">
        <f t="shared" si="4"/>
        <v>1</v>
      </c>
      <c r="R6" s="13">
        <f t="shared" si="4"/>
        <v>1</v>
      </c>
      <c r="S6" s="13">
        <f t="shared" si="4"/>
        <v>1</v>
      </c>
      <c r="T6" s="13">
        <f t="shared" si="4"/>
        <v>1</v>
      </c>
      <c r="U6" s="13">
        <f t="shared" si="4"/>
        <v>1</v>
      </c>
      <c r="V6" s="13">
        <f t="shared" si="4"/>
        <v>1</v>
      </c>
      <c r="W6" s="13">
        <f t="shared" si="4"/>
        <v>1</v>
      </c>
      <c r="X6" s="13">
        <f t="shared" si="4"/>
        <v>1</v>
      </c>
      <c r="Y6" s="13">
        <f t="shared" si="4"/>
        <v>0</v>
      </c>
      <c r="Z6" s="13">
        <f t="shared" si="4"/>
        <v>0</v>
      </c>
      <c r="AA6" s="13">
        <f t="shared" si="4"/>
        <v>0</v>
      </c>
      <c r="AB6" s="13">
        <f t="shared" si="4"/>
        <v>0</v>
      </c>
      <c r="AC6" s="13">
        <f t="shared" si="4"/>
        <v>0</v>
      </c>
      <c r="AD6" s="13">
        <f t="shared" si="4"/>
        <v>0</v>
      </c>
      <c r="AE6" s="13">
        <f t="shared" si="4"/>
        <v>0</v>
      </c>
      <c r="AF6" s="13">
        <f t="shared" si="4"/>
        <v>0</v>
      </c>
      <c r="AG6" s="13">
        <f t="shared" si="4"/>
        <v>0</v>
      </c>
      <c r="AH6" s="13">
        <f t="shared" si="4"/>
        <v>0</v>
      </c>
      <c r="AI6" s="13">
        <f t="shared" si="4"/>
        <v>0</v>
      </c>
      <c r="AJ6" s="13">
        <f t="shared" si="4"/>
        <v>0</v>
      </c>
      <c r="AK6" s="13">
        <f t="shared" si="4"/>
        <v>0</v>
      </c>
      <c r="AL6" s="13">
        <f t="shared" si="4"/>
        <v>0</v>
      </c>
      <c r="AM6" s="13">
        <f t="shared" si="4"/>
        <v>0</v>
      </c>
      <c r="AN6" s="13">
        <f t="shared" si="4"/>
        <v>0</v>
      </c>
      <c r="AO6" s="13">
        <f t="shared" si="4"/>
        <v>0</v>
      </c>
      <c r="AP6" s="13">
        <f t="shared" si="4"/>
        <v>0</v>
      </c>
      <c r="AQ6" s="13">
        <f t="shared" si="4"/>
        <v>0</v>
      </c>
      <c r="AR6" s="13">
        <f t="shared" si="4"/>
        <v>0</v>
      </c>
      <c r="AS6" s="13">
        <f t="shared" si="4"/>
        <v>0</v>
      </c>
      <c r="AT6" s="13">
        <f t="shared" si="4"/>
        <v>0</v>
      </c>
      <c r="AU6" s="13">
        <f t="shared" si="4"/>
        <v>0</v>
      </c>
      <c r="AV6" s="13">
        <f t="shared" si="4"/>
        <v>0</v>
      </c>
      <c r="AW6" s="13">
        <f t="shared" si="4"/>
        <v>0</v>
      </c>
      <c r="AX6" s="13">
        <f t="shared" si="4"/>
        <v>0</v>
      </c>
      <c r="AY6" s="13">
        <f t="shared" si="4"/>
        <v>0</v>
      </c>
      <c r="AZ6" s="13">
        <f t="shared" si="4"/>
        <v>0</v>
      </c>
      <c r="BA6" s="13">
        <f t="shared" si="4"/>
        <v>0</v>
      </c>
      <c r="BB6" s="13">
        <f t="shared" si="4"/>
        <v>0</v>
      </c>
      <c r="BC6" s="13">
        <f t="shared" si="4"/>
        <v>0</v>
      </c>
      <c r="BD6" s="13">
        <f t="shared" si="4"/>
        <v>0</v>
      </c>
      <c r="BE6" s="13">
        <f t="shared" si="4"/>
        <v>0</v>
      </c>
      <c r="BF6" s="13">
        <f t="shared" si="4"/>
        <v>0</v>
      </c>
      <c r="BG6" s="13">
        <f t="shared" si="4"/>
        <v>0</v>
      </c>
      <c r="BH6" s="13">
        <f t="shared" si="4"/>
        <v>0</v>
      </c>
      <c r="BI6" s="13">
        <f t="shared" si="4"/>
        <v>0</v>
      </c>
      <c r="BJ6" s="13">
        <f t="shared" si="4"/>
        <v>0</v>
      </c>
      <c r="BK6" s="13">
        <f t="shared" si="4"/>
        <v>0</v>
      </c>
      <c r="BL6" s="13">
        <f t="shared" si="4"/>
        <v>0</v>
      </c>
      <c r="BM6" s="13">
        <f t="shared" si="4"/>
        <v>0</v>
      </c>
      <c r="BN6" s="13">
        <f t="shared" si="4"/>
        <v>0</v>
      </c>
      <c r="BO6" s="13">
        <f t="shared" si="4"/>
        <v>0</v>
      </c>
      <c r="BP6" s="13">
        <f t="shared" si="4"/>
        <v>0</v>
      </c>
      <c r="BQ6" s="13">
        <f t="shared" si="4"/>
        <v>0</v>
      </c>
      <c r="BR6" s="13">
        <f t="shared" si="4"/>
        <v>0</v>
      </c>
      <c r="BS6" s="13">
        <f t="shared" si="4"/>
        <v>0</v>
      </c>
      <c r="BT6" s="13">
        <f t="shared" si="4"/>
        <v>0</v>
      </c>
      <c r="BU6" s="13">
        <f t="shared" si="4"/>
        <v>0</v>
      </c>
      <c r="BV6" s="13">
        <f t="shared" si="4"/>
        <v>0</v>
      </c>
      <c r="BW6" s="13">
        <f t="shared" ref="BW6:DM6" si="5">IF(AND(BW4&gt;$E$5,BW4&lt;=$E$6+$E$5),1,0)</f>
        <v>0</v>
      </c>
      <c r="BX6" s="13">
        <f t="shared" si="5"/>
        <v>0</v>
      </c>
      <c r="BY6" s="13">
        <f t="shared" si="5"/>
        <v>0</v>
      </c>
      <c r="BZ6" s="13">
        <f t="shared" si="5"/>
        <v>0</v>
      </c>
      <c r="CA6" s="13">
        <f t="shared" si="5"/>
        <v>0</v>
      </c>
      <c r="CB6" s="13">
        <f t="shared" si="5"/>
        <v>0</v>
      </c>
      <c r="CC6" s="13">
        <f t="shared" si="5"/>
        <v>0</v>
      </c>
      <c r="CD6" s="13">
        <f t="shared" si="5"/>
        <v>0</v>
      </c>
      <c r="CE6" s="13">
        <f t="shared" si="5"/>
        <v>0</v>
      </c>
      <c r="CF6" s="13">
        <f t="shared" si="5"/>
        <v>0</v>
      </c>
      <c r="CG6" s="13">
        <f t="shared" si="5"/>
        <v>0</v>
      </c>
      <c r="CH6" s="13">
        <f t="shared" si="5"/>
        <v>0</v>
      </c>
      <c r="CI6" s="13">
        <f t="shared" si="5"/>
        <v>0</v>
      </c>
      <c r="CJ6" s="13">
        <f t="shared" si="5"/>
        <v>0</v>
      </c>
      <c r="CK6" s="13">
        <f t="shared" si="5"/>
        <v>0</v>
      </c>
      <c r="CL6" s="13">
        <f t="shared" si="5"/>
        <v>0</v>
      </c>
      <c r="CM6" s="13">
        <f t="shared" si="5"/>
        <v>0</v>
      </c>
      <c r="CN6" s="13">
        <f t="shared" si="5"/>
        <v>0</v>
      </c>
      <c r="CO6" s="13">
        <f t="shared" si="5"/>
        <v>0</v>
      </c>
      <c r="CP6" s="13">
        <f t="shared" si="5"/>
        <v>0</v>
      </c>
      <c r="CQ6" s="13">
        <f t="shared" si="5"/>
        <v>0</v>
      </c>
      <c r="CR6" s="13">
        <f t="shared" si="5"/>
        <v>0</v>
      </c>
      <c r="CS6" s="13">
        <f t="shared" si="5"/>
        <v>0</v>
      </c>
      <c r="CT6" s="13">
        <f t="shared" si="5"/>
        <v>0</v>
      </c>
      <c r="CU6" s="13">
        <f t="shared" si="5"/>
        <v>0</v>
      </c>
      <c r="CV6" s="13">
        <f t="shared" si="5"/>
        <v>0</v>
      </c>
      <c r="CW6" s="13">
        <f t="shared" si="5"/>
        <v>0</v>
      </c>
      <c r="CX6" s="13">
        <f t="shared" si="5"/>
        <v>0</v>
      </c>
      <c r="CY6" s="13">
        <f t="shared" si="5"/>
        <v>0</v>
      </c>
      <c r="CZ6" s="13">
        <f t="shared" si="5"/>
        <v>0</v>
      </c>
      <c r="DA6" s="13">
        <f t="shared" si="5"/>
        <v>0</v>
      </c>
      <c r="DB6" s="13">
        <f t="shared" si="5"/>
        <v>0</v>
      </c>
      <c r="DC6" s="13">
        <f t="shared" si="5"/>
        <v>0</v>
      </c>
      <c r="DD6" s="13">
        <f t="shared" si="5"/>
        <v>0</v>
      </c>
      <c r="DE6" s="13">
        <f t="shared" si="5"/>
        <v>0</v>
      </c>
      <c r="DF6" s="13">
        <f t="shared" si="5"/>
        <v>0</v>
      </c>
      <c r="DG6" s="13">
        <f t="shared" si="5"/>
        <v>0</v>
      </c>
      <c r="DH6" s="13">
        <f t="shared" si="5"/>
        <v>0</v>
      </c>
      <c r="DI6" s="13">
        <f t="shared" si="5"/>
        <v>0</v>
      </c>
      <c r="DJ6" s="13">
        <f t="shared" si="5"/>
        <v>0</v>
      </c>
      <c r="DK6" s="13">
        <f t="shared" si="5"/>
        <v>0</v>
      </c>
      <c r="DL6" s="13">
        <f t="shared" si="5"/>
        <v>0</v>
      </c>
      <c r="DM6" s="13">
        <f t="shared" si="5"/>
        <v>0</v>
      </c>
    </row>
    <row r="8" spans="1:134" ht="20" x14ac:dyDescent="0.2">
      <c r="C8" s="4" t="s">
        <v>101</v>
      </c>
    </row>
    <row r="9" spans="1:134" ht="14" outlineLevel="1" x14ac:dyDescent="0.15">
      <c r="C9" s="2" t="s">
        <v>64</v>
      </c>
      <c r="D9" s="5"/>
    </row>
    <row r="10" spans="1:134" outlineLevel="1" x14ac:dyDescent="0.15">
      <c r="C10" t="s">
        <v>89</v>
      </c>
      <c r="D10" s="5" t="s">
        <v>167</v>
      </c>
      <c r="I10" s="35">
        <f t="shared" ref="I10:I12" si="6">SUM(J10:DM10)</f>
        <v>25384207333.333332</v>
      </c>
      <c r="J10" s="19">
        <f>Operations!J69</f>
        <v>0</v>
      </c>
      <c r="K10" s="19">
        <f>Operations!K69</f>
        <v>0</v>
      </c>
      <c r="L10" s="19">
        <f>Operations!L69</f>
        <v>0</v>
      </c>
      <c r="M10" s="19">
        <f>Operations!M69</f>
        <v>0</v>
      </c>
      <c r="N10" s="19">
        <f>Operations!N69</f>
        <v>2836526000</v>
      </c>
      <c r="O10" s="19">
        <f>Operations!O69</f>
        <v>3157744666.6666665</v>
      </c>
      <c r="P10" s="19">
        <f>Operations!P69</f>
        <v>3228812666.6666665</v>
      </c>
      <c r="Q10" s="19">
        <f>Operations!Q69</f>
        <v>3223488000</v>
      </c>
      <c r="R10" s="19">
        <f>Operations!R69</f>
        <v>3224031333.3333335</v>
      </c>
      <c r="S10" s="19">
        <f>Operations!S69</f>
        <v>1688027999.9999998</v>
      </c>
      <c r="T10" s="19">
        <f>Operations!T69</f>
        <v>1823970000</v>
      </c>
      <c r="U10" s="19">
        <f>Operations!U69</f>
        <v>1967844666.6666667</v>
      </c>
      <c r="V10" s="19">
        <f>Operations!V69</f>
        <v>1673249333.333333</v>
      </c>
      <c r="W10" s="19">
        <f>Operations!W69</f>
        <v>1711500000.0000002</v>
      </c>
      <c r="X10" s="19">
        <f>Operations!X69</f>
        <v>849012666.66666663</v>
      </c>
      <c r="Y10" s="19">
        <f>Operations!Y69</f>
        <v>0</v>
      </c>
      <c r="Z10" s="19">
        <f>Operations!Z69</f>
        <v>0</v>
      </c>
      <c r="AA10" s="19">
        <f>Operations!AA69</f>
        <v>0</v>
      </c>
      <c r="AB10" s="19">
        <f>Operations!AB69</f>
        <v>0</v>
      </c>
      <c r="AC10" s="19">
        <f>Operations!AC69</f>
        <v>0</v>
      </c>
      <c r="AD10" s="19">
        <f>Operations!AD69</f>
        <v>0</v>
      </c>
      <c r="AE10" s="19">
        <f>Operations!AE69</f>
        <v>0</v>
      </c>
      <c r="AF10" s="19">
        <f>Operations!AF69</f>
        <v>0</v>
      </c>
      <c r="AG10" s="19">
        <f>Operations!AG69</f>
        <v>0</v>
      </c>
      <c r="AH10" s="19">
        <f>Operations!AH69</f>
        <v>0</v>
      </c>
      <c r="AI10" s="19">
        <f>Operations!AI69</f>
        <v>0</v>
      </c>
      <c r="AJ10" s="19">
        <f>Operations!AJ69</f>
        <v>0</v>
      </c>
      <c r="AK10" s="19">
        <f>Operations!AK69</f>
        <v>0</v>
      </c>
      <c r="AL10" s="19">
        <f>Operations!AL69</f>
        <v>0</v>
      </c>
      <c r="AM10" s="19">
        <f>Operations!AM69</f>
        <v>0</v>
      </c>
      <c r="AN10" s="19">
        <f>Operations!AN69</f>
        <v>0</v>
      </c>
      <c r="AO10" s="19">
        <f>Operations!AO69</f>
        <v>0</v>
      </c>
      <c r="AP10" s="19">
        <f>Operations!AP69</f>
        <v>0</v>
      </c>
      <c r="AQ10" s="19">
        <f>Operations!AQ69</f>
        <v>0</v>
      </c>
      <c r="AR10" s="19">
        <f>Operations!AR69</f>
        <v>0</v>
      </c>
      <c r="AS10" s="19">
        <f>Operations!AS69</f>
        <v>0</v>
      </c>
      <c r="AT10" s="19">
        <f>Operations!AT69</f>
        <v>0</v>
      </c>
      <c r="AU10" s="19">
        <f>Operations!AU69</f>
        <v>0</v>
      </c>
      <c r="AV10" s="19">
        <f>Operations!AV69</f>
        <v>0</v>
      </c>
      <c r="AW10" s="19">
        <f>Operations!AW69</f>
        <v>0</v>
      </c>
      <c r="AX10" s="19">
        <f>Operations!AX69</f>
        <v>0</v>
      </c>
      <c r="AY10" s="19">
        <f>Operations!AY69</f>
        <v>0</v>
      </c>
      <c r="AZ10" s="19">
        <f>Operations!AZ69</f>
        <v>0</v>
      </c>
      <c r="BA10" s="19">
        <f>Operations!BA69</f>
        <v>0</v>
      </c>
      <c r="BB10" s="19">
        <f>Operations!BB69</f>
        <v>0</v>
      </c>
      <c r="BC10" s="19">
        <f>Operations!BC69</f>
        <v>0</v>
      </c>
      <c r="BD10" s="19">
        <f>Operations!BD69</f>
        <v>0</v>
      </c>
      <c r="BE10" s="19">
        <f>Operations!BE69</f>
        <v>0</v>
      </c>
      <c r="BF10" s="19">
        <f>Operations!BF69</f>
        <v>0</v>
      </c>
      <c r="BG10" s="19">
        <f>Operations!BG69</f>
        <v>0</v>
      </c>
      <c r="BH10" s="19">
        <f>Operations!BH69</f>
        <v>0</v>
      </c>
      <c r="BI10" s="19">
        <f>Operations!BI69</f>
        <v>0</v>
      </c>
      <c r="BJ10" s="19">
        <f>Operations!BJ69</f>
        <v>0</v>
      </c>
      <c r="BK10" s="19">
        <f>Operations!BK69</f>
        <v>0</v>
      </c>
      <c r="BL10" s="19">
        <f>Operations!BL69</f>
        <v>0</v>
      </c>
      <c r="BM10" s="19">
        <f>Operations!BM69</f>
        <v>0</v>
      </c>
      <c r="BN10" s="19">
        <f>Operations!BN69</f>
        <v>0</v>
      </c>
      <c r="BO10" s="19">
        <f>Operations!BO69</f>
        <v>0</v>
      </c>
      <c r="BP10" s="19">
        <f>Operations!BP69</f>
        <v>0</v>
      </c>
      <c r="BQ10" s="19">
        <f>Operations!BQ69</f>
        <v>0</v>
      </c>
      <c r="BR10" s="19">
        <f>Operations!BR69</f>
        <v>0</v>
      </c>
      <c r="BS10" s="19">
        <f>Operations!BS69</f>
        <v>0</v>
      </c>
      <c r="BT10" s="19">
        <f>Operations!BT69</f>
        <v>0</v>
      </c>
      <c r="BU10" s="19">
        <f>Operations!BU69</f>
        <v>0</v>
      </c>
      <c r="BV10" s="19">
        <f>Operations!BV69</f>
        <v>0</v>
      </c>
      <c r="BW10" s="19">
        <f>Operations!BW69</f>
        <v>0</v>
      </c>
      <c r="BX10" s="19">
        <f>Operations!BX69</f>
        <v>0</v>
      </c>
      <c r="BY10" s="19">
        <f>Operations!BY69</f>
        <v>0</v>
      </c>
      <c r="BZ10" s="19">
        <f>Operations!BZ69</f>
        <v>0</v>
      </c>
      <c r="CA10" s="19">
        <f>Operations!CA69</f>
        <v>0</v>
      </c>
      <c r="CB10" s="19">
        <f>Operations!CB69</f>
        <v>0</v>
      </c>
      <c r="CC10" s="19">
        <f>Operations!CC69</f>
        <v>0</v>
      </c>
      <c r="CD10" s="19">
        <f>Operations!CD69</f>
        <v>0</v>
      </c>
      <c r="CE10" s="19">
        <f>Operations!CE69</f>
        <v>0</v>
      </c>
      <c r="CF10" s="19">
        <f>Operations!CF69</f>
        <v>0</v>
      </c>
      <c r="CG10" s="19">
        <f>Operations!CG69</f>
        <v>0</v>
      </c>
      <c r="CH10" s="19">
        <f>Operations!CH69</f>
        <v>0</v>
      </c>
      <c r="CI10" s="19">
        <f>Operations!CI69</f>
        <v>0</v>
      </c>
      <c r="CJ10" s="19">
        <f>Operations!CJ69</f>
        <v>0</v>
      </c>
      <c r="CK10" s="19">
        <f>Operations!CK69</f>
        <v>0</v>
      </c>
      <c r="CL10" s="19">
        <f>Operations!CL69</f>
        <v>0</v>
      </c>
      <c r="CM10" s="19">
        <f>Operations!CM69</f>
        <v>0</v>
      </c>
      <c r="CN10" s="19">
        <f>Operations!CN69</f>
        <v>0</v>
      </c>
      <c r="CO10" s="19">
        <f>Operations!CO69</f>
        <v>0</v>
      </c>
      <c r="CP10" s="19">
        <f>Operations!CP69</f>
        <v>0</v>
      </c>
      <c r="CQ10" s="19">
        <f>Operations!CQ69</f>
        <v>0</v>
      </c>
      <c r="CR10" s="19">
        <f>Operations!CR69</f>
        <v>0</v>
      </c>
      <c r="CS10" s="19">
        <f>Operations!CS69</f>
        <v>0</v>
      </c>
      <c r="CT10" s="19">
        <f>Operations!CT69</f>
        <v>0</v>
      </c>
      <c r="CU10" s="19">
        <f>Operations!CU69</f>
        <v>0</v>
      </c>
      <c r="CV10" s="19">
        <f>Operations!CV69</f>
        <v>0</v>
      </c>
      <c r="CW10" s="19">
        <f>Operations!CW69</f>
        <v>0</v>
      </c>
      <c r="CX10" s="19">
        <f>Operations!CX69</f>
        <v>0</v>
      </c>
      <c r="CY10" s="19">
        <f>Operations!CY69</f>
        <v>0</v>
      </c>
      <c r="CZ10" s="19">
        <f>Operations!CZ69</f>
        <v>0</v>
      </c>
      <c r="DA10" s="19">
        <f>Operations!DA69</f>
        <v>0</v>
      </c>
      <c r="DB10" s="19">
        <f>Operations!DB69</f>
        <v>0</v>
      </c>
      <c r="DC10" s="19">
        <f>Operations!DC69</f>
        <v>0</v>
      </c>
      <c r="DD10" s="19">
        <f>Operations!DD69</f>
        <v>0</v>
      </c>
      <c r="DE10" s="19">
        <f>Operations!DE69</f>
        <v>0</v>
      </c>
      <c r="DF10" s="19">
        <f>Operations!DF69</f>
        <v>0</v>
      </c>
      <c r="DG10" s="19">
        <f>Operations!DG69</f>
        <v>0</v>
      </c>
      <c r="DH10" s="19">
        <f>Operations!DH69</f>
        <v>0</v>
      </c>
      <c r="DI10" s="19">
        <f>Operations!DI69</f>
        <v>0</v>
      </c>
      <c r="DJ10" s="19">
        <f>Operations!DJ69</f>
        <v>0</v>
      </c>
      <c r="DK10" s="19">
        <f>Operations!DK69</f>
        <v>0</v>
      </c>
      <c r="DL10" s="19">
        <f>Operations!DL69</f>
        <v>0</v>
      </c>
      <c r="DM10" s="19">
        <f>Operations!DM69</f>
        <v>0</v>
      </c>
    </row>
    <row r="11" spans="1:134" outlineLevel="1" x14ac:dyDescent="0.15">
      <c r="C11" t="s">
        <v>58</v>
      </c>
      <c r="D11" s="5" t="s">
        <v>167</v>
      </c>
      <c r="I11" s="35">
        <f t="shared" si="6"/>
        <v>0</v>
      </c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  <c r="DE11" s="49"/>
      <c r="DF11" s="49"/>
      <c r="DG11" s="49"/>
      <c r="DH11" s="49"/>
      <c r="DI11" s="49"/>
      <c r="DJ11" s="49"/>
      <c r="DK11" s="49"/>
      <c r="DL11" s="49"/>
      <c r="DM11" s="49"/>
    </row>
    <row r="12" spans="1:134" outlineLevel="1" x14ac:dyDescent="0.15">
      <c r="C12" t="s">
        <v>64</v>
      </c>
      <c r="D12" s="5" t="s">
        <v>167</v>
      </c>
      <c r="I12" s="35">
        <f t="shared" si="6"/>
        <v>25384207333.333332</v>
      </c>
      <c r="J12" s="38">
        <f>SUM(J10:J11)</f>
        <v>0</v>
      </c>
      <c r="K12" s="38">
        <f t="shared" ref="K12:BV12" si="7">SUM(K10:K11)</f>
        <v>0</v>
      </c>
      <c r="L12" s="38">
        <f t="shared" si="7"/>
        <v>0</v>
      </c>
      <c r="M12" s="38">
        <f t="shared" si="7"/>
        <v>0</v>
      </c>
      <c r="N12" s="38">
        <f t="shared" si="7"/>
        <v>2836526000</v>
      </c>
      <c r="O12" s="38">
        <f t="shared" si="7"/>
        <v>3157744666.6666665</v>
      </c>
      <c r="P12" s="38">
        <f t="shared" si="7"/>
        <v>3228812666.6666665</v>
      </c>
      <c r="Q12" s="38">
        <f t="shared" si="7"/>
        <v>3223488000</v>
      </c>
      <c r="R12" s="38">
        <f t="shared" si="7"/>
        <v>3224031333.3333335</v>
      </c>
      <c r="S12" s="38">
        <f t="shared" si="7"/>
        <v>1688027999.9999998</v>
      </c>
      <c r="T12" s="38">
        <f t="shared" si="7"/>
        <v>1823970000</v>
      </c>
      <c r="U12" s="38">
        <f t="shared" si="7"/>
        <v>1967844666.6666667</v>
      </c>
      <c r="V12" s="38">
        <f t="shared" si="7"/>
        <v>1673249333.333333</v>
      </c>
      <c r="W12" s="38">
        <f t="shared" si="7"/>
        <v>1711500000.0000002</v>
      </c>
      <c r="X12" s="38">
        <f t="shared" si="7"/>
        <v>849012666.66666663</v>
      </c>
      <c r="Y12" s="38">
        <f t="shared" si="7"/>
        <v>0</v>
      </c>
      <c r="Z12" s="38">
        <f t="shared" si="7"/>
        <v>0</v>
      </c>
      <c r="AA12" s="38">
        <f t="shared" si="7"/>
        <v>0</v>
      </c>
      <c r="AB12" s="38">
        <f t="shared" si="7"/>
        <v>0</v>
      </c>
      <c r="AC12" s="38">
        <f t="shared" si="7"/>
        <v>0</v>
      </c>
      <c r="AD12" s="38">
        <f t="shared" si="7"/>
        <v>0</v>
      </c>
      <c r="AE12" s="38">
        <f t="shared" si="7"/>
        <v>0</v>
      </c>
      <c r="AF12" s="38">
        <f t="shared" si="7"/>
        <v>0</v>
      </c>
      <c r="AG12" s="38">
        <f t="shared" si="7"/>
        <v>0</v>
      </c>
      <c r="AH12" s="38">
        <f t="shared" si="7"/>
        <v>0</v>
      </c>
      <c r="AI12" s="38">
        <f t="shared" si="7"/>
        <v>0</v>
      </c>
      <c r="AJ12" s="38">
        <f t="shared" si="7"/>
        <v>0</v>
      </c>
      <c r="AK12" s="38">
        <f t="shared" si="7"/>
        <v>0</v>
      </c>
      <c r="AL12" s="38">
        <f t="shared" si="7"/>
        <v>0</v>
      </c>
      <c r="AM12" s="38">
        <f t="shared" si="7"/>
        <v>0</v>
      </c>
      <c r="AN12" s="38">
        <f t="shared" si="7"/>
        <v>0</v>
      </c>
      <c r="AO12" s="38">
        <f t="shared" si="7"/>
        <v>0</v>
      </c>
      <c r="AP12" s="38">
        <f t="shared" si="7"/>
        <v>0</v>
      </c>
      <c r="AQ12" s="38">
        <f t="shared" si="7"/>
        <v>0</v>
      </c>
      <c r="AR12" s="38">
        <f t="shared" si="7"/>
        <v>0</v>
      </c>
      <c r="AS12" s="38">
        <f t="shared" si="7"/>
        <v>0</v>
      </c>
      <c r="AT12" s="38">
        <f t="shared" si="7"/>
        <v>0</v>
      </c>
      <c r="AU12" s="38">
        <f t="shared" si="7"/>
        <v>0</v>
      </c>
      <c r="AV12" s="38">
        <f t="shared" si="7"/>
        <v>0</v>
      </c>
      <c r="AW12" s="38">
        <f t="shared" si="7"/>
        <v>0</v>
      </c>
      <c r="AX12" s="38">
        <f t="shared" si="7"/>
        <v>0</v>
      </c>
      <c r="AY12" s="38">
        <f t="shared" si="7"/>
        <v>0</v>
      </c>
      <c r="AZ12" s="38">
        <f t="shared" si="7"/>
        <v>0</v>
      </c>
      <c r="BA12" s="38">
        <f t="shared" si="7"/>
        <v>0</v>
      </c>
      <c r="BB12" s="38">
        <f t="shared" si="7"/>
        <v>0</v>
      </c>
      <c r="BC12" s="38">
        <f t="shared" si="7"/>
        <v>0</v>
      </c>
      <c r="BD12" s="38">
        <f t="shared" si="7"/>
        <v>0</v>
      </c>
      <c r="BE12" s="38">
        <f t="shared" si="7"/>
        <v>0</v>
      </c>
      <c r="BF12" s="38">
        <f t="shared" si="7"/>
        <v>0</v>
      </c>
      <c r="BG12" s="38">
        <f t="shared" si="7"/>
        <v>0</v>
      </c>
      <c r="BH12" s="38">
        <f t="shared" si="7"/>
        <v>0</v>
      </c>
      <c r="BI12" s="38">
        <f t="shared" si="7"/>
        <v>0</v>
      </c>
      <c r="BJ12" s="38">
        <f t="shared" si="7"/>
        <v>0</v>
      </c>
      <c r="BK12" s="38">
        <f t="shared" si="7"/>
        <v>0</v>
      </c>
      <c r="BL12" s="38">
        <f t="shared" si="7"/>
        <v>0</v>
      </c>
      <c r="BM12" s="38">
        <f t="shared" si="7"/>
        <v>0</v>
      </c>
      <c r="BN12" s="38">
        <f t="shared" si="7"/>
        <v>0</v>
      </c>
      <c r="BO12" s="38">
        <f t="shared" si="7"/>
        <v>0</v>
      </c>
      <c r="BP12" s="38">
        <f t="shared" si="7"/>
        <v>0</v>
      </c>
      <c r="BQ12" s="38">
        <f t="shared" si="7"/>
        <v>0</v>
      </c>
      <c r="BR12" s="38">
        <f t="shared" si="7"/>
        <v>0</v>
      </c>
      <c r="BS12" s="38">
        <f t="shared" si="7"/>
        <v>0</v>
      </c>
      <c r="BT12" s="38">
        <f t="shared" si="7"/>
        <v>0</v>
      </c>
      <c r="BU12" s="38">
        <f t="shared" si="7"/>
        <v>0</v>
      </c>
      <c r="BV12" s="38">
        <f t="shared" si="7"/>
        <v>0</v>
      </c>
      <c r="BW12" s="38">
        <f t="shared" ref="BW12:DM12" si="8">SUM(BW10:BW11)</f>
        <v>0</v>
      </c>
      <c r="BX12" s="38">
        <f t="shared" si="8"/>
        <v>0</v>
      </c>
      <c r="BY12" s="38">
        <f t="shared" si="8"/>
        <v>0</v>
      </c>
      <c r="BZ12" s="38">
        <f t="shared" si="8"/>
        <v>0</v>
      </c>
      <c r="CA12" s="38">
        <f t="shared" si="8"/>
        <v>0</v>
      </c>
      <c r="CB12" s="38">
        <f t="shared" si="8"/>
        <v>0</v>
      </c>
      <c r="CC12" s="38">
        <f t="shared" si="8"/>
        <v>0</v>
      </c>
      <c r="CD12" s="38">
        <f t="shared" si="8"/>
        <v>0</v>
      </c>
      <c r="CE12" s="38">
        <f t="shared" si="8"/>
        <v>0</v>
      </c>
      <c r="CF12" s="38">
        <f t="shared" si="8"/>
        <v>0</v>
      </c>
      <c r="CG12" s="38">
        <f t="shared" si="8"/>
        <v>0</v>
      </c>
      <c r="CH12" s="38">
        <f t="shared" si="8"/>
        <v>0</v>
      </c>
      <c r="CI12" s="38">
        <f t="shared" si="8"/>
        <v>0</v>
      </c>
      <c r="CJ12" s="38">
        <f t="shared" si="8"/>
        <v>0</v>
      </c>
      <c r="CK12" s="38">
        <f t="shared" si="8"/>
        <v>0</v>
      </c>
      <c r="CL12" s="38">
        <f t="shared" si="8"/>
        <v>0</v>
      </c>
      <c r="CM12" s="38">
        <f t="shared" si="8"/>
        <v>0</v>
      </c>
      <c r="CN12" s="38">
        <f t="shared" si="8"/>
        <v>0</v>
      </c>
      <c r="CO12" s="38">
        <f t="shared" si="8"/>
        <v>0</v>
      </c>
      <c r="CP12" s="38">
        <f t="shared" si="8"/>
        <v>0</v>
      </c>
      <c r="CQ12" s="38">
        <f t="shared" si="8"/>
        <v>0</v>
      </c>
      <c r="CR12" s="38">
        <f t="shared" si="8"/>
        <v>0</v>
      </c>
      <c r="CS12" s="38">
        <f t="shared" si="8"/>
        <v>0</v>
      </c>
      <c r="CT12" s="38">
        <f t="shared" si="8"/>
        <v>0</v>
      </c>
      <c r="CU12" s="38">
        <f t="shared" si="8"/>
        <v>0</v>
      </c>
      <c r="CV12" s="38">
        <f t="shared" si="8"/>
        <v>0</v>
      </c>
      <c r="CW12" s="38">
        <f t="shared" si="8"/>
        <v>0</v>
      </c>
      <c r="CX12" s="38">
        <f t="shared" si="8"/>
        <v>0</v>
      </c>
      <c r="CY12" s="38">
        <f t="shared" si="8"/>
        <v>0</v>
      </c>
      <c r="CZ12" s="38">
        <f t="shared" si="8"/>
        <v>0</v>
      </c>
      <c r="DA12" s="38">
        <f t="shared" si="8"/>
        <v>0</v>
      </c>
      <c r="DB12" s="38">
        <f t="shared" si="8"/>
        <v>0</v>
      </c>
      <c r="DC12" s="38">
        <f t="shared" si="8"/>
        <v>0</v>
      </c>
      <c r="DD12" s="38">
        <f t="shared" si="8"/>
        <v>0</v>
      </c>
      <c r="DE12" s="38">
        <f t="shared" si="8"/>
        <v>0</v>
      </c>
      <c r="DF12" s="38">
        <f t="shared" si="8"/>
        <v>0</v>
      </c>
      <c r="DG12" s="38">
        <f t="shared" si="8"/>
        <v>0</v>
      </c>
      <c r="DH12" s="38">
        <f t="shared" si="8"/>
        <v>0</v>
      </c>
      <c r="DI12" s="38">
        <f t="shared" si="8"/>
        <v>0</v>
      </c>
      <c r="DJ12" s="38">
        <f t="shared" si="8"/>
        <v>0</v>
      </c>
      <c r="DK12" s="38">
        <f t="shared" si="8"/>
        <v>0</v>
      </c>
      <c r="DL12" s="38">
        <f t="shared" si="8"/>
        <v>0</v>
      </c>
      <c r="DM12" s="38">
        <f t="shared" si="8"/>
        <v>0</v>
      </c>
    </row>
    <row r="13" spans="1:134" outlineLevel="1" x14ac:dyDescent="0.15">
      <c r="D13" s="5"/>
    </row>
    <row r="14" spans="1:134" ht="14" outlineLevel="1" x14ac:dyDescent="0.15">
      <c r="C14" s="2" t="s">
        <v>133</v>
      </c>
      <c r="D14" s="5"/>
    </row>
    <row r="15" spans="1:134" outlineLevel="1" x14ac:dyDescent="0.15">
      <c r="C15" t="s">
        <v>163</v>
      </c>
      <c r="D15" s="5" t="s">
        <v>167</v>
      </c>
      <c r="I15" s="35">
        <f t="shared" ref="I15" si="9">SUM(J15:DM15)</f>
        <v>-1840355031.6666665</v>
      </c>
      <c r="J15" s="19">
        <f>-Operations!J74</f>
        <v>0</v>
      </c>
      <c r="K15" s="19">
        <f>-Operations!K74</f>
        <v>0</v>
      </c>
      <c r="L15" s="19">
        <f>-Operations!L74</f>
        <v>0</v>
      </c>
      <c r="M15" s="19">
        <f>-Operations!M74</f>
        <v>0</v>
      </c>
      <c r="N15" s="19">
        <f>-Operations!N74</f>
        <v>-205648135</v>
      </c>
      <c r="O15" s="19">
        <f>-Operations!O74</f>
        <v>-228936488.33333331</v>
      </c>
      <c r="P15" s="19">
        <f>-Operations!P74</f>
        <v>-234088918.33333331</v>
      </c>
      <c r="Q15" s="19">
        <f>-Operations!Q74</f>
        <v>-233702879.99999997</v>
      </c>
      <c r="R15" s="19">
        <f>-Operations!R74</f>
        <v>-233742271.66666666</v>
      </c>
      <c r="S15" s="19">
        <f>-Operations!S74</f>
        <v>-122382029.99999997</v>
      </c>
      <c r="T15" s="19">
        <f>-Operations!T74</f>
        <v>-132237824.99999999</v>
      </c>
      <c r="U15" s="19">
        <f>-Operations!U74</f>
        <v>-142668738.33333334</v>
      </c>
      <c r="V15" s="19">
        <f>-Operations!V74</f>
        <v>-121310576.66666664</v>
      </c>
      <c r="W15" s="19">
        <f>-Operations!W74</f>
        <v>-124083750.00000001</v>
      </c>
      <c r="X15" s="19">
        <f>-Operations!X74</f>
        <v>-61553418.333333328</v>
      </c>
      <c r="Y15" s="19">
        <f>-Operations!Y74</f>
        <v>0</v>
      </c>
      <c r="Z15" s="19">
        <f>-Operations!Z74</f>
        <v>0</v>
      </c>
      <c r="AA15" s="19">
        <f>-Operations!AA74</f>
        <v>0</v>
      </c>
      <c r="AB15" s="19">
        <f>-Operations!AB74</f>
        <v>0</v>
      </c>
      <c r="AC15" s="19">
        <f>-Operations!AC74</f>
        <v>0</v>
      </c>
      <c r="AD15" s="19">
        <f>-Operations!AD74</f>
        <v>0</v>
      </c>
      <c r="AE15" s="19">
        <f>-Operations!AE74</f>
        <v>0</v>
      </c>
      <c r="AF15" s="19">
        <f>-Operations!AF74</f>
        <v>0</v>
      </c>
      <c r="AG15" s="19">
        <f>-Operations!AG74</f>
        <v>0</v>
      </c>
      <c r="AH15" s="19">
        <f>-Operations!AH74</f>
        <v>0</v>
      </c>
      <c r="AI15" s="19">
        <f>-Operations!AI74</f>
        <v>0</v>
      </c>
      <c r="AJ15" s="19">
        <f>-Operations!AJ74</f>
        <v>0</v>
      </c>
      <c r="AK15" s="19">
        <f>-Operations!AK74</f>
        <v>0</v>
      </c>
      <c r="AL15" s="19">
        <f>-Operations!AL74</f>
        <v>0</v>
      </c>
      <c r="AM15" s="19">
        <f>-Operations!AM74</f>
        <v>0</v>
      </c>
      <c r="AN15" s="19">
        <f>-Operations!AN74</f>
        <v>0</v>
      </c>
      <c r="AO15" s="19">
        <f>-Operations!AO74</f>
        <v>0</v>
      </c>
      <c r="AP15" s="19">
        <f>-Operations!AP74</f>
        <v>0</v>
      </c>
      <c r="AQ15" s="19">
        <f>-Operations!AQ74</f>
        <v>0</v>
      </c>
      <c r="AR15" s="19">
        <f>-Operations!AR74</f>
        <v>0</v>
      </c>
      <c r="AS15" s="19">
        <f>-Operations!AS74</f>
        <v>0</v>
      </c>
      <c r="AT15" s="19">
        <f>-Operations!AT74</f>
        <v>0</v>
      </c>
      <c r="AU15" s="19">
        <f>-Operations!AU74</f>
        <v>0</v>
      </c>
      <c r="AV15" s="19">
        <f>-Operations!AV74</f>
        <v>0</v>
      </c>
      <c r="AW15" s="19">
        <f>-Operations!AW74</f>
        <v>0</v>
      </c>
      <c r="AX15" s="19">
        <f>-Operations!AX74</f>
        <v>0</v>
      </c>
      <c r="AY15" s="19">
        <f>-Operations!AY74</f>
        <v>0</v>
      </c>
      <c r="AZ15" s="19">
        <f>-Operations!AZ74</f>
        <v>0</v>
      </c>
      <c r="BA15" s="19">
        <f>-Operations!BA74</f>
        <v>0</v>
      </c>
      <c r="BB15" s="19">
        <f>-Operations!BB74</f>
        <v>0</v>
      </c>
      <c r="BC15" s="19">
        <f>-Operations!BC74</f>
        <v>0</v>
      </c>
      <c r="BD15" s="19">
        <f>-Operations!BD74</f>
        <v>0</v>
      </c>
      <c r="BE15" s="19">
        <f>-Operations!BE74</f>
        <v>0</v>
      </c>
      <c r="BF15" s="19">
        <f>-Operations!BF74</f>
        <v>0</v>
      </c>
      <c r="BG15" s="19">
        <f>-Operations!BG74</f>
        <v>0</v>
      </c>
      <c r="BH15" s="19">
        <f>-Operations!BH74</f>
        <v>0</v>
      </c>
      <c r="BI15" s="19">
        <f>-Operations!BI74</f>
        <v>0</v>
      </c>
      <c r="BJ15" s="19">
        <f>-Operations!BJ74</f>
        <v>0</v>
      </c>
      <c r="BK15" s="19">
        <f>-Operations!BK74</f>
        <v>0</v>
      </c>
      <c r="BL15" s="19">
        <f>-Operations!BL74</f>
        <v>0</v>
      </c>
      <c r="BM15" s="19">
        <f>-Operations!BM74</f>
        <v>0</v>
      </c>
      <c r="BN15" s="19">
        <f>-Operations!BN74</f>
        <v>0</v>
      </c>
      <c r="BO15" s="19">
        <f>-Operations!BO74</f>
        <v>0</v>
      </c>
      <c r="BP15" s="19">
        <f>-Operations!BP74</f>
        <v>0</v>
      </c>
      <c r="BQ15" s="19">
        <f>-Operations!BQ74</f>
        <v>0</v>
      </c>
      <c r="BR15" s="19">
        <f>-Operations!BR74</f>
        <v>0</v>
      </c>
      <c r="BS15" s="19">
        <f>-Operations!BS74</f>
        <v>0</v>
      </c>
      <c r="BT15" s="19">
        <f>-Operations!BT74</f>
        <v>0</v>
      </c>
      <c r="BU15" s="19">
        <f>-Operations!BU74</f>
        <v>0</v>
      </c>
      <c r="BV15" s="19">
        <f>-Operations!BV74</f>
        <v>0</v>
      </c>
      <c r="BW15" s="19">
        <f>-Operations!BW74</f>
        <v>0</v>
      </c>
      <c r="BX15" s="19">
        <f>-Operations!BX74</f>
        <v>0</v>
      </c>
      <c r="BY15" s="19">
        <f>-Operations!BY74</f>
        <v>0</v>
      </c>
      <c r="BZ15" s="19">
        <f>-Operations!BZ74</f>
        <v>0</v>
      </c>
      <c r="CA15" s="19">
        <f>-Operations!CA74</f>
        <v>0</v>
      </c>
      <c r="CB15" s="19">
        <f>-Operations!CB74</f>
        <v>0</v>
      </c>
      <c r="CC15" s="19">
        <f>-Operations!CC74</f>
        <v>0</v>
      </c>
      <c r="CD15" s="19">
        <f>-Operations!CD74</f>
        <v>0</v>
      </c>
      <c r="CE15" s="19">
        <f>-Operations!CE74</f>
        <v>0</v>
      </c>
      <c r="CF15" s="19">
        <f>-Operations!CF74</f>
        <v>0</v>
      </c>
      <c r="CG15" s="19">
        <f>-Operations!CG74</f>
        <v>0</v>
      </c>
      <c r="CH15" s="19">
        <f>-Operations!CH74</f>
        <v>0</v>
      </c>
      <c r="CI15" s="19">
        <f>-Operations!CI74</f>
        <v>0</v>
      </c>
      <c r="CJ15" s="19">
        <f>-Operations!CJ74</f>
        <v>0</v>
      </c>
      <c r="CK15" s="19">
        <f>-Operations!CK74</f>
        <v>0</v>
      </c>
      <c r="CL15" s="19">
        <f>-Operations!CL74</f>
        <v>0</v>
      </c>
      <c r="CM15" s="19">
        <f>-Operations!CM74</f>
        <v>0</v>
      </c>
      <c r="CN15" s="19">
        <f>-Operations!CN74</f>
        <v>0</v>
      </c>
      <c r="CO15" s="19">
        <f>-Operations!CO74</f>
        <v>0</v>
      </c>
      <c r="CP15" s="19">
        <f>-Operations!CP74</f>
        <v>0</v>
      </c>
      <c r="CQ15" s="19">
        <f>-Operations!CQ74</f>
        <v>0</v>
      </c>
      <c r="CR15" s="19">
        <f>-Operations!CR74</f>
        <v>0</v>
      </c>
      <c r="CS15" s="19">
        <f>-Operations!CS74</f>
        <v>0</v>
      </c>
      <c r="CT15" s="19">
        <f>-Operations!CT74</f>
        <v>0</v>
      </c>
      <c r="CU15" s="19">
        <f>-Operations!CU74</f>
        <v>0</v>
      </c>
      <c r="CV15" s="19">
        <f>-Operations!CV74</f>
        <v>0</v>
      </c>
      <c r="CW15" s="19">
        <f>-Operations!CW74</f>
        <v>0</v>
      </c>
      <c r="CX15" s="19">
        <f>-Operations!CX74</f>
        <v>0</v>
      </c>
      <c r="CY15" s="19">
        <f>-Operations!CY74</f>
        <v>0</v>
      </c>
      <c r="CZ15" s="19">
        <f>-Operations!CZ74</f>
        <v>0</v>
      </c>
      <c r="DA15" s="19">
        <f>-Operations!DA74</f>
        <v>0</v>
      </c>
      <c r="DB15" s="19">
        <f>-Operations!DB74</f>
        <v>0</v>
      </c>
      <c r="DC15" s="19">
        <f>-Operations!DC74</f>
        <v>0</v>
      </c>
      <c r="DD15" s="19">
        <f>-Operations!DD74</f>
        <v>0</v>
      </c>
      <c r="DE15" s="19">
        <f>-Operations!DE74</f>
        <v>0</v>
      </c>
      <c r="DF15" s="19">
        <f>-Operations!DF74</f>
        <v>0</v>
      </c>
      <c r="DG15" s="19">
        <f>-Operations!DG74</f>
        <v>0</v>
      </c>
      <c r="DH15" s="19">
        <f>-Operations!DH74</f>
        <v>0</v>
      </c>
      <c r="DI15" s="19">
        <f>-Operations!DI74</f>
        <v>0</v>
      </c>
      <c r="DJ15" s="19">
        <f>-Operations!DJ74</f>
        <v>0</v>
      </c>
      <c r="DK15" s="19">
        <f>-Operations!DK74</f>
        <v>0</v>
      </c>
      <c r="DL15" s="19">
        <f>-Operations!DL74</f>
        <v>0</v>
      </c>
      <c r="DM15" s="19">
        <f>-Operations!DM74</f>
        <v>0</v>
      </c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</row>
    <row r="16" spans="1:134" outlineLevel="1" x14ac:dyDescent="0.15">
      <c r="D16" s="5"/>
    </row>
    <row r="17" spans="3:117" ht="14" outlineLevel="1" x14ac:dyDescent="0.15">
      <c r="C17" s="2" t="s">
        <v>21</v>
      </c>
      <c r="D17" s="5"/>
    </row>
    <row r="18" spans="3:117" outlineLevel="1" x14ac:dyDescent="0.15">
      <c r="C18" s="23" t="s">
        <v>16</v>
      </c>
      <c r="D18" s="5" t="s">
        <v>167</v>
      </c>
      <c r="I18" s="35">
        <f t="shared" ref="I18" si="10">SUM(J18:DM18)</f>
        <v>-3237566917.5</v>
      </c>
      <c r="J18" s="38">
        <f>-Operations!J110</f>
        <v>0</v>
      </c>
      <c r="K18" s="38">
        <f>-Operations!K110</f>
        <v>0</v>
      </c>
      <c r="L18" s="38">
        <f>-Operations!L110</f>
        <v>0</v>
      </c>
      <c r="M18" s="38">
        <f>-Operations!M110</f>
        <v>0</v>
      </c>
      <c r="N18" s="38">
        <f>-Operations!N110</f>
        <v>-275178194.7982496</v>
      </c>
      <c r="O18" s="38">
        <f>-Operations!O110</f>
        <v>-318109918.80852932</v>
      </c>
      <c r="P18" s="38">
        <f>-Operations!P110</f>
        <v>-312520873.35832947</v>
      </c>
      <c r="Q18" s="38">
        <f>-Operations!Q110</f>
        <v>-302294457.1182341</v>
      </c>
      <c r="R18" s="38">
        <f>-Operations!R110</f>
        <v>-312049110.36835682</v>
      </c>
      <c r="S18" s="38">
        <f>-Operations!S110</f>
        <v>-305397231.67822289</v>
      </c>
      <c r="T18" s="38">
        <f>-Operations!T110</f>
        <v>-300382202.71812195</v>
      </c>
      <c r="U18" s="38">
        <f>-Operations!U110</f>
        <v>-298029803.86811137</v>
      </c>
      <c r="V18" s="38">
        <f>-Operations!V110</f>
        <v>-292666509.00800341</v>
      </c>
      <c r="W18" s="38">
        <f>-Operations!W110</f>
        <v>-287103825.94803566</v>
      </c>
      <c r="X18" s="38">
        <f>-Operations!X110</f>
        <v>-233834789.8278057</v>
      </c>
      <c r="Y18" s="38">
        <f>-Operations!Y110</f>
        <v>0</v>
      </c>
      <c r="Z18" s="38">
        <f>-Operations!Z110</f>
        <v>0</v>
      </c>
      <c r="AA18" s="38">
        <f>-Operations!AA110</f>
        <v>0</v>
      </c>
      <c r="AB18" s="38">
        <f>-Operations!AB110</f>
        <v>0</v>
      </c>
      <c r="AC18" s="38">
        <f>-Operations!AC110</f>
        <v>0</v>
      </c>
      <c r="AD18" s="38">
        <f>-Operations!AD110</f>
        <v>0</v>
      </c>
      <c r="AE18" s="38">
        <f>-Operations!AE110</f>
        <v>0</v>
      </c>
      <c r="AF18" s="38">
        <f>-Operations!AF110</f>
        <v>0</v>
      </c>
      <c r="AG18" s="38">
        <f>-Operations!AG110</f>
        <v>0</v>
      </c>
      <c r="AH18" s="38">
        <f>-Operations!AH110</f>
        <v>0</v>
      </c>
      <c r="AI18" s="38">
        <f>-Operations!AI110</f>
        <v>0</v>
      </c>
      <c r="AJ18" s="38">
        <f>-Operations!AJ110</f>
        <v>0</v>
      </c>
      <c r="AK18" s="38">
        <f>-Operations!AK110</f>
        <v>0</v>
      </c>
      <c r="AL18" s="38">
        <f>-Operations!AL110</f>
        <v>0</v>
      </c>
      <c r="AM18" s="38">
        <f>-Operations!AM110</f>
        <v>0</v>
      </c>
      <c r="AN18" s="38">
        <f>-Operations!AN110</f>
        <v>0</v>
      </c>
      <c r="AO18" s="38">
        <f>-Operations!AO110</f>
        <v>0</v>
      </c>
      <c r="AP18" s="38">
        <f>-Operations!AP110</f>
        <v>0</v>
      </c>
      <c r="AQ18" s="38">
        <f>-Operations!AQ110</f>
        <v>0</v>
      </c>
      <c r="AR18" s="38">
        <f>-Operations!AR110</f>
        <v>0</v>
      </c>
      <c r="AS18" s="38">
        <f>-Operations!AS110</f>
        <v>0</v>
      </c>
      <c r="AT18" s="38">
        <f>-Operations!AT110</f>
        <v>0</v>
      </c>
      <c r="AU18" s="38">
        <f>-Operations!AU110</f>
        <v>0</v>
      </c>
      <c r="AV18" s="38">
        <f>-Operations!AV110</f>
        <v>0</v>
      </c>
      <c r="AW18" s="38">
        <f>-Operations!AW110</f>
        <v>0</v>
      </c>
      <c r="AX18" s="38">
        <f>-Operations!AX110</f>
        <v>0</v>
      </c>
      <c r="AY18" s="38">
        <f>-Operations!AY110</f>
        <v>0</v>
      </c>
      <c r="AZ18" s="38">
        <f>-Operations!AZ110</f>
        <v>0</v>
      </c>
      <c r="BA18" s="38">
        <f>-Operations!BA110</f>
        <v>0</v>
      </c>
      <c r="BB18" s="38">
        <f>-Operations!BB110</f>
        <v>0</v>
      </c>
      <c r="BC18" s="38">
        <f>-Operations!BC110</f>
        <v>0</v>
      </c>
      <c r="BD18" s="38">
        <f>-Operations!BD110</f>
        <v>0</v>
      </c>
      <c r="BE18" s="38">
        <f>-Operations!BE110</f>
        <v>0</v>
      </c>
      <c r="BF18" s="38">
        <f>-Operations!BF110</f>
        <v>0</v>
      </c>
      <c r="BG18" s="38">
        <f>-Operations!BG110</f>
        <v>0</v>
      </c>
      <c r="BH18" s="38">
        <f>-Operations!BH110</f>
        <v>0</v>
      </c>
      <c r="BI18" s="38">
        <f>-Operations!BI110</f>
        <v>0</v>
      </c>
      <c r="BJ18" s="38">
        <f>-Operations!BJ110</f>
        <v>0</v>
      </c>
      <c r="BK18" s="38">
        <f>-Operations!BK110</f>
        <v>0</v>
      </c>
      <c r="BL18" s="38">
        <f>-Operations!BL110</f>
        <v>0</v>
      </c>
      <c r="BM18" s="38">
        <f>-Operations!BM110</f>
        <v>0</v>
      </c>
      <c r="BN18" s="38">
        <f>-Operations!BN110</f>
        <v>0</v>
      </c>
      <c r="BO18" s="38">
        <f>-Operations!BO110</f>
        <v>0</v>
      </c>
      <c r="BP18" s="38">
        <f>-Operations!BP110</f>
        <v>0</v>
      </c>
      <c r="BQ18" s="38">
        <f>-Operations!BQ110</f>
        <v>0</v>
      </c>
      <c r="BR18" s="38">
        <f>-Operations!BR110</f>
        <v>0</v>
      </c>
      <c r="BS18" s="38">
        <f>-Operations!BS110</f>
        <v>0</v>
      </c>
      <c r="BT18" s="38">
        <f>-Operations!BT110</f>
        <v>0</v>
      </c>
      <c r="BU18" s="38">
        <f>-Operations!BU110</f>
        <v>0</v>
      </c>
      <c r="BV18" s="38">
        <f>-Operations!BV110</f>
        <v>0</v>
      </c>
      <c r="BW18" s="38">
        <f>-Operations!BW110</f>
        <v>0</v>
      </c>
      <c r="BX18" s="38">
        <f>-Operations!BX110</f>
        <v>0</v>
      </c>
      <c r="BY18" s="38">
        <f>-Operations!BY110</f>
        <v>0</v>
      </c>
      <c r="BZ18" s="38">
        <f>-Operations!BZ110</f>
        <v>0</v>
      </c>
      <c r="CA18" s="38">
        <f>-Operations!CA110</f>
        <v>0</v>
      </c>
      <c r="CB18" s="38">
        <f>-Operations!CB110</f>
        <v>0</v>
      </c>
      <c r="CC18" s="38">
        <f>-Operations!CC110</f>
        <v>0</v>
      </c>
      <c r="CD18" s="38">
        <f>-Operations!CD110</f>
        <v>0</v>
      </c>
      <c r="CE18" s="38">
        <f>-Operations!CE110</f>
        <v>0</v>
      </c>
      <c r="CF18" s="38">
        <f>-Operations!CF110</f>
        <v>0</v>
      </c>
      <c r="CG18" s="38">
        <f>-Operations!CG110</f>
        <v>0</v>
      </c>
      <c r="CH18" s="38">
        <f>-Operations!CH110</f>
        <v>0</v>
      </c>
      <c r="CI18" s="38">
        <f>-Operations!CI110</f>
        <v>0</v>
      </c>
      <c r="CJ18" s="38">
        <f>-Operations!CJ110</f>
        <v>0</v>
      </c>
      <c r="CK18" s="38">
        <f>-Operations!CK110</f>
        <v>0</v>
      </c>
      <c r="CL18" s="38">
        <f>-Operations!CL110</f>
        <v>0</v>
      </c>
      <c r="CM18" s="38">
        <f>-Operations!CM110</f>
        <v>0</v>
      </c>
      <c r="CN18" s="38">
        <f>-Operations!CN110</f>
        <v>0</v>
      </c>
      <c r="CO18" s="38">
        <f>-Operations!CO110</f>
        <v>0</v>
      </c>
      <c r="CP18" s="38">
        <f>-Operations!CP110</f>
        <v>0</v>
      </c>
      <c r="CQ18" s="38">
        <f>-Operations!CQ110</f>
        <v>0</v>
      </c>
      <c r="CR18" s="38">
        <f>-Operations!CR110</f>
        <v>0</v>
      </c>
      <c r="CS18" s="38">
        <f>-Operations!CS110</f>
        <v>0</v>
      </c>
      <c r="CT18" s="38">
        <f>-Operations!CT110</f>
        <v>0</v>
      </c>
      <c r="CU18" s="38">
        <f>-Operations!CU110</f>
        <v>0</v>
      </c>
      <c r="CV18" s="38">
        <f>-Operations!CV110</f>
        <v>0</v>
      </c>
      <c r="CW18" s="38">
        <f>-Operations!CW110</f>
        <v>0</v>
      </c>
      <c r="CX18" s="38">
        <f>-Operations!CX110</f>
        <v>0</v>
      </c>
      <c r="CY18" s="38">
        <f>-Operations!CY110</f>
        <v>0</v>
      </c>
      <c r="CZ18" s="38">
        <f>-Operations!CZ110</f>
        <v>0</v>
      </c>
      <c r="DA18" s="38">
        <f>-Operations!DA110</f>
        <v>0</v>
      </c>
      <c r="DB18" s="38">
        <f>-Operations!DB110</f>
        <v>0</v>
      </c>
      <c r="DC18" s="38">
        <f>-Operations!DC110</f>
        <v>0</v>
      </c>
      <c r="DD18" s="38">
        <f>-Operations!DD110</f>
        <v>0</v>
      </c>
      <c r="DE18" s="38">
        <f>-Operations!DE110</f>
        <v>0</v>
      </c>
      <c r="DF18" s="38">
        <f>-Operations!DF110</f>
        <v>0</v>
      </c>
      <c r="DG18" s="38">
        <f>-Operations!DG110</f>
        <v>0</v>
      </c>
      <c r="DH18" s="38">
        <f>-Operations!DH110</f>
        <v>0</v>
      </c>
      <c r="DI18" s="38">
        <f>-Operations!DI110</f>
        <v>0</v>
      </c>
      <c r="DJ18" s="38">
        <f>-Operations!DJ110</f>
        <v>0</v>
      </c>
      <c r="DK18" s="38">
        <f>-Operations!DK110</f>
        <v>0</v>
      </c>
      <c r="DL18" s="38">
        <f>-Operations!DL110</f>
        <v>0</v>
      </c>
      <c r="DM18" s="38">
        <f>-Operations!DM110</f>
        <v>0</v>
      </c>
    </row>
    <row r="19" spans="3:117" outlineLevel="1" x14ac:dyDescent="0.15"/>
    <row r="20" spans="3:117" ht="14" outlineLevel="1" x14ac:dyDescent="0.15">
      <c r="C20" s="2" t="s">
        <v>59</v>
      </c>
    </row>
    <row r="21" spans="3:117" outlineLevel="1" x14ac:dyDescent="0.15">
      <c r="C21" t="s">
        <v>313</v>
      </c>
      <c r="D21" s="5" t="s">
        <v>167</v>
      </c>
      <c r="E21" s="23"/>
      <c r="I21" s="35">
        <f t="shared" ref="I21" si="11">SUM(J21:DM21)</f>
        <v>-2227304430.0000005</v>
      </c>
      <c r="J21" s="19">
        <f>-Operations!J32</f>
        <v>-232295554.04907975</v>
      </c>
      <c r="K21" s="19">
        <f>-Operations!K32</f>
        <v>-511440631.60385638</v>
      </c>
      <c r="L21" s="19">
        <f>-Operations!L32</f>
        <v>-952606977.94916749</v>
      </c>
      <c r="M21" s="19">
        <f>-Operations!M32</f>
        <v>-530961266.39789659</v>
      </c>
      <c r="N21" s="19">
        <f>-Operations!N32</f>
        <v>0</v>
      </c>
      <c r="O21" s="19">
        <f>-Operations!O32</f>
        <v>0</v>
      </c>
      <c r="P21" s="19">
        <f>-Operations!P32</f>
        <v>0</v>
      </c>
      <c r="Q21" s="19">
        <f>-Operations!Q32</f>
        <v>0</v>
      </c>
      <c r="R21" s="19">
        <f>-Operations!R32</f>
        <v>0</v>
      </c>
      <c r="S21" s="19">
        <f>-Operations!S32</f>
        <v>0</v>
      </c>
      <c r="T21" s="19">
        <f>-Operations!T32</f>
        <v>0</v>
      </c>
      <c r="U21" s="19">
        <f>-Operations!U32</f>
        <v>0</v>
      </c>
      <c r="V21" s="19">
        <f>-Operations!V32</f>
        <v>0</v>
      </c>
      <c r="W21" s="19">
        <f>-Operations!W32</f>
        <v>0</v>
      </c>
      <c r="X21" s="19">
        <f>-Operations!X32</f>
        <v>0</v>
      </c>
      <c r="Y21" s="19">
        <f>-Operations!Y32</f>
        <v>0</v>
      </c>
      <c r="Z21" s="19">
        <f>-Operations!Z32</f>
        <v>0</v>
      </c>
      <c r="AA21" s="19">
        <f>-Operations!AA32</f>
        <v>0</v>
      </c>
      <c r="AB21" s="19">
        <f>-Operations!AB32</f>
        <v>0</v>
      </c>
      <c r="AC21" s="19">
        <f>-Operations!AC32</f>
        <v>0</v>
      </c>
      <c r="AD21" s="19">
        <f>-Operations!AD32</f>
        <v>0</v>
      </c>
      <c r="AE21" s="19">
        <f>-Operations!AE32</f>
        <v>0</v>
      </c>
      <c r="AF21" s="19">
        <f>-Operations!AF32</f>
        <v>0</v>
      </c>
      <c r="AG21" s="19">
        <f>-Operations!AG32</f>
        <v>0</v>
      </c>
      <c r="AH21" s="19">
        <f>-Operations!AH32</f>
        <v>0</v>
      </c>
      <c r="AI21" s="19">
        <f>-Operations!AI32</f>
        <v>0</v>
      </c>
      <c r="AJ21" s="19">
        <f>-Operations!AJ32</f>
        <v>0</v>
      </c>
      <c r="AK21" s="19">
        <f>-Operations!AK32</f>
        <v>0</v>
      </c>
      <c r="AL21" s="19">
        <f>-Operations!AL32</f>
        <v>0</v>
      </c>
      <c r="AM21" s="19">
        <f>-Operations!AM32</f>
        <v>0</v>
      </c>
      <c r="AN21" s="19">
        <f>-Operations!AN32</f>
        <v>0</v>
      </c>
      <c r="AO21" s="19">
        <f>-Operations!AO32</f>
        <v>0</v>
      </c>
      <c r="AP21" s="19">
        <f>-Operations!AP32</f>
        <v>0</v>
      </c>
      <c r="AQ21" s="19">
        <f>-Operations!AQ32</f>
        <v>0</v>
      </c>
      <c r="AR21" s="19">
        <f>-Operations!AR32</f>
        <v>0</v>
      </c>
      <c r="AS21" s="19">
        <f>-Operations!AS32</f>
        <v>0</v>
      </c>
      <c r="AT21" s="19">
        <f>-Operations!AT32</f>
        <v>0</v>
      </c>
      <c r="AU21" s="19">
        <f>-Operations!AU32</f>
        <v>0</v>
      </c>
      <c r="AV21" s="19">
        <f>-Operations!AV32</f>
        <v>0</v>
      </c>
      <c r="AW21" s="19">
        <f>-Operations!AW32</f>
        <v>0</v>
      </c>
      <c r="AX21" s="19">
        <f>-Operations!AX32</f>
        <v>0</v>
      </c>
      <c r="AY21" s="19">
        <f>-Operations!AY32</f>
        <v>0</v>
      </c>
      <c r="AZ21" s="19">
        <f>-Operations!AZ32</f>
        <v>0</v>
      </c>
      <c r="BA21" s="19">
        <f>-Operations!BA32</f>
        <v>0</v>
      </c>
      <c r="BB21" s="19">
        <f>-Operations!BB32</f>
        <v>0</v>
      </c>
      <c r="BC21" s="19">
        <f>-Operations!BC32</f>
        <v>0</v>
      </c>
      <c r="BD21" s="19">
        <f>-Operations!BD32</f>
        <v>0</v>
      </c>
      <c r="BE21" s="19">
        <f>-Operations!BE32</f>
        <v>0</v>
      </c>
      <c r="BF21" s="19">
        <f>-Operations!BF32</f>
        <v>0</v>
      </c>
      <c r="BG21" s="19">
        <f>-Operations!BG32</f>
        <v>0</v>
      </c>
      <c r="BH21" s="19">
        <f>-Operations!BH32</f>
        <v>0</v>
      </c>
      <c r="BI21" s="19">
        <f>-Operations!BI32</f>
        <v>0</v>
      </c>
      <c r="BJ21" s="19">
        <f>-Operations!BJ32</f>
        <v>0</v>
      </c>
      <c r="BK21" s="19">
        <f>-Operations!BK32</f>
        <v>0</v>
      </c>
      <c r="BL21" s="19">
        <f>-Operations!BL32</f>
        <v>0</v>
      </c>
      <c r="BM21" s="19">
        <f>-Operations!BM32</f>
        <v>0</v>
      </c>
      <c r="BN21" s="19">
        <f>-Operations!BN32</f>
        <v>0</v>
      </c>
      <c r="BO21" s="19">
        <f>-Operations!BO32</f>
        <v>0</v>
      </c>
      <c r="BP21" s="19">
        <f>-Operations!BP32</f>
        <v>0</v>
      </c>
      <c r="BQ21" s="19">
        <f>-Operations!BQ32</f>
        <v>0</v>
      </c>
      <c r="BR21" s="19">
        <f>-Operations!BR32</f>
        <v>0</v>
      </c>
      <c r="BS21" s="19">
        <f>-Operations!BS32</f>
        <v>0</v>
      </c>
      <c r="BT21" s="19">
        <f>-Operations!BT32</f>
        <v>0</v>
      </c>
      <c r="BU21" s="19">
        <f>-Operations!BU32</f>
        <v>0</v>
      </c>
      <c r="BV21" s="19">
        <f>-Operations!BV32</f>
        <v>0</v>
      </c>
      <c r="BW21" s="19">
        <f>-Operations!BW32</f>
        <v>0</v>
      </c>
      <c r="BX21" s="19">
        <f>-Operations!BX32</f>
        <v>0</v>
      </c>
      <c r="BY21" s="19">
        <f>-Operations!BY32</f>
        <v>0</v>
      </c>
      <c r="BZ21" s="19">
        <f>-Operations!BZ32</f>
        <v>0</v>
      </c>
      <c r="CA21" s="19">
        <f>-Operations!CA32</f>
        <v>0</v>
      </c>
      <c r="CB21" s="19">
        <f>-Operations!CB32</f>
        <v>0</v>
      </c>
      <c r="CC21" s="19">
        <f>-Operations!CC32</f>
        <v>0</v>
      </c>
      <c r="CD21" s="19">
        <f>-Operations!CD32</f>
        <v>0</v>
      </c>
      <c r="CE21" s="19">
        <f>-Operations!CE32</f>
        <v>0</v>
      </c>
      <c r="CF21" s="19">
        <f>-Operations!CF32</f>
        <v>0</v>
      </c>
      <c r="CG21" s="19">
        <f>-Operations!CG32</f>
        <v>0</v>
      </c>
      <c r="CH21" s="19">
        <f>-Operations!CH32</f>
        <v>0</v>
      </c>
      <c r="CI21" s="19">
        <f>-Operations!CI32</f>
        <v>0</v>
      </c>
      <c r="CJ21" s="19">
        <f>-Operations!CJ32</f>
        <v>0</v>
      </c>
      <c r="CK21" s="19">
        <f>-Operations!CK32</f>
        <v>0</v>
      </c>
      <c r="CL21" s="19">
        <f>-Operations!CL32</f>
        <v>0</v>
      </c>
      <c r="CM21" s="19">
        <f>-Operations!CM32</f>
        <v>0</v>
      </c>
      <c r="CN21" s="19">
        <f>-Operations!CN32</f>
        <v>0</v>
      </c>
      <c r="CO21" s="19">
        <f>-Operations!CO32</f>
        <v>0</v>
      </c>
      <c r="CP21" s="19">
        <f>-Operations!CP32</f>
        <v>0</v>
      </c>
      <c r="CQ21" s="19">
        <f>-Operations!CQ32</f>
        <v>0</v>
      </c>
      <c r="CR21" s="19">
        <f>-Operations!CR32</f>
        <v>0</v>
      </c>
      <c r="CS21" s="19">
        <f>-Operations!CS32</f>
        <v>0</v>
      </c>
      <c r="CT21" s="19">
        <f>-Operations!CT32</f>
        <v>0</v>
      </c>
      <c r="CU21" s="19">
        <f>-Operations!CU32</f>
        <v>0</v>
      </c>
      <c r="CV21" s="19">
        <f>-Operations!CV32</f>
        <v>0</v>
      </c>
      <c r="CW21" s="19">
        <f>-Operations!CW32</f>
        <v>0</v>
      </c>
      <c r="CX21" s="19">
        <f>-Operations!CX32</f>
        <v>0</v>
      </c>
      <c r="CY21" s="19">
        <f>-Operations!CY32</f>
        <v>0</v>
      </c>
      <c r="CZ21" s="19">
        <f>-Operations!CZ32</f>
        <v>0</v>
      </c>
      <c r="DA21" s="19">
        <f>-Operations!DA32</f>
        <v>0</v>
      </c>
      <c r="DB21" s="19">
        <f>-Operations!DB32</f>
        <v>0</v>
      </c>
      <c r="DC21" s="19">
        <f>-Operations!DC32</f>
        <v>0</v>
      </c>
      <c r="DD21" s="19">
        <f>-Operations!DD32</f>
        <v>0</v>
      </c>
      <c r="DE21" s="19">
        <f>-Operations!DE32</f>
        <v>0</v>
      </c>
      <c r="DF21" s="19">
        <f>-Operations!DF32</f>
        <v>0</v>
      </c>
      <c r="DG21" s="19">
        <f>-Operations!DG32</f>
        <v>0</v>
      </c>
      <c r="DH21" s="19">
        <f>-Operations!DH32</f>
        <v>0</v>
      </c>
      <c r="DI21" s="19">
        <f>-Operations!DI32</f>
        <v>0</v>
      </c>
      <c r="DJ21" s="19">
        <f>-Operations!DJ32</f>
        <v>0</v>
      </c>
      <c r="DK21" s="19">
        <f>-Operations!DK32</f>
        <v>0</v>
      </c>
      <c r="DL21" s="19">
        <f>-Operations!DL32</f>
        <v>0</v>
      </c>
      <c r="DM21" s="19">
        <f>-Operations!DM32</f>
        <v>0</v>
      </c>
    </row>
    <row r="22" spans="3:117" outlineLevel="1" x14ac:dyDescent="0.15">
      <c r="C22" t="str">
        <f>Operations!C113</f>
        <v>General Sustaining Capital</v>
      </c>
      <c r="D22" s="5" t="s">
        <v>167</v>
      </c>
      <c r="E22" s="23"/>
      <c r="I22" s="35">
        <f t="shared" ref="I22:I26" si="12">SUM(J22:DM22)</f>
        <v>-724000000</v>
      </c>
      <c r="J22" s="19">
        <f>-Operations!J116</f>
        <v>0</v>
      </c>
      <c r="K22" s="19">
        <f>-Operations!K116</f>
        <v>0</v>
      </c>
      <c r="L22" s="19">
        <f>-Operations!L116</f>
        <v>0</v>
      </c>
      <c r="M22" s="19">
        <f>-Operations!M116</f>
        <v>0</v>
      </c>
      <c r="N22" s="19">
        <f>-Operations!N116</f>
        <v>-144000000</v>
      </c>
      <c r="O22" s="19">
        <f>-Operations!O116</f>
        <v>-150000000</v>
      </c>
      <c r="P22" s="19">
        <f>-Operations!P116</f>
        <v>-132000000</v>
      </c>
      <c r="Q22" s="19">
        <f>-Operations!Q116</f>
        <v>-114000000</v>
      </c>
      <c r="R22" s="19">
        <f>-Operations!R116</f>
        <v>-78000000</v>
      </c>
      <c r="S22" s="19">
        <f>-Operations!S116</f>
        <v>-18000000</v>
      </c>
      <c r="T22" s="19">
        <f>-Operations!T116</f>
        <v>-22000000</v>
      </c>
      <c r="U22" s="19">
        <f>-Operations!U116</f>
        <v>-10000000</v>
      </c>
      <c r="V22" s="19">
        <f>-Operations!V116</f>
        <v>-10000000</v>
      </c>
      <c r="W22" s="19">
        <f>-Operations!W116</f>
        <v>0</v>
      </c>
      <c r="X22" s="19">
        <f>-Operations!X116</f>
        <v>-46000000</v>
      </c>
      <c r="Y22" s="19">
        <f>-Operations!Y116</f>
        <v>0</v>
      </c>
      <c r="Z22" s="19">
        <f>-Operations!Z116</f>
        <v>0</v>
      </c>
      <c r="AA22" s="19">
        <f>-Operations!AA116</f>
        <v>0</v>
      </c>
      <c r="AB22" s="19">
        <f>-Operations!AB116</f>
        <v>0</v>
      </c>
      <c r="AC22" s="19">
        <f>-Operations!AC116</f>
        <v>0</v>
      </c>
      <c r="AD22" s="19">
        <f>-Operations!AD116</f>
        <v>0</v>
      </c>
      <c r="AE22" s="19">
        <f>-Operations!AE116</f>
        <v>0</v>
      </c>
      <c r="AF22" s="19">
        <f>-Operations!AF116</f>
        <v>0</v>
      </c>
      <c r="AG22" s="19">
        <f>-Operations!AG116</f>
        <v>0</v>
      </c>
      <c r="AH22" s="19">
        <f>-Operations!AH116</f>
        <v>0</v>
      </c>
      <c r="AI22" s="19">
        <f>-Operations!AI116</f>
        <v>0</v>
      </c>
      <c r="AJ22" s="19">
        <f>-Operations!AJ116</f>
        <v>0</v>
      </c>
      <c r="AK22" s="19">
        <f>-Operations!AK116</f>
        <v>0</v>
      </c>
      <c r="AL22" s="19">
        <f>-Operations!AL116</f>
        <v>0</v>
      </c>
      <c r="AM22" s="19">
        <f>-Operations!AM116</f>
        <v>0</v>
      </c>
      <c r="AN22" s="19">
        <f>-Operations!AN116</f>
        <v>0</v>
      </c>
      <c r="AO22" s="19">
        <f>-Operations!AO116</f>
        <v>0</v>
      </c>
      <c r="AP22" s="19">
        <f>-Operations!AP116</f>
        <v>0</v>
      </c>
      <c r="AQ22" s="19">
        <f>-Operations!AQ116</f>
        <v>0</v>
      </c>
      <c r="AR22" s="19">
        <f>-Operations!AR116</f>
        <v>0</v>
      </c>
      <c r="AS22" s="19">
        <f>-Operations!AS116</f>
        <v>0</v>
      </c>
      <c r="AT22" s="19">
        <f>-Operations!AT116</f>
        <v>0</v>
      </c>
      <c r="AU22" s="19">
        <f>-Operations!AU116</f>
        <v>0</v>
      </c>
      <c r="AV22" s="19">
        <f>-Operations!AV116</f>
        <v>0</v>
      </c>
      <c r="AW22" s="19">
        <f>-Operations!AW116</f>
        <v>0</v>
      </c>
      <c r="AX22" s="19">
        <f>-Operations!AX116</f>
        <v>0</v>
      </c>
      <c r="AY22" s="19">
        <f>-Operations!AY116</f>
        <v>0</v>
      </c>
      <c r="AZ22" s="19">
        <f>-Operations!AZ116</f>
        <v>0</v>
      </c>
      <c r="BA22" s="19">
        <f>-Operations!BA116</f>
        <v>0</v>
      </c>
      <c r="BB22" s="19">
        <f>-Operations!BB116</f>
        <v>0</v>
      </c>
      <c r="BC22" s="19">
        <f>-Operations!BC116</f>
        <v>0</v>
      </c>
      <c r="BD22" s="19">
        <f>-Operations!BD116</f>
        <v>0</v>
      </c>
      <c r="BE22" s="19">
        <f>-Operations!BE116</f>
        <v>0</v>
      </c>
      <c r="BF22" s="19">
        <f>-Operations!BF116</f>
        <v>0</v>
      </c>
      <c r="BG22" s="19">
        <f>-Operations!BG116</f>
        <v>0</v>
      </c>
      <c r="BH22" s="19">
        <f>-Operations!BH116</f>
        <v>0</v>
      </c>
      <c r="BI22" s="19">
        <f>-Operations!BI116</f>
        <v>0</v>
      </c>
      <c r="BJ22" s="19">
        <f>-Operations!BJ116</f>
        <v>0</v>
      </c>
      <c r="BK22" s="19">
        <f>-Operations!BK116</f>
        <v>0</v>
      </c>
      <c r="BL22" s="19">
        <f>-Operations!BL116</f>
        <v>0</v>
      </c>
      <c r="BM22" s="19">
        <f>-Operations!BM116</f>
        <v>0</v>
      </c>
      <c r="BN22" s="19">
        <f>-Operations!BN116</f>
        <v>0</v>
      </c>
      <c r="BO22" s="19">
        <f>-Operations!BO116</f>
        <v>0</v>
      </c>
      <c r="BP22" s="19">
        <f>-Operations!BP116</f>
        <v>0</v>
      </c>
      <c r="BQ22" s="19">
        <f>-Operations!BQ116</f>
        <v>0</v>
      </c>
      <c r="BR22" s="19">
        <f>-Operations!BR116</f>
        <v>0</v>
      </c>
      <c r="BS22" s="19">
        <f>-Operations!BS116</f>
        <v>0</v>
      </c>
      <c r="BT22" s="19">
        <f>-Operations!BT116</f>
        <v>0</v>
      </c>
      <c r="BU22" s="19">
        <f>-Operations!BU116</f>
        <v>0</v>
      </c>
      <c r="BV22" s="19">
        <f>-Operations!BV116</f>
        <v>0</v>
      </c>
      <c r="BW22" s="19">
        <f>-Operations!BW116</f>
        <v>0</v>
      </c>
      <c r="BX22" s="19">
        <f>-Operations!BX116</f>
        <v>0</v>
      </c>
      <c r="BY22" s="19">
        <f>-Operations!BY116</f>
        <v>0</v>
      </c>
      <c r="BZ22" s="19">
        <f>-Operations!BZ116</f>
        <v>0</v>
      </c>
      <c r="CA22" s="19">
        <f>-Operations!CA116</f>
        <v>0</v>
      </c>
      <c r="CB22" s="19">
        <f>-Operations!CB116</f>
        <v>0</v>
      </c>
      <c r="CC22" s="19">
        <f>-Operations!CC116</f>
        <v>0</v>
      </c>
      <c r="CD22" s="19">
        <f>-Operations!CD116</f>
        <v>0</v>
      </c>
      <c r="CE22" s="19">
        <f>-Operations!CE116</f>
        <v>0</v>
      </c>
      <c r="CF22" s="19">
        <f>-Operations!CF116</f>
        <v>0</v>
      </c>
      <c r="CG22" s="19">
        <f>-Operations!CG116</f>
        <v>0</v>
      </c>
      <c r="CH22" s="19">
        <f>-Operations!CH116</f>
        <v>0</v>
      </c>
      <c r="CI22" s="19">
        <f>-Operations!CI116</f>
        <v>0</v>
      </c>
      <c r="CJ22" s="19">
        <f>-Operations!CJ116</f>
        <v>0</v>
      </c>
      <c r="CK22" s="19">
        <f>-Operations!CK116</f>
        <v>0</v>
      </c>
      <c r="CL22" s="19">
        <f>-Operations!CL116</f>
        <v>0</v>
      </c>
      <c r="CM22" s="19">
        <f>-Operations!CM116</f>
        <v>0</v>
      </c>
      <c r="CN22" s="19">
        <f>-Operations!CN116</f>
        <v>0</v>
      </c>
      <c r="CO22" s="19">
        <f>-Operations!CO116</f>
        <v>0</v>
      </c>
      <c r="CP22" s="19">
        <f>-Operations!CP116</f>
        <v>0</v>
      </c>
      <c r="CQ22" s="19">
        <f>-Operations!CQ116</f>
        <v>0</v>
      </c>
      <c r="CR22" s="19">
        <f>-Operations!CR116</f>
        <v>0</v>
      </c>
      <c r="CS22" s="19">
        <f>-Operations!CS116</f>
        <v>0</v>
      </c>
      <c r="CT22" s="19">
        <f>-Operations!CT116</f>
        <v>0</v>
      </c>
      <c r="CU22" s="19">
        <f>-Operations!CU116</f>
        <v>0</v>
      </c>
      <c r="CV22" s="19">
        <f>-Operations!CV116</f>
        <v>0</v>
      </c>
      <c r="CW22" s="19">
        <f>-Operations!CW116</f>
        <v>0</v>
      </c>
      <c r="CX22" s="19">
        <f>-Operations!CX116</f>
        <v>0</v>
      </c>
      <c r="CY22" s="19">
        <f>-Operations!CY116</f>
        <v>0</v>
      </c>
      <c r="CZ22" s="19">
        <f>-Operations!CZ116</f>
        <v>0</v>
      </c>
      <c r="DA22" s="19">
        <f>-Operations!DA116</f>
        <v>0</v>
      </c>
      <c r="DB22" s="19">
        <f>-Operations!DB116</f>
        <v>0</v>
      </c>
      <c r="DC22" s="19">
        <f>-Operations!DC116</f>
        <v>0</v>
      </c>
      <c r="DD22" s="19">
        <f>-Operations!DD116</f>
        <v>0</v>
      </c>
      <c r="DE22" s="19">
        <f>-Operations!DE116</f>
        <v>0</v>
      </c>
      <c r="DF22" s="19">
        <f>-Operations!DF116</f>
        <v>0</v>
      </c>
      <c r="DG22" s="19">
        <f>-Operations!DG116</f>
        <v>0</v>
      </c>
      <c r="DH22" s="19">
        <f>-Operations!DH116</f>
        <v>0</v>
      </c>
      <c r="DI22" s="19">
        <f>-Operations!DI116</f>
        <v>0</v>
      </c>
      <c r="DJ22" s="19">
        <f>-Operations!DJ116</f>
        <v>0</v>
      </c>
      <c r="DK22" s="19">
        <f>-Operations!DK116</f>
        <v>0</v>
      </c>
      <c r="DL22" s="19">
        <f>-Operations!DL116</f>
        <v>0</v>
      </c>
      <c r="DM22" s="19">
        <f>-Operations!DM116</f>
        <v>0</v>
      </c>
    </row>
    <row r="23" spans="3:117" outlineLevel="1" x14ac:dyDescent="0.15">
      <c r="C23" t="str">
        <f>Operations!C114</f>
        <v>Post Closure</v>
      </c>
      <c r="D23" s="5" t="s">
        <v>167</v>
      </c>
      <c r="E23" s="23"/>
      <c r="I23" s="35">
        <f t="shared" si="12"/>
        <v>-69960000</v>
      </c>
      <c r="J23" s="19">
        <f>-Operations!J117</f>
        <v>0</v>
      </c>
      <c r="K23" s="19">
        <f>-Operations!K117</f>
        <v>0</v>
      </c>
      <c r="L23" s="19">
        <f>-Operations!L117</f>
        <v>0</v>
      </c>
      <c r="M23" s="19">
        <f>-Operations!M117</f>
        <v>0</v>
      </c>
      <c r="N23" s="19">
        <f>-Operations!N117</f>
        <v>0</v>
      </c>
      <c r="O23" s="19">
        <f>-Operations!O117</f>
        <v>0</v>
      </c>
      <c r="P23" s="19">
        <f>-Operations!P117</f>
        <v>0</v>
      </c>
      <c r="Q23" s="19">
        <f>-Operations!Q117</f>
        <v>0</v>
      </c>
      <c r="R23" s="19">
        <f>-Operations!R117</f>
        <v>0</v>
      </c>
      <c r="S23" s="19">
        <f>-Operations!S117</f>
        <v>0</v>
      </c>
      <c r="T23" s="19">
        <f>-Operations!T117</f>
        <v>0</v>
      </c>
      <c r="U23" s="19">
        <f>-Operations!U117</f>
        <v>0</v>
      </c>
      <c r="V23" s="19">
        <f>-Operations!V117</f>
        <v>0</v>
      </c>
      <c r="W23" s="19">
        <f>-Operations!W117</f>
        <v>0</v>
      </c>
      <c r="X23" s="19">
        <f>-Operations!X117</f>
        <v>0</v>
      </c>
      <c r="Y23" s="19">
        <f>-Operations!Y117</f>
        <v>-69960000</v>
      </c>
      <c r="Z23" s="19">
        <f>-Operations!Z117</f>
        <v>0</v>
      </c>
      <c r="AA23" s="19">
        <f>-Operations!AA117</f>
        <v>0</v>
      </c>
      <c r="AB23" s="19">
        <f>-Operations!AB117</f>
        <v>0</v>
      </c>
      <c r="AC23" s="19">
        <f>-Operations!AC117</f>
        <v>0</v>
      </c>
      <c r="AD23" s="19">
        <f>-Operations!AD117</f>
        <v>0</v>
      </c>
      <c r="AE23" s="19">
        <f>-Operations!AE117</f>
        <v>0</v>
      </c>
      <c r="AF23" s="19">
        <f>-Operations!AF117</f>
        <v>0</v>
      </c>
      <c r="AG23" s="19">
        <f>-Operations!AG117</f>
        <v>0</v>
      </c>
      <c r="AH23" s="19">
        <f>-Operations!AH117</f>
        <v>0</v>
      </c>
      <c r="AI23" s="19">
        <f>-Operations!AI117</f>
        <v>0</v>
      </c>
      <c r="AJ23" s="19">
        <f>-Operations!AJ117</f>
        <v>0</v>
      </c>
      <c r="AK23" s="19">
        <f>-Operations!AK117</f>
        <v>0</v>
      </c>
      <c r="AL23" s="19">
        <f>-Operations!AL117</f>
        <v>0</v>
      </c>
      <c r="AM23" s="19">
        <f>-Operations!AM117</f>
        <v>0</v>
      </c>
      <c r="AN23" s="19">
        <f>-Operations!AN117</f>
        <v>0</v>
      </c>
      <c r="AO23" s="19">
        <f>-Operations!AO117</f>
        <v>0</v>
      </c>
      <c r="AP23" s="19">
        <f>-Operations!AP117</f>
        <v>0</v>
      </c>
      <c r="AQ23" s="19">
        <f>-Operations!AQ117</f>
        <v>0</v>
      </c>
      <c r="AR23" s="19">
        <f>-Operations!AR117</f>
        <v>0</v>
      </c>
      <c r="AS23" s="19">
        <f>-Operations!AS117</f>
        <v>0</v>
      </c>
      <c r="AT23" s="19">
        <f>-Operations!AT117</f>
        <v>0</v>
      </c>
      <c r="AU23" s="19">
        <f>-Operations!AU117</f>
        <v>0</v>
      </c>
      <c r="AV23" s="19">
        <f>-Operations!AV117</f>
        <v>0</v>
      </c>
      <c r="AW23" s="19">
        <f>-Operations!AW117</f>
        <v>0</v>
      </c>
      <c r="AX23" s="19">
        <f>-Operations!AX117</f>
        <v>0</v>
      </c>
      <c r="AY23" s="19">
        <f>-Operations!AY117</f>
        <v>0</v>
      </c>
      <c r="AZ23" s="19">
        <f>-Operations!AZ117</f>
        <v>0</v>
      </c>
      <c r="BA23" s="19">
        <f>-Operations!BA117</f>
        <v>0</v>
      </c>
      <c r="BB23" s="19">
        <f>-Operations!BB117</f>
        <v>0</v>
      </c>
      <c r="BC23" s="19">
        <f>-Operations!BC117</f>
        <v>0</v>
      </c>
      <c r="BD23" s="19">
        <f>-Operations!BD117</f>
        <v>0</v>
      </c>
      <c r="BE23" s="19">
        <f>-Operations!BE117</f>
        <v>0</v>
      </c>
      <c r="BF23" s="19">
        <f>-Operations!BF117</f>
        <v>0</v>
      </c>
      <c r="BG23" s="19">
        <f>-Operations!BG117</f>
        <v>0</v>
      </c>
      <c r="BH23" s="19">
        <f>-Operations!BH117</f>
        <v>0</v>
      </c>
      <c r="BI23" s="19">
        <f>-Operations!BI117</f>
        <v>0</v>
      </c>
      <c r="BJ23" s="19">
        <f>-Operations!BJ117</f>
        <v>0</v>
      </c>
      <c r="BK23" s="19">
        <f>-Operations!BK117</f>
        <v>0</v>
      </c>
      <c r="BL23" s="19">
        <f>-Operations!BL117</f>
        <v>0</v>
      </c>
      <c r="BM23" s="19">
        <f>-Operations!BM117</f>
        <v>0</v>
      </c>
      <c r="BN23" s="19">
        <f>-Operations!BN117</f>
        <v>0</v>
      </c>
      <c r="BO23" s="19">
        <f>-Operations!BO117</f>
        <v>0</v>
      </c>
      <c r="BP23" s="19">
        <f>-Operations!BP117</f>
        <v>0</v>
      </c>
      <c r="BQ23" s="19">
        <f>-Operations!BQ117</f>
        <v>0</v>
      </c>
      <c r="BR23" s="19">
        <f>-Operations!BR117</f>
        <v>0</v>
      </c>
      <c r="BS23" s="19">
        <f>-Operations!BS117</f>
        <v>0</v>
      </c>
      <c r="BT23" s="19">
        <f>-Operations!BT117</f>
        <v>0</v>
      </c>
      <c r="BU23" s="19">
        <f>-Operations!BU117</f>
        <v>0</v>
      </c>
      <c r="BV23" s="19">
        <f>-Operations!BV117</f>
        <v>0</v>
      </c>
      <c r="BW23" s="19">
        <f>-Operations!BW117</f>
        <v>0</v>
      </c>
      <c r="BX23" s="19">
        <f>-Operations!BX117</f>
        <v>0</v>
      </c>
      <c r="BY23" s="19">
        <f>-Operations!BY117</f>
        <v>0</v>
      </c>
      <c r="BZ23" s="19">
        <f>-Operations!BZ117</f>
        <v>0</v>
      </c>
      <c r="CA23" s="19">
        <f>-Operations!CA117</f>
        <v>0</v>
      </c>
      <c r="CB23" s="19">
        <f>-Operations!CB117</f>
        <v>0</v>
      </c>
      <c r="CC23" s="19">
        <f>-Operations!CC117</f>
        <v>0</v>
      </c>
      <c r="CD23" s="19">
        <f>-Operations!CD117</f>
        <v>0</v>
      </c>
      <c r="CE23" s="19">
        <f>-Operations!CE117</f>
        <v>0</v>
      </c>
      <c r="CF23" s="19">
        <f>-Operations!CF117</f>
        <v>0</v>
      </c>
      <c r="CG23" s="19">
        <f>-Operations!CG117</f>
        <v>0</v>
      </c>
      <c r="CH23" s="19">
        <f>-Operations!CH117</f>
        <v>0</v>
      </c>
      <c r="CI23" s="19">
        <f>-Operations!CI117</f>
        <v>0</v>
      </c>
      <c r="CJ23" s="19">
        <f>-Operations!CJ117</f>
        <v>0</v>
      </c>
      <c r="CK23" s="19">
        <f>-Operations!CK117</f>
        <v>0</v>
      </c>
      <c r="CL23" s="19">
        <f>-Operations!CL117</f>
        <v>0</v>
      </c>
      <c r="CM23" s="19">
        <f>-Operations!CM117</f>
        <v>0</v>
      </c>
      <c r="CN23" s="19">
        <f>-Operations!CN117</f>
        <v>0</v>
      </c>
      <c r="CO23" s="19">
        <f>-Operations!CO117</f>
        <v>0</v>
      </c>
      <c r="CP23" s="19">
        <f>-Operations!CP117</f>
        <v>0</v>
      </c>
      <c r="CQ23" s="19">
        <f>-Operations!CQ117</f>
        <v>0</v>
      </c>
      <c r="CR23" s="19">
        <f>-Operations!CR117</f>
        <v>0</v>
      </c>
      <c r="CS23" s="19">
        <f>-Operations!CS117</f>
        <v>0</v>
      </c>
      <c r="CT23" s="19">
        <f>-Operations!CT117</f>
        <v>0</v>
      </c>
      <c r="CU23" s="19">
        <f>-Operations!CU117</f>
        <v>0</v>
      </c>
      <c r="CV23" s="19">
        <f>-Operations!CV117</f>
        <v>0</v>
      </c>
      <c r="CW23" s="19">
        <f>-Operations!CW117</f>
        <v>0</v>
      </c>
      <c r="CX23" s="19">
        <f>-Operations!CX117</f>
        <v>0</v>
      </c>
      <c r="CY23" s="19">
        <f>-Operations!CY117</f>
        <v>0</v>
      </c>
      <c r="CZ23" s="19">
        <f>-Operations!CZ117</f>
        <v>0</v>
      </c>
      <c r="DA23" s="19">
        <f>-Operations!DA117</f>
        <v>0</v>
      </c>
      <c r="DB23" s="19">
        <f>-Operations!DB117</f>
        <v>0</v>
      </c>
      <c r="DC23" s="19">
        <f>-Operations!DC117</f>
        <v>0</v>
      </c>
      <c r="DD23" s="19">
        <f>-Operations!DD117</f>
        <v>0</v>
      </c>
      <c r="DE23" s="19">
        <f>-Operations!DE117</f>
        <v>0</v>
      </c>
      <c r="DF23" s="19">
        <f>-Operations!DF117</f>
        <v>0</v>
      </c>
      <c r="DG23" s="19">
        <f>-Operations!DG117</f>
        <v>0</v>
      </c>
      <c r="DH23" s="19">
        <f>-Operations!DH117</f>
        <v>0</v>
      </c>
      <c r="DI23" s="19">
        <f>-Operations!DI117</f>
        <v>0</v>
      </c>
      <c r="DJ23" s="19">
        <f>-Operations!DJ117</f>
        <v>0</v>
      </c>
      <c r="DK23" s="19">
        <f>-Operations!DK117</f>
        <v>0</v>
      </c>
      <c r="DL23" s="19">
        <f>-Operations!DL117</f>
        <v>0</v>
      </c>
      <c r="DM23" s="19">
        <f>-Operations!DM117</f>
        <v>0</v>
      </c>
    </row>
    <row r="24" spans="3:117" outlineLevel="1" x14ac:dyDescent="0.15">
      <c r="C24" s="23" t="s">
        <v>16</v>
      </c>
      <c r="D24" s="5" t="s">
        <v>167</v>
      </c>
      <c r="I24" s="35">
        <f t="shared" si="12"/>
        <v>-3021264430.0000005</v>
      </c>
      <c r="J24" s="38">
        <f t="shared" ref="J24:AO24" si="13">SUM(J21:J23)</f>
        <v>-232295554.04907975</v>
      </c>
      <c r="K24" s="38">
        <f t="shared" si="13"/>
        <v>-511440631.60385638</v>
      </c>
      <c r="L24" s="38">
        <f t="shared" si="13"/>
        <v>-952606977.94916749</v>
      </c>
      <c r="M24" s="38">
        <f t="shared" si="13"/>
        <v>-530961266.39789659</v>
      </c>
      <c r="N24" s="38">
        <f t="shared" si="13"/>
        <v>-144000000</v>
      </c>
      <c r="O24" s="38">
        <f t="shared" si="13"/>
        <v>-150000000</v>
      </c>
      <c r="P24" s="38">
        <f t="shared" si="13"/>
        <v>-132000000</v>
      </c>
      <c r="Q24" s="38">
        <f t="shared" si="13"/>
        <v>-114000000</v>
      </c>
      <c r="R24" s="38">
        <f t="shared" si="13"/>
        <v>-78000000</v>
      </c>
      <c r="S24" s="38">
        <f t="shared" si="13"/>
        <v>-18000000</v>
      </c>
      <c r="T24" s="38">
        <f t="shared" si="13"/>
        <v>-22000000</v>
      </c>
      <c r="U24" s="38">
        <f t="shared" si="13"/>
        <v>-10000000</v>
      </c>
      <c r="V24" s="38">
        <f t="shared" si="13"/>
        <v>-10000000</v>
      </c>
      <c r="W24" s="38">
        <f t="shared" si="13"/>
        <v>0</v>
      </c>
      <c r="X24" s="38">
        <f t="shared" si="13"/>
        <v>-46000000</v>
      </c>
      <c r="Y24" s="38">
        <f t="shared" si="13"/>
        <v>-69960000</v>
      </c>
      <c r="Z24" s="38">
        <f t="shared" si="13"/>
        <v>0</v>
      </c>
      <c r="AA24" s="38">
        <f t="shared" si="13"/>
        <v>0</v>
      </c>
      <c r="AB24" s="38">
        <f t="shared" si="13"/>
        <v>0</v>
      </c>
      <c r="AC24" s="38">
        <f t="shared" si="13"/>
        <v>0</v>
      </c>
      <c r="AD24" s="38">
        <f t="shared" si="13"/>
        <v>0</v>
      </c>
      <c r="AE24" s="38">
        <f t="shared" si="13"/>
        <v>0</v>
      </c>
      <c r="AF24" s="38">
        <f t="shared" si="13"/>
        <v>0</v>
      </c>
      <c r="AG24" s="38">
        <f t="shared" si="13"/>
        <v>0</v>
      </c>
      <c r="AH24" s="38">
        <f t="shared" si="13"/>
        <v>0</v>
      </c>
      <c r="AI24" s="38">
        <f t="shared" si="13"/>
        <v>0</v>
      </c>
      <c r="AJ24" s="38">
        <f t="shared" si="13"/>
        <v>0</v>
      </c>
      <c r="AK24" s="38">
        <f t="shared" si="13"/>
        <v>0</v>
      </c>
      <c r="AL24" s="38">
        <f t="shared" si="13"/>
        <v>0</v>
      </c>
      <c r="AM24" s="38">
        <f t="shared" si="13"/>
        <v>0</v>
      </c>
      <c r="AN24" s="38">
        <f t="shared" si="13"/>
        <v>0</v>
      </c>
      <c r="AO24" s="38">
        <f t="shared" si="13"/>
        <v>0</v>
      </c>
      <c r="AP24" s="38">
        <f t="shared" ref="AP24:BU24" si="14">SUM(AP21:AP23)</f>
        <v>0</v>
      </c>
      <c r="AQ24" s="38">
        <f t="shared" si="14"/>
        <v>0</v>
      </c>
      <c r="AR24" s="38">
        <f t="shared" si="14"/>
        <v>0</v>
      </c>
      <c r="AS24" s="38">
        <f t="shared" si="14"/>
        <v>0</v>
      </c>
      <c r="AT24" s="38">
        <f t="shared" si="14"/>
        <v>0</v>
      </c>
      <c r="AU24" s="38">
        <f t="shared" si="14"/>
        <v>0</v>
      </c>
      <c r="AV24" s="38">
        <f t="shared" si="14"/>
        <v>0</v>
      </c>
      <c r="AW24" s="38">
        <f t="shared" si="14"/>
        <v>0</v>
      </c>
      <c r="AX24" s="38">
        <f t="shared" si="14"/>
        <v>0</v>
      </c>
      <c r="AY24" s="38">
        <f t="shared" si="14"/>
        <v>0</v>
      </c>
      <c r="AZ24" s="38">
        <f t="shared" si="14"/>
        <v>0</v>
      </c>
      <c r="BA24" s="38">
        <f t="shared" si="14"/>
        <v>0</v>
      </c>
      <c r="BB24" s="38">
        <f t="shared" si="14"/>
        <v>0</v>
      </c>
      <c r="BC24" s="38">
        <f t="shared" si="14"/>
        <v>0</v>
      </c>
      <c r="BD24" s="38">
        <f t="shared" si="14"/>
        <v>0</v>
      </c>
      <c r="BE24" s="38">
        <f t="shared" si="14"/>
        <v>0</v>
      </c>
      <c r="BF24" s="38">
        <f t="shared" si="14"/>
        <v>0</v>
      </c>
      <c r="BG24" s="38">
        <f t="shared" si="14"/>
        <v>0</v>
      </c>
      <c r="BH24" s="38">
        <f t="shared" si="14"/>
        <v>0</v>
      </c>
      <c r="BI24" s="38">
        <f t="shared" si="14"/>
        <v>0</v>
      </c>
      <c r="BJ24" s="38">
        <f t="shared" si="14"/>
        <v>0</v>
      </c>
      <c r="BK24" s="38">
        <f t="shared" si="14"/>
        <v>0</v>
      </c>
      <c r="BL24" s="38">
        <f t="shared" si="14"/>
        <v>0</v>
      </c>
      <c r="BM24" s="38">
        <f t="shared" si="14"/>
        <v>0</v>
      </c>
      <c r="BN24" s="38">
        <f t="shared" si="14"/>
        <v>0</v>
      </c>
      <c r="BO24" s="38">
        <f t="shared" si="14"/>
        <v>0</v>
      </c>
      <c r="BP24" s="38">
        <f t="shared" si="14"/>
        <v>0</v>
      </c>
      <c r="BQ24" s="38">
        <f t="shared" si="14"/>
        <v>0</v>
      </c>
      <c r="BR24" s="38">
        <f t="shared" si="14"/>
        <v>0</v>
      </c>
      <c r="BS24" s="38">
        <f t="shared" si="14"/>
        <v>0</v>
      </c>
      <c r="BT24" s="38">
        <f t="shared" si="14"/>
        <v>0</v>
      </c>
      <c r="BU24" s="38">
        <f t="shared" si="14"/>
        <v>0</v>
      </c>
      <c r="BV24" s="38">
        <f t="shared" ref="BV24:DA24" si="15">SUM(BV21:BV23)</f>
        <v>0</v>
      </c>
      <c r="BW24" s="38">
        <f t="shared" si="15"/>
        <v>0</v>
      </c>
      <c r="BX24" s="38">
        <f t="shared" si="15"/>
        <v>0</v>
      </c>
      <c r="BY24" s="38">
        <f t="shared" si="15"/>
        <v>0</v>
      </c>
      <c r="BZ24" s="38">
        <f t="shared" si="15"/>
        <v>0</v>
      </c>
      <c r="CA24" s="38">
        <f t="shared" si="15"/>
        <v>0</v>
      </c>
      <c r="CB24" s="38">
        <f t="shared" si="15"/>
        <v>0</v>
      </c>
      <c r="CC24" s="38">
        <f t="shared" si="15"/>
        <v>0</v>
      </c>
      <c r="CD24" s="38">
        <f t="shared" si="15"/>
        <v>0</v>
      </c>
      <c r="CE24" s="38">
        <f t="shared" si="15"/>
        <v>0</v>
      </c>
      <c r="CF24" s="38">
        <f t="shared" si="15"/>
        <v>0</v>
      </c>
      <c r="CG24" s="38">
        <f t="shared" si="15"/>
        <v>0</v>
      </c>
      <c r="CH24" s="38">
        <f t="shared" si="15"/>
        <v>0</v>
      </c>
      <c r="CI24" s="38">
        <f t="shared" si="15"/>
        <v>0</v>
      </c>
      <c r="CJ24" s="38">
        <f t="shared" si="15"/>
        <v>0</v>
      </c>
      <c r="CK24" s="38">
        <f t="shared" si="15"/>
        <v>0</v>
      </c>
      <c r="CL24" s="38">
        <f t="shared" si="15"/>
        <v>0</v>
      </c>
      <c r="CM24" s="38">
        <f t="shared" si="15"/>
        <v>0</v>
      </c>
      <c r="CN24" s="38">
        <f t="shared" si="15"/>
        <v>0</v>
      </c>
      <c r="CO24" s="38">
        <f t="shared" si="15"/>
        <v>0</v>
      </c>
      <c r="CP24" s="38">
        <f t="shared" si="15"/>
        <v>0</v>
      </c>
      <c r="CQ24" s="38">
        <f t="shared" si="15"/>
        <v>0</v>
      </c>
      <c r="CR24" s="38">
        <f t="shared" si="15"/>
        <v>0</v>
      </c>
      <c r="CS24" s="38">
        <f t="shared" si="15"/>
        <v>0</v>
      </c>
      <c r="CT24" s="38">
        <f t="shared" si="15"/>
        <v>0</v>
      </c>
      <c r="CU24" s="38">
        <f t="shared" si="15"/>
        <v>0</v>
      </c>
      <c r="CV24" s="38">
        <f t="shared" si="15"/>
        <v>0</v>
      </c>
      <c r="CW24" s="38">
        <f t="shared" si="15"/>
        <v>0</v>
      </c>
      <c r="CX24" s="38">
        <f t="shared" si="15"/>
        <v>0</v>
      </c>
      <c r="CY24" s="38">
        <f t="shared" si="15"/>
        <v>0</v>
      </c>
      <c r="CZ24" s="38">
        <f t="shared" si="15"/>
        <v>0</v>
      </c>
      <c r="DA24" s="38">
        <f t="shared" si="15"/>
        <v>0</v>
      </c>
      <c r="DB24" s="38">
        <f t="shared" ref="DB24:DM24" si="16">SUM(DB21:DB23)</f>
        <v>0</v>
      </c>
      <c r="DC24" s="38">
        <f t="shared" si="16"/>
        <v>0</v>
      </c>
      <c r="DD24" s="38">
        <f t="shared" si="16"/>
        <v>0</v>
      </c>
      <c r="DE24" s="38">
        <f t="shared" si="16"/>
        <v>0</v>
      </c>
      <c r="DF24" s="38">
        <f t="shared" si="16"/>
        <v>0</v>
      </c>
      <c r="DG24" s="38">
        <f t="shared" si="16"/>
        <v>0</v>
      </c>
      <c r="DH24" s="38">
        <f t="shared" si="16"/>
        <v>0</v>
      </c>
      <c r="DI24" s="38">
        <f t="shared" si="16"/>
        <v>0</v>
      </c>
      <c r="DJ24" s="38">
        <f t="shared" si="16"/>
        <v>0</v>
      </c>
      <c r="DK24" s="38">
        <f t="shared" si="16"/>
        <v>0</v>
      </c>
      <c r="DL24" s="38">
        <f t="shared" si="16"/>
        <v>0</v>
      </c>
      <c r="DM24" s="38">
        <f t="shared" si="16"/>
        <v>0</v>
      </c>
    </row>
    <row r="25" spans="3:117" outlineLevel="1" x14ac:dyDescent="0.15"/>
    <row r="26" spans="3:117" outlineLevel="1" x14ac:dyDescent="0.15">
      <c r="C26" s="23" t="s">
        <v>100</v>
      </c>
      <c r="D26" s="5" t="s">
        <v>167</v>
      </c>
      <c r="I26" s="35">
        <f t="shared" si="12"/>
        <v>17285020954.166664</v>
      </c>
      <c r="J26" s="40">
        <f t="shared" ref="J26:AO26" si="17">J12+J18+J24+J15</f>
        <v>-232295554.04907975</v>
      </c>
      <c r="K26" s="40">
        <f t="shared" si="17"/>
        <v>-511440631.60385638</v>
      </c>
      <c r="L26" s="40">
        <f t="shared" si="17"/>
        <v>-952606977.94916749</v>
      </c>
      <c r="M26" s="40">
        <f t="shared" si="17"/>
        <v>-530961266.39789659</v>
      </c>
      <c r="N26" s="40">
        <f t="shared" si="17"/>
        <v>2211699670.2017503</v>
      </c>
      <c r="O26" s="40">
        <f t="shared" si="17"/>
        <v>2460698259.5248036</v>
      </c>
      <c r="P26" s="40">
        <f t="shared" si="17"/>
        <v>2550202874.9750037</v>
      </c>
      <c r="Q26" s="40">
        <f t="shared" si="17"/>
        <v>2573490662.8817658</v>
      </c>
      <c r="R26" s="40">
        <f t="shared" si="17"/>
        <v>2600239951.2983103</v>
      </c>
      <c r="S26" s="40">
        <f t="shared" si="17"/>
        <v>1242248738.3217769</v>
      </c>
      <c r="T26" s="40">
        <f t="shared" si="17"/>
        <v>1369349972.281878</v>
      </c>
      <c r="U26" s="40">
        <f t="shared" si="17"/>
        <v>1517146124.4652221</v>
      </c>
      <c r="V26" s="40">
        <f t="shared" si="17"/>
        <v>1249272247.6586628</v>
      </c>
      <c r="W26" s="40">
        <f t="shared" si="17"/>
        <v>1300312424.0519645</v>
      </c>
      <c r="X26" s="40">
        <f t="shared" si="17"/>
        <v>507624458.50552768</v>
      </c>
      <c r="Y26" s="40">
        <f t="shared" si="17"/>
        <v>-69960000</v>
      </c>
      <c r="Z26" s="40">
        <f t="shared" si="17"/>
        <v>0</v>
      </c>
      <c r="AA26" s="40">
        <f t="shared" si="17"/>
        <v>0</v>
      </c>
      <c r="AB26" s="40">
        <f t="shared" si="17"/>
        <v>0</v>
      </c>
      <c r="AC26" s="40">
        <f t="shared" si="17"/>
        <v>0</v>
      </c>
      <c r="AD26" s="40">
        <f t="shared" si="17"/>
        <v>0</v>
      </c>
      <c r="AE26" s="40">
        <f t="shared" si="17"/>
        <v>0</v>
      </c>
      <c r="AF26" s="40">
        <f t="shared" si="17"/>
        <v>0</v>
      </c>
      <c r="AG26" s="40">
        <f t="shared" si="17"/>
        <v>0</v>
      </c>
      <c r="AH26" s="40">
        <f t="shared" si="17"/>
        <v>0</v>
      </c>
      <c r="AI26" s="40">
        <f t="shared" si="17"/>
        <v>0</v>
      </c>
      <c r="AJ26" s="40">
        <f t="shared" si="17"/>
        <v>0</v>
      </c>
      <c r="AK26" s="40">
        <f t="shared" si="17"/>
        <v>0</v>
      </c>
      <c r="AL26" s="40">
        <f t="shared" si="17"/>
        <v>0</v>
      </c>
      <c r="AM26" s="40">
        <f t="shared" si="17"/>
        <v>0</v>
      </c>
      <c r="AN26" s="40">
        <f t="shared" si="17"/>
        <v>0</v>
      </c>
      <c r="AO26" s="40">
        <f t="shared" si="17"/>
        <v>0</v>
      </c>
      <c r="AP26" s="40">
        <f t="shared" ref="AP26:BU26" si="18">AP12+AP18+AP24+AP15</f>
        <v>0</v>
      </c>
      <c r="AQ26" s="40">
        <f t="shared" si="18"/>
        <v>0</v>
      </c>
      <c r="AR26" s="40">
        <f t="shared" si="18"/>
        <v>0</v>
      </c>
      <c r="AS26" s="40">
        <f t="shared" si="18"/>
        <v>0</v>
      </c>
      <c r="AT26" s="40">
        <f t="shared" si="18"/>
        <v>0</v>
      </c>
      <c r="AU26" s="40">
        <f t="shared" si="18"/>
        <v>0</v>
      </c>
      <c r="AV26" s="40">
        <f t="shared" si="18"/>
        <v>0</v>
      </c>
      <c r="AW26" s="40">
        <f t="shared" si="18"/>
        <v>0</v>
      </c>
      <c r="AX26" s="40">
        <f t="shared" si="18"/>
        <v>0</v>
      </c>
      <c r="AY26" s="40">
        <f t="shared" si="18"/>
        <v>0</v>
      </c>
      <c r="AZ26" s="40">
        <f t="shared" si="18"/>
        <v>0</v>
      </c>
      <c r="BA26" s="40">
        <f t="shared" si="18"/>
        <v>0</v>
      </c>
      <c r="BB26" s="40">
        <f t="shared" si="18"/>
        <v>0</v>
      </c>
      <c r="BC26" s="40">
        <f t="shared" si="18"/>
        <v>0</v>
      </c>
      <c r="BD26" s="40">
        <f t="shared" si="18"/>
        <v>0</v>
      </c>
      <c r="BE26" s="40">
        <f t="shared" si="18"/>
        <v>0</v>
      </c>
      <c r="BF26" s="40">
        <f t="shared" si="18"/>
        <v>0</v>
      </c>
      <c r="BG26" s="40">
        <f t="shared" si="18"/>
        <v>0</v>
      </c>
      <c r="BH26" s="40">
        <f t="shared" si="18"/>
        <v>0</v>
      </c>
      <c r="BI26" s="40">
        <f t="shared" si="18"/>
        <v>0</v>
      </c>
      <c r="BJ26" s="40">
        <f t="shared" si="18"/>
        <v>0</v>
      </c>
      <c r="BK26" s="40">
        <f t="shared" si="18"/>
        <v>0</v>
      </c>
      <c r="BL26" s="40">
        <f t="shared" si="18"/>
        <v>0</v>
      </c>
      <c r="BM26" s="40">
        <f t="shared" si="18"/>
        <v>0</v>
      </c>
      <c r="BN26" s="40">
        <f t="shared" si="18"/>
        <v>0</v>
      </c>
      <c r="BO26" s="40">
        <f t="shared" si="18"/>
        <v>0</v>
      </c>
      <c r="BP26" s="40">
        <f t="shared" si="18"/>
        <v>0</v>
      </c>
      <c r="BQ26" s="40">
        <f t="shared" si="18"/>
        <v>0</v>
      </c>
      <c r="BR26" s="40">
        <f t="shared" si="18"/>
        <v>0</v>
      </c>
      <c r="BS26" s="40">
        <f t="shared" si="18"/>
        <v>0</v>
      </c>
      <c r="BT26" s="40">
        <f t="shared" si="18"/>
        <v>0</v>
      </c>
      <c r="BU26" s="40">
        <f t="shared" si="18"/>
        <v>0</v>
      </c>
      <c r="BV26" s="40">
        <f t="shared" ref="BV26:DA26" si="19">BV12+BV18+BV24+BV15</f>
        <v>0</v>
      </c>
      <c r="BW26" s="40">
        <f t="shared" si="19"/>
        <v>0</v>
      </c>
      <c r="BX26" s="40">
        <f t="shared" si="19"/>
        <v>0</v>
      </c>
      <c r="BY26" s="40">
        <f t="shared" si="19"/>
        <v>0</v>
      </c>
      <c r="BZ26" s="40">
        <f t="shared" si="19"/>
        <v>0</v>
      </c>
      <c r="CA26" s="40">
        <f t="shared" si="19"/>
        <v>0</v>
      </c>
      <c r="CB26" s="40">
        <f t="shared" si="19"/>
        <v>0</v>
      </c>
      <c r="CC26" s="40">
        <f t="shared" si="19"/>
        <v>0</v>
      </c>
      <c r="CD26" s="40">
        <f t="shared" si="19"/>
        <v>0</v>
      </c>
      <c r="CE26" s="40">
        <f t="shared" si="19"/>
        <v>0</v>
      </c>
      <c r="CF26" s="40">
        <f t="shared" si="19"/>
        <v>0</v>
      </c>
      <c r="CG26" s="40">
        <f t="shared" si="19"/>
        <v>0</v>
      </c>
      <c r="CH26" s="40">
        <f t="shared" si="19"/>
        <v>0</v>
      </c>
      <c r="CI26" s="40">
        <f t="shared" si="19"/>
        <v>0</v>
      </c>
      <c r="CJ26" s="40">
        <f t="shared" si="19"/>
        <v>0</v>
      </c>
      <c r="CK26" s="40">
        <f t="shared" si="19"/>
        <v>0</v>
      </c>
      <c r="CL26" s="40">
        <f t="shared" si="19"/>
        <v>0</v>
      </c>
      <c r="CM26" s="40">
        <f t="shared" si="19"/>
        <v>0</v>
      </c>
      <c r="CN26" s="40">
        <f t="shared" si="19"/>
        <v>0</v>
      </c>
      <c r="CO26" s="40">
        <f t="shared" si="19"/>
        <v>0</v>
      </c>
      <c r="CP26" s="40">
        <f t="shared" si="19"/>
        <v>0</v>
      </c>
      <c r="CQ26" s="40">
        <f t="shared" si="19"/>
        <v>0</v>
      </c>
      <c r="CR26" s="40">
        <f t="shared" si="19"/>
        <v>0</v>
      </c>
      <c r="CS26" s="40">
        <f t="shared" si="19"/>
        <v>0</v>
      </c>
      <c r="CT26" s="40">
        <f t="shared" si="19"/>
        <v>0</v>
      </c>
      <c r="CU26" s="40">
        <f t="shared" si="19"/>
        <v>0</v>
      </c>
      <c r="CV26" s="40">
        <f t="shared" si="19"/>
        <v>0</v>
      </c>
      <c r="CW26" s="40">
        <f t="shared" si="19"/>
        <v>0</v>
      </c>
      <c r="CX26" s="40">
        <f t="shared" si="19"/>
        <v>0</v>
      </c>
      <c r="CY26" s="40">
        <f t="shared" si="19"/>
        <v>0</v>
      </c>
      <c r="CZ26" s="40">
        <f t="shared" si="19"/>
        <v>0</v>
      </c>
      <c r="DA26" s="40">
        <f t="shared" si="19"/>
        <v>0</v>
      </c>
      <c r="DB26" s="40">
        <f t="shared" ref="DB26:DM26" si="20">DB12+DB18+DB24+DB15</f>
        <v>0</v>
      </c>
      <c r="DC26" s="40">
        <f t="shared" si="20"/>
        <v>0</v>
      </c>
      <c r="DD26" s="40">
        <f t="shared" si="20"/>
        <v>0</v>
      </c>
      <c r="DE26" s="40">
        <f t="shared" si="20"/>
        <v>0</v>
      </c>
      <c r="DF26" s="40">
        <f t="shared" si="20"/>
        <v>0</v>
      </c>
      <c r="DG26" s="40">
        <f t="shared" si="20"/>
        <v>0</v>
      </c>
      <c r="DH26" s="40">
        <f t="shared" si="20"/>
        <v>0</v>
      </c>
      <c r="DI26" s="40">
        <f t="shared" si="20"/>
        <v>0</v>
      </c>
      <c r="DJ26" s="40">
        <f t="shared" si="20"/>
        <v>0</v>
      </c>
      <c r="DK26" s="40">
        <f t="shared" si="20"/>
        <v>0</v>
      </c>
      <c r="DL26" s="40">
        <f t="shared" si="20"/>
        <v>0</v>
      </c>
      <c r="DM26" s="40">
        <f t="shared" si="20"/>
        <v>0</v>
      </c>
    </row>
    <row r="27" spans="3:117" outlineLevel="1" x14ac:dyDescent="0.15"/>
    <row r="28" spans="3:117" outlineLevel="1" x14ac:dyDescent="0.15">
      <c r="C28" t="s">
        <v>60</v>
      </c>
      <c r="D28" s="5" t="s">
        <v>167</v>
      </c>
      <c r="I28" s="35">
        <f t="shared" ref="I28:I30" si="21">SUM(J28:DM28)</f>
        <v>-3838161303.776648</v>
      </c>
      <c r="J28" s="19">
        <f>-Taxes!J22</f>
        <v>0</v>
      </c>
      <c r="K28" s="141">
        <f>-Taxes!K22</f>
        <v>0</v>
      </c>
      <c r="L28" s="19">
        <f>-Taxes!L22</f>
        <v>0</v>
      </c>
      <c r="M28" s="19">
        <f>-Taxes!M22</f>
        <v>0</v>
      </c>
      <c r="N28" s="19">
        <f>-Taxes!N22</f>
        <v>-396283832.64810592</v>
      </c>
      <c r="O28" s="19">
        <f>-Taxes!O22</f>
        <v>-444565004.45874298</v>
      </c>
      <c r="P28" s="19">
        <f>-Taxes!P22</f>
        <v>-452029463.45053405</v>
      </c>
      <c r="Q28" s="19">
        <f>-Taxes!Q22</f>
        <v>-445866073.19746083</v>
      </c>
      <c r="R28" s="19">
        <f>-Taxes!R22</f>
        <v>-561463335.35990274</v>
      </c>
      <c r="S28" s="19">
        <f>-Taxes!S22</f>
        <v>-251693434.83380562</v>
      </c>
      <c r="T28" s="19">
        <f>-Taxes!T22</f>
        <v>-288031486.89195007</v>
      </c>
      <c r="U28" s="19">
        <f>-Taxes!U22</f>
        <v>-324178151.01909161</v>
      </c>
      <c r="V28" s="19">
        <f>-Taxes!V22</f>
        <v>-270762055.78542328</v>
      </c>
      <c r="W28" s="19">
        <f>-Taxes!W22</f>
        <v>-283629276.09286457</v>
      </c>
      <c r="X28" s="19">
        <f>-Taxes!X22</f>
        <v>-119659190.03876653</v>
      </c>
      <c r="Y28" s="19">
        <f>-Taxes!Y22</f>
        <v>0</v>
      </c>
      <c r="Z28" s="19">
        <f>-Taxes!Z22</f>
        <v>0</v>
      </c>
      <c r="AA28" s="19">
        <f>-Taxes!AA22</f>
        <v>0</v>
      </c>
      <c r="AB28" s="19">
        <f>-Taxes!AB22</f>
        <v>0</v>
      </c>
      <c r="AC28" s="19">
        <f>-Taxes!AC22</f>
        <v>0</v>
      </c>
      <c r="AD28" s="19">
        <f>-Taxes!AD22</f>
        <v>0</v>
      </c>
      <c r="AE28" s="19">
        <f>-Taxes!AE22</f>
        <v>0</v>
      </c>
      <c r="AF28" s="19">
        <f>-Taxes!AF22</f>
        <v>0</v>
      </c>
      <c r="AG28" s="19">
        <f>-Taxes!AG22</f>
        <v>0</v>
      </c>
      <c r="AH28" s="19">
        <f>-Taxes!AH22</f>
        <v>0</v>
      </c>
      <c r="AI28" s="19">
        <f>-Taxes!AI22</f>
        <v>0</v>
      </c>
      <c r="AJ28" s="19">
        <f>-Taxes!AJ22</f>
        <v>0</v>
      </c>
      <c r="AK28" s="19">
        <f>-Taxes!AK22</f>
        <v>0</v>
      </c>
      <c r="AL28" s="19">
        <f>-Taxes!AL22</f>
        <v>0</v>
      </c>
      <c r="AM28" s="19">
        <f>-Taxes!AM22</f>
        <v>0</v>
      </c>
      <c r="AN28" s="19">
        <f>-Taxes!AN22</f>
        <v>0</v>
      </c>
      <c r="AO28" s="19">
        <f>-Taxes!AO22</f>
        <v>0</v>
      </c>
      <c r="AP28" s="19">
        <f>-Taxes!AP22</f>
        <v>0</v>
      </c>
      <c r="AQ28" s="19">
        <f>-Taxes!AQ22</f>
        <v>0</v>
      </c>
      <c r="AR28" s="19">
        <f>-Taxes!AR22</f>
        <v>0</v>
      </c>
      <c r="AS28" s="19">
        <f>-Taxes!AS22</f>
        <v>0</v>
      </c>
      <c r="AT28" s="19">
        <f>-Taxes!AT22</f>
        <v>0</v>
      </c>
      <c r="AU28" s="19">
        <f>-Taxes!AU22</f>
        <v>0</v>
      </c>
      <c r="AV28" s="19">
        <f>-Taxes!AV22</f>
        <v>0</v>
      </c>
      <c r="AW28" s="19">
        <f>-Taxes!AW22</f>
        <v>0</v>
      </c>
      <c r="AX28" s="19">
        <f>-Taxes!AX22</f>
        <v>0</v>
      </c>
      <c r="AY28" s="19">
        <f>-Taxes!AY22</f>
        <v>0</v>
      </c>
      <c r="AZ28" s="19">
        <f>-Taxes!AZ22</f>
        <v>0</v>
      </c>
      <c r="BA28" s="19">
        <f>-Taxes!BA22</f>
        <v>0</v>
      </c>
      <c r="BB28" s="19">
        <f>-Taxes!BB22</f>
        <v>0</v>
      </c>
      <c r="BC28" s="19">
        <f>-Taxes!BC22</f>
        <v>0</v>
      </c>
      <c r="BD28" s="19">
        <f>-Taxes!BD22</f>
        <v>0</v>
      </c>
      <c r="BE28" s="19">
        <f>-Taxes!BE22</f>
        <v>0</v>
      </c>
      <c r="BF28" s="19">
        <f>-Taxes!BF22</f>
        <v>0</v>
      </c>
      <c r="BG28" s="19">
        <f>-Taxes!BG22</f>
        <v>0</v>
      </c>
      <c r="BH28" s="19">
        <f>-Taxes!BH22</f>
        <v>0</v>
      </c>
      <c r="BI28" s="19">
        <f>-Taxes!BI22</f>
        <v>0</v>
      </c>
      <c r="BJ28" s="19">
        <f>-Taxes!BJ22</f>
        <v>0</v>
      </c>
      <c r="BK28" s="19">
        <f>-Taxes!BK22</f>
        <v>0</v>
      </c>
      <c r="BL28" s="19">
        <f>-Taxes!BL22</f>
        <v>0</v>
      </c>
      <c r="BM28" s="19">
        <f>-Taxes!BM22</f>
        <v>0</v>
      </c>
      <c r="BN28" s="19">
        <f>-Taxes!BN22</f>
        <v>0</v>
      </c>
      <c r="BO28" s="19">
        <f>-Taxes!BO22</f>
        <v>0</v>
      </c>
      <c r="BP28" s="19">
        <f>-Taxes!BP22</f>
        <v>0</v>
      </c>
      <c r="BQ28" s="19">
        <f>-Taxes!BQ22</f>
        <v>0</v>
      </c>
      <c r="BR28" s="19">
        <f>-Taxes!BR22</f>
        <v>0</v>
      </c>
      <c r="BS28" s="19">
        <f>-Taxes!BS22</f>
        <v>0</v>
      </c>
      <c r="BT28" s="19">
        <f>-Taxes!BT22</f>
        <v>0</v>
      </c>
      <c r="BU28" s="19">
        <f>-Taxes!BU22</f>
        <v>0</v>
      </c>
      <c r="BV28" s="19">
        <f>-Taxes!BV22</f>
        <v>0</v>
      </c>
      <c r="BW28" s="19">
        <f>-Taxes!BW22</f>
        <v>0</v>
      </c>
      <c r="BX28" s="19">
        <f>-Taxes!BX22</f>
        <v>0</v>
      </c>
      <c r="BY28" s="19">
        <f>-Taxes!BY22</f>
        <v>0</v>
      </c>
      <c r="BZ28" s="19">
        <f>-Taxes!BZ22</f>
        <v>0</v>
      </c>
      <c r="CA28" s="19">
        <f>-Taxes!CA22</f>
        <v>0</v>
      </c>
      <c r="CB28" s="19">
        <f>-Taxes!CB22</f>
        <v>0</v>
      </c>
      <c r="CC28" s="19">
        <f>-Taxes!CC22</f>
        <v>0</v>
      </c>
      <c r="CD28" s="19">
        <f>-Taxes!CD22</f>
        <v>0</v>
      </c>
      <c r="CE28" s="19">
        <f>-Taxes!CE22</f>
        <v>0</v>
      </c>
      <c r="CF28" s="19">
        <f>-Taxes!CF22</f>
        <v>0</v>
      </c>
      <c r="CG28" s="19">
        <f>-Taxes!CG22</f>
        <v>0</v>
      </c>
      <c r="CH28" s="19">
        <f>-Taxes!CH22</f>
        <v>0</v>
      </c>
      <c r="CI28" s="19">
        <f>-Taxes!CI22</f>
        <v>0</v>
      </c>
      <c r="CJ28" s="19">
        <f>-Taxes!CJ22</f>
        <v>0</v>
      </c>
      <c r="CK28" s="19">
        <f>-Taxes!CK22</f>
        <v>0</v>
      </c>
      <c r="CL28" s="19">
        <f>-Taxes!CL22</f>
        <v>0</v>
      </c>
      <c r="CM28" s="19">
        <f>-Taxes!CM22</f>
        <v>0</v>
      </c>
      <c r="CN28" s="19">
        <f>-Taxes!CN22</f>
        <v>0</v>
      </c>
      <c r="CO28" s="19">
        <f>-Taxes!CO22</f>
        <v>0</v>
      </c>
      <c r="CP28" s="19">
        <f>-Taxes!CP22</f>
        <v>0</v>
      </c>
      <c r="CQ28" s="19">
        <f>-Taxes!CQ22</f>
        <v>0</v>
      </c>
      <c r="CR28" s="19">
        <f>-Taxes!CR22</f>
        <v>0</v>
      </c>
      <c r="CS28" s="19">
        <f>-Taxes!CS22</f>
        <v>0</v>
      </c>
      <c r="CT28" s="19">
        <f>-Taxes!CT22</f>
        <v>0</v>
      </c>
      <c r="CU28" s="19">
        <f>-Taxes!CU22</f>
        <v>0</v>
      </c>
      <c r="CV28" s="19">
        <f>-Taxes!CV22</f>
        <v>0</v>
      </c>
      <c r="CW28" s="19">
        <f>-Taxes!CW22</f>
        <v>0</v>
      </c>
      <c r="CX28" s="19">
        <f>-Taxes!CX22</f>
        <v>0</v>
      </c>
      <c r="CY28" s="19">
        <f>-Taxes!CY22</f>
        <v>0</v>
      </c>
      <c r="CZ28" s="19">
        <f>-Taxes!CZ22</f>
        <v>0</v>
      </c>
      <c r="DA28" s="19">
        <f>-Taxes!DA22</f>
        <v>0</v>
      </c>
      <c r="DB28" s="19">
        <f>-Taxes!DB22</f>
        <v>0</v>
      </c>
      <c r="DC28" s="19">
        <f>-Taxes!DC22</f>
        <v>0</v>
      </c>
      <c r="DD28" s="19">
        <f>-Taxes!DD22</f>
        <v>0</v>
      </c>
      <c r="DE28" s="19">
        <f>-Taxes!DE22</f>
        <v>0</v>
      </c>
      <c r="DF28" s="19">
        <f>-Taxes!DF22</f>
        <v>0</v>
      </c>
      <c r="DG28" s="19">
        <f>-Taxes!DG22</f>
        <v>0</v>
      </c>
      <c r="DH28" s="19">
        <f>-Taxes!DH22</f>
        <v>0</v>
      </c>
      <c r="DI28" s="19">
        <f>-Taxes!DI22</f>
        <v>0</v>
      </c>
      <c r="DJ28" s="19">
        <f>-Taxes!DJ22</f>
        <v>0</v>
      </c>
      <c r="DK28" s="19">
        <f>-Taxes!DK22</f>
        <v>0</v>
      </c>
      <c r="DL28" s="19">
        <f>-Taxes!DL22</f>
        <v>0</v>
      </c>
      <c r="DM28" s="19">
        <f>-Taxes!DM22</f>
        <v>0</v>
      </c>
    </row>
    <row r="29" spans="3:117" outlineLevel="1" x14ac:dyDescent="0.15"/>
    <row r="30" spans="3:117" outlineLevel="1" x14ac:dyDescent="0.15">
      <c r="C30" t="s">
        <v>196</v>
      </c>
      <c r="D30" s="5" t="s">
        <v>167</v>
      </c>
      <c r="I30" s="35">
        <f t="shared" si="21"/>
        <v>-2759010329.0649552</v>
      </c>
      <c r="J30" s="19">
        <f>Taxes!J13</f>
        <v>0</v>
      </c>
      <c r="K30" s="19">
        <f>Taxes!K13</f>
        <v>0</v>
      </c>
      <c r="L30" s="19">
        <f>Taxes!L13</f>
        <v>0</v>
      </c>
      <c r="M30" s="19">
        <f>Taxes!M13</f>
        <v>0</v>
      </c>
      <c r="N30" s="19">
        <f>Taxes!N13</f>
        <v>-286339850.30439937</v>
      </c>
      <c r="O30" s="19">
        <f>Taxes!O13</f>
        <v>-321059157.90746409</v>
      </c>
      <c r="P30" s="19">
        <f>Taxes!P13</f>
        <v>-326573471.86227852</v>
      </c>
      <c r="Q30" s="19">
        <f>Taxes!Q13</f>
        <v>-322385650.04794574</v>
      </c>
      <c r="R30" s="19">
        <f>Taxes!R13</f>
        <v>-400250121.68036079</v>
      </c>
      <c r="S30" s="19">
        <f>Taxes!S13</f>
        <v>-181086773.30725175</v>
      </c>
      <c r="T30" s="19">
        <f>Taxes!T13</f>
        <v>-206493152.0835954</v>
      </c>
      <c r="U30" s="19">
        <f>Taxes!U13</f>
        <v>-231824937.36945266</v>
      </c>
      <c r="V30" s="19">
        <f>Taxes!V13</f>
        <v>-193829286.64559704</v>
      </c>
      <c r="W30" s="19">
        <f>Taxes!W13</f>
        <v>-202757935.14790133</v>
      </c>
      <c r="X30" s="19">
        <f>Taxes!X13</f>
        <v>-86409992.708708718</v>
      </c>
      <c r="Y30" s="19">
        <f>Taxes!Y13</f>
        <v>0</v>
      </c>
      <c r="Z30" s="19">
        <f>Taxes!Z13</f>
        <v>0</v>
      </c>
      <c r="AA30" s="19">
        <f>Taxes!AA13</f>
        <v>0</v>
      </c>
      <c r="AB30" s="19">
        <f>Taxes!AB13</f>
        <v>0</v>
      </c>
      <c r="AC30" s="19">
        <f>Taxes!AC13</f>
        <v>0</v>
      </c>
      <c r="AD30" s="19">
        <f>Taxes!AD13</f>
        <v>0</v>
      </c>
      <c r="AE30" s="19">
        <f>Taxes!AE13</f>
        <v>0</v>
      </c>
      <c r="AF30" s="19">
        <f>Taxes!AF13</f>
        <v>0</v>
      </c>
      <c r="AG30" s="19">
        <f>Taxes!AG13</f>
        <v>0</v>
      </c>
      <c r="AH30" s="19">
        <f>Taxes!AH13</f>
        <v>0</v>
      </c>
      <c r="AI30" s="19">
        <f>Taxes!AI13</f>
        <v>0</v>
      </c>
      <c r="AJ30" s="19">
        <f>Taxes!AJ13</f>
        <v>0</v>
      </c>
      <c r="AK30" s="19">
        <f>Taxes!AK13</f>
        <v>0</v>
      </c>
      <c r="AL30" s="19">
        <f>Taxes!AL13</f>
        <v>0</v>
      </c>
      <c r="AM30" s="19">
        <f>Taxes!AM13</f>
        <v>0</v>
      </c>
      <c r="AN30" s="19">
        <f>Taxes!AN13</f>
        <v>0</v>
      </c>
      <c r="AO30" s="19">
        <f>Taxes!AO13</f>
        <v>0</v>
      </c>
      <c r="AP30" s="19">
        <f>Taxes!AP13</f>
        <v>0</v>
      </c>
      <c r="AQ30" s="19">
        <f>Taxes!AQ13</f>
        <v>0</v>
      </c>
      <c r="AR30" s="19">
        <f>Taxes!AR13</f>
        <v>0</v>
      </c>
      <c r="AS30" s="19">
        <f>Taxes!AS13</f>
        <v>0</v>
      </c>
      <c r="AT30" s="19">
        <f>Taxes!AT13</f>
        <v>0</v>
      </c>
      <c r="AU30" s="19">
        <f>Taxes!AU13</f>
        <v>0</v>
      </c>
      <c r="AV30" s="19">
        <f>Taxes!AV13</f>
        <v>0</v>
      </c>
      <c r="AW30" s="19">
        <f>Taxes!AW13</f>
        <v>0</v>
      </c>
      <c r="AX30" s="19">
        <f>Taxes!AX13</f>
        <v>0</v>
      </c>
      <c r="AY30" s="19">
        <f>Taxes!AY13</f>
        <v>0</v>
      </c>
      <c r="AZ30" s="19">
        <f>Taxes!AZ13</f>
        <v>0</v>
      </c>
      <c r="BA30" s="19">
        <f>Taxes!BA13</f>
        <v>0</v>
      </c>
      <c r="BB30" s="19">
        <f>Taxes!BB13</f>
        <v>0</v>
      </c>
      <c r="BC30" s="19">
        <f>Taxes!BC13</f>
        <v>0</v>
      </c>
      <c r="BD30" s="19">
        <f>Taxes!BD13</f>
        <v>0</v>
      </c>
      <c r="BE30" s="19">
        <f>Taxes!BE13</f>
        <v>0</v>
      </c>
      <c r="BF30" s="19">
        <f>Taxes!BF13</f>
        <v>0</v>
      </c>
      <c r="BG30" s="19">
        <f>Taxes!BG13</f>
        <v>0</v>
      </c>
      <c r="BH30" s="19">
        <f>Taxes!BH13</f>
        <v>0</v>
      </c>
      <c r="BI30" s="19">
        <f>Taxes!BI13</f>
        <v>0</v>
      </c>
      <c r="BJ30" s="19">
        <f>Taxes!BJ13</f>
        <v>0</v>
      </c>
      <c r="BK30" s="19">
        <f>Taxes!BK13</f>
        <v>0</v>
      </c>
      <c r="BL30" s="19">
        <f>Taxes!BL13</f>
        <v>0</v>
      </c>
      <c r="BM30" s="19">
        <f>Taxes!BM13</f>
        <v>0</v>
      </c>
      <c r="BN30" s="19">
        <f>Taxes!BN13</f>
        <v>0</v>
      </c>
      <c r="BO30" s="19">
        <f>Taxes!BO13</f>
        <v>0</v>
      </c>
      <c r="BP30" s="19">
        <f>Taxes!BP13</f>
        <v>0</v>
      </c>
      <c r="BQ30" s="19">
        <f>Taxes!BQ13</f>
        <v>0</v>
      </c>
      <c r="BR30" s="19">
        <f>Taxes!BR13</f>
        <v>0</v>
      </c>
      <c r="BS30" s="19">
        <f>Taxes!BS13</f>
        <v>0</v>
      </c>
      <c r="BT30" s="19">
        <f>Taxes!BT13</f>
        <v>0</v>
      </c>
      <c r="BU30" s="19">
        <f>Taxes!BU13</f>
        <v>0</v>
      </c>
      <c r="BV30" s="19">
        <f>Taxes!BV13</f>
        <v>0</v>
      </c>
      <c r="BW30" s="19">
        <f>Taxes!BW13</f>
        <v>0</v>
      </c>
      <c r="BX30" s="19">
        <f>Taxes!BX13</f>
        <v>0</v>
      </c>
      <c r="BY30" s="19">
        <f>Taxes!BY13</f>
        <v>0</v>
      </c>
      <c r="BZ30" s="19">
        <f>Taxes!BZ13</f>
        <v>0</v>
      </c>
      <c r="CA30" s="19">
        <f>Taxes!CA13</f>
        <v>0</v>
      </c>
      <c r="CB30" s="19">
        <f>Taxes!CB13</f>
        <v>0</v>
      </c>
      <c r="CC30" s="19">
        <f>Taxes!CC13</f>
        <v>0</v>
      </c>
      <c r="CD30" s="19">
        <f>Taxes!CD13</f>
        <v>0</v>
      </c>
      <c r="CE30" s="19">
        <f>Taxes!CE13</f>
        <v>0</v>
      </c>
      <c r="CF30" s="19">
        <f>Taxes!CF13</f>
        <v>0</v>
      </c>
      <c r="CG30" s="19">
        <f>Taxes!CG13</f>
        <v>0</v>
      </c>
      <c r="CH30" s="19">
        <f>Taxes!CH13</f>
        <v>0</v>
      </c>
      <c r="CI30" s="19">
        <f>Taxes!CI13</f>
        <v>0</v>
      </c>
      <c r="CJ30" s="19">
        <f>Taxes!CJ13</f>
        <v>0</v>
      </c>
      <c r="CK30" s="19">
        <f>Taxes!CK13</f>
        <v>0</v>
      </c>
      <c r="CL30" s="19">
        <f>Taxes!CL13</f>
        <v>0</v>
      </c>
      <c r="CM30" s="19">
        <f>Taxes!CM13</f>
        <v>0</v>
      </c>
      <c r="CN30" s="19">
        <f>Taxes!CN13</f>
        <v>0</v>
      </c>
      <c r="CO30" s="19">
        <f>Taxes!CO13</f>
        <v>0</v>
      </c>
      <c r="CP30" s="19">
        <f>Taxes!CP13</f>
        <v>0</v>
      </c>
      <c r="CQ30" s="19">
        <f>Taxes!CQ13</f>
        <v>0</v>
      </c>
      <c r="CR30" s="19">
        <f>Taxes!CR13</f>
        <v>0</v>
      </c>
      <c r="CS30" s="19">
        <f>Taxes!CS13</f>
        <v>0</v>
      </c>
      <c r="CT30" s="19">
        <f>Taxes!CT13</f>
        <v>0</v>
      </c>
      <c r="CU30" s="19">
        <f>Taxes!CU13</f>
        <v>0</v>
      </c>
      <c r="CV30" s="19">
        <f>Taxes!CV13</f>
        <v>0</v>
      </c>
      <c r="CW30" s="19">
        <f>Taxes!CW13</f>
        <v>0</v>
      </c>
      <c r="CX30" s="19">
        <f>Taxes!CX13</f>
        <v>0</v>
      </c>
      <c r="CY30" s="19">
        <f>Taxes!CY13</f>
        <v>0</v>
      </c>
      <c r="CZ30" s="19">
        <f>Taxes!CZ13</f>
        <v>0</v>
      </c>
      <c r="DA30" s="19">
        <f>Taxes!DA13</f>
        <v>0</v>
      </c>
      <c r="DB30" s="19">
        <f>Taxes!DB13</f>
        <v>0</v>
      </c>
      <c r="DC30" s="19">
        <f>Taxes!DC13</f>
        <v>0</v>
      </c>
      <c r="DD30" s="19">
        <f>Taxes!DD13</f>
        <v>0</v>
      </c>
      <c r="DE30" s="19">
        <f>Taxes!DE13</f>
        <v>0</v>
      </c>
      <c r="DF30" s="19">
        <f>Taxes!DF13</f>
        <v>0</v>
      </c>
      <c r="DG30" s="19">
        <f>Taxes!DG13</f>
        <v>0</v>
      </c>
      <c r="DH30" s="19">
        <f>Taxes!DH13</f>
        <v>0</v>
      </c>
      <c r="DI30" s="19">
        <f>Taxes!DI13</f>
        <v>0</v>
      </c>
      <c r="DJ30" s="19">
        <f>Taxes!DJ13</f>
        <v>0</v>
      </c>
      <c r="DK30" s="19">
        <f>Taxes!DK13</f>
        <v>0</v>
      </c>
      <c r="DL30" s="19">
        <f>Taxes!DL13</f>
        <v>0</v>
      </c>
      <c r="DM30" s="19">
        <f>Taxes!DM13</f>
        <v>0</v>
      </c>
    </row>
    <row r="31" spans="3:117" outlineLevel="1" x14ac:dyDescent="0.15"/>
    <row r="32" spans="3:117" outlineLevel="1" x14ac:dyDescent="0.15">
      <c r="C32" t="s">
        <v>61</v>
      </c>
      <c r="D32" s="5" t="s">
        <v>167</v>
      </c>
      <c r="I32" s="35">
        <f t="shared" ref="I32:I33" si="22">SUM(J32:DM32)</f>
        <v>10687849321.325062</v>
      </c>
      <c r="J32" s="40">
        <f>J26+J28+J30</f>
        <v>-232295554.04907975</v>
      </c>
      <c r="K32" s="40">
        <f t="shared" ref="K32:BV32" si="23">K26+K28+K30</f>
        <v>-511440631.60385638</v>
      </c>
      <c r="L32" s="40">
        <f t="shared" si="23"/>
        <v>-952606977.94916749</v>
      </c>
      <c r="M32" s="40">
        <f t="shared" si="23"/>
        <v>-530961266.39789659</v>
      </c>
      <c r="N32" s="40">
        <f t="shared" si="23"/>
        <v>1529075987.2492452</v>
      </c>
      <c r="O32" s="40">
        <f t="shared" si="23"/>
        <v>1695074097.1585965</v>
      </c>
      <c r="P32" s="40">
        <f t="shared" si="23"/>
        <v>1771599939.6621912</v>
      </c>
      <c r="Q32" s="40">
        <f t="shared" si="23"/>
        <v>1805238939.6363592</v>
      </c>
      <c r="R32" s="40">
        <f t="shared" si="23"/>
        <v>1638526494.2580466</v>
      </c>
      <c r="S32" s="40">
        <f t="shared" si="23"/>
        <v>809468530.18071961</v>
      </c>
      <c r="T32" s="40">
        <f t="shared" si="23"/>
        <v>874825333.30633247</v>
      </c>
      <c r="U32" s="40">
        <f t="shared" si="23"/>
        <v>961143036.0766778</v>
      </c>
      <c r="V32" s="40">
        <f t="shared" si="23"/>
        <v>784680905.22764254</v>
      </c>
      <c r="W32" s="40">
        <f t="shared" si="23"/>
        <v>813925212.81119871</v>
      </c>
      <c r="X32" s="40">
        <f t="shared" si="23"/>
        <v>301555275.75805241</v>
      </c>
      <c r="Y32" s="40">
        <f t="shared" si="23"/>
        <v>-69960000</v>
      </c>
      <c r="Z32" s="40">
        <f t="shared" si="23"/>
        <v>0</v>
      </c>
      <c r="AA32" s="40">
        <f t="shared" si="23"/>
        <v>0</v>
      </c>
      <c r="AB32" s="40">
        <f t="shared" si="23"/>
        <v>0</v>
      </c>
      <c r="AC32" s="40">
        <f t="shared" si="23"/>
        <v>0</v>
      </c>
      <c r="AD32" s="40">
        <f t="shared" si="23"/>
        <v>0</v>
      </c>
      <c r="AE32" s="40">
        <f t="shared" si="23"/>
        <v>0</v>
      </c>
      <c r="AF32" s="40">
        <f t="shared" si="23"/>
        <v>0</v>
      </c>
      <c r="AG32" s="40">
        <f t="shared" si="23"/>
        <v>0</v>
      </c>
      <c r="AH32" s="40">
        <f t="shared" si="23"/>
        <v>0</v>
      </c>
      <c r="AI32" s="40">
        <f t="shared" si="23"/>
        <v>0</v>
      </c>
      <c r="AJ32" s="40">
        <f t="shared" si="23"/>
        <v>0</v>
      </c>
      <c r="AK32" s="40">
        <f t="shared" si="23"/>
        <v>0</v>
      </c>
      <c r="AL32" s="40">
        <f t="shared" si="23"/>
        <v>0</v>
      </c>
      <c r="AM32" s="40">
        <f t="shared" si="23"/>
        <v>0</v>
      </c>
      <c r="AN32" s="40">
        <f t="shared" si="23"/>
        <v>0</v>
      </c>
      <c r="AO32" s="40">
        <f t="shared" si="23"/>
        <v>0</v>
      </c>
      <c r="AP32" s="40">
        <f t="shared" si="23"/>
        <v>0</v>
      </c>
      <c r="AQ32" s="40">
        <f t="shared" si="23"/>
        <v>0</v>
      </c>
      <c r="AR32" s="40">
        <f t="shared" si="23"/>
        <v>0</v>
      </c>
      <c r="AS32" s="40">
        <f t="shared" si="23"/>
        <v>0</v>
      </c>
      <c r="AT32" s="40">
        <f t="shared" si="23"/>
        <v>0</v>
      </c>
      <c r="AU32" s="40">
        <f t="shared" si="23"/>
        <v>0</v>
      </c>
      <c r="AV32" s="40">
        <f t="shared" si="23"/>
        <v>0</v>
      </c>
      <c r="AW32" s="40">
        <f t="shared" si="23"/>
        <v>0</v>
      </c>
      <c r="AX32" s="40">
        <f t="shared" si="23"/>
        <v>0</v>
      </c>
      <c r="AY32" s="40">
        <f t="shared" si="23"/>
        <v>0</v>
      </c>
      <c r="AZ32" s="40">
        <f t="shared" si="23"/>
        <v>0</v>
      </c>
      <c r="BA32" s="40">
        <f t="shared" si="23"/>
        <v>0</v>
      </c>
      <c r="BB32" s="40">
        <f t="shared" si="23"/>
        <v>0</v>
      </c>
      <c r="BC32" s="40">
        <f t="shared" si="23"/>
        <v>0</v>
      </c>
      <c r="BD32" s="40">
        <f t="shared" si="23"/>
        <v>0</v>
      </c>
      <c r="BE32" s="40">
        <f t="shared" si="23"/>
        <v>0</v>
      </c>
      <c r="BF32" s="40">
        <f t="shared" si="23"/>
        <v>0</v>
      </c>
      <c r="BG32" s="40">
        <f t="shared" si="23"/>
        <v>0</v>
      </c>
      <c r="BH32" s="40">
        <f t="shared" si="23"/>
        <v>0</v>
      </c>
      <c r="BI32" s="40">
        <f t="shared" si="23"/>
        <v>0</v>
      </c>
      <c r="BJ32" s="40">
        <f t="shared" si="23"/>
        <v>0</v>
      </c>
      <c r="BK32" s="40">
        <f t="shared" si="23"/>
        <v>0</v>
      </c>
      <c r="BL32" s="40">
        <f t="shared" si="23"/>
        <v>0</v>
      </c>
      <c r="BM32" s="40">
        <f t="shared" si="23"/>
        <v>0</v>
      </c>
      <c r="BN32" s="40">
        <f t="shared" si="23"/>
        <v>0</v>
      </c>
      <c r="BO32" s="40">
        <f t="shared" si="23"/>
        <v>0</v>
      </c>
      <c r="BP32" s="40">
        <f t="shared" si="23"/>
        <v>0</v>
      </c>
      <c r="BQ32" s="40">
        <f t="shared" si="23"/>
        <v>0</v>
      </c>
      <c r="BR32" s="40">
        <f t="shared" si="23"/>
        <v>0</v>
      </c>
      <c r="BS32" s="40">
        <f t="shared" si="23"/>
        <v>0</v>
      </c>
      <c r="BT32" s="40">
        <f t="shared" si="23"/>
        <v>0</v>
      </c>
      <c r="BU32" s="40">
        <f t="shared" si="23"/>
        <v>0</v>
      </c>
      <c r="BV32" s="40">
        <f t="shared" si="23"/>
        <v>0</v>
      </c>
      <c r="BW32" s="40">
        <f t="shared" ref="BW32:DM32" si="24">BW26+BW28+BW30</f>
        <v>0</v>
      </c>
      <c r="BX32" s="40">
        <f t="shared" si="24"/>
        <v>0</v>
      </c>
      <c r="BY32" s="40">
        <f t="shared" si="24"/>
        <v>0</v>
      </c>
      <c r="BZ32" s="40">
        <f t="shared" si="24"/>
        <v>0</v>
      </c>
      <c r="CA32" s="40">
        <f t="shared" si="24"/>
        <v>0</v>
      </c>
      <c r="CB32" s="40">
        <f t="shared" si="24"/>
        <v>0</v>
      </c>
      <c r="CC32" s="40">
        <f t="shared" si="24"/>
        <v>0</v>
      </c>
      <c r="CD32" s="40">
        <f t="shared" si="24"/>
        <v>0</v>
      </c>
      <c r="CE32" s="40">
        <f t="shared" si="24"/>
        <v>0</v>
      </c>
      <c r="CF32" s="40">
        <f t="shared" si="24"/>
        <v>0</v>
      </c>
      <c r="CG32" s="40">
        <f t="shared" si="24"/>
        <v>0</v>
      </c>
      <c r="CH32" s="40">
        <f t="shared" si="24"/>
        <v>0</v>
      </c>
      <c r="CI32" s="40">
        <f t="shared" si="24"/>
        <v>0</v>
      </c>
      <c r="CJ32" s="40">
        <f t="shared" si="24"/>
        <v>0</v>
      </c>
      <c r="CK32" s="40">
        <f t="shared" si="24"/>
        <v>0</v>
      </c>
      <c r="CL32" s="40">
        <f t="shared" si="24"/>
        <v>0</v>
      </c>
      <c r="CM32" s="40">
        <f t="shared" si="24"/>
        <v>0</v>
      </c>
      <c r="CN32" s="40">
        <f t="shared" si="24"/>
        <v>0</v>
      </c>
      <c r="CO32" s="40">
        <f t="shared" si="24"/>
        <v>0</v>
      </c>
      <c r="CP32" s="40">
        <f t="shared" si="24"/>
        <v>0</v>
      </c>
      <c r="CQ32" s="40">
        <f t="shared" si="24"/>
        <v>0</v>
      </c>
      <c r="CR32" s="40">
        <f t="shared" si="24"/>
        <v>0</v>
      </c>
      <c r="CS32" s="40">
        <f t="shared" si="24"/>
        <v>0</v>
      </c>
      <c r="CT32" s="40">
        <f t="shared" si="24"/>
        <v>0</v>
      </c>
      <c r="CU32" s="40">
        <f t="shared" si="24"/>
        <v>0</v>
      </c>
      <c r="CV32" s="40">
        <f t="shared" si="24"/>
        <v>0</v>
      </c>
      <c r="CW32" s="40">
        <f t="shared" si="24"/>
        <v>0</v>
      </c>
      <c r="CX32" s="40">
        <f t="shared" si="24"/>
        <v>0</v>
      </c>
      <c r="CY32" s="40">
        <f t="shared" si="24"/>
        <v>0</v>
      </c>
      <c r="CZ32" s="40">
        <f t="shared" si="24"/>
        <v>0</v>
      </c>
      <c r="DA32" s="40">
        <f t="shared" si="24"/>
        <v>0</v>
      </c>
      <c r="DB32" s="40">
        <f t="shared" si="24"/>
        <v>0</v>
      </c>
      <c r="DC32" s="40">
        <f t="shared" si="24"/>
        <v>0</v>
      </c>
      <c r="DD32" s="40">
        <f t="shared" si="24"/>
        <v>0</v>
      </c>
      <c r="DE32" s="40">
        <f t="shared" si="24"/>
        <v>0</v>
      </c>
      <c r="DF32" s="40">
        <f t="shared" si="24"/>
        <v>0</v>
      </c>
      <c r="DG32" s="40">
        <f t="shared" si="24"/>
        <v>0</v>
      </c>
      <c r="DH32" s="40">
        <f t="shared" si="24"/>
        <v>0</v>
      </c>
      <c r="DI32" s="40">
        <f t="shared" si="24"/>
        <v>0</v>
      </c>
      <c r="DJ32" s="40">
        <f t="shared" si="24"/>
        <v>0</v>
      </c>
      <c r="DK32" s="40">
        <f t="shared" si="24"/>
        <v>0</v>
      </c>
      <c r="DL32" s="40">
        <f t="shared" si="24"/>
        <v>0</v>
      </c>
      <c r="DM32" s="40">
        <f t="shared" si="24"/>
        <v>0</v>
      </c>
    </row>
    <row r="33" spans="3:117" outlineLevel="1" x14ac:dyDescent="0.15">
      <c r="C33" t="s">
        <v>61</v>
      </c>
      <c r="D33" s="5" t="s">
        <v>0</v>
      </c>
      <c r="I33" s="35">
        <f t="shared" si="22"/>
        <v>8015886990.9937983</v>
      </c>
      <c r="J33" s="40">
        <f>J32*Operations!J9</f>
        <v>-174221665.5368098</v>
      </c>
      <c r="K33" s="40">
        <f>K32*Operations!K9</f>
        <v>-383580473.7028923</v>
      </c>
      <c r="L33" s="40">
        <f>L32*Operations!L9</f>
        <v>-714455233.46187568</v>
      </c>
      <c r="M33" s="40">
        <f>M32*Operations!M9</f>
        <v>-398220949.79842246</v>
      </c>
      <c r="N33" s="40">
        <f>N32*Operations!N9</f>
        <v>1146806990.436934</v>
      </c>
      <c r="O33" s="40">
        <f>O32*Operations!O9</f>
        <v>1271305572.8689475</v>
      </c>
      <c r="P33" s="40">
        <f>P32*Operations!P9</f>
        <v>1328699954.7466433</v>
      </c>
      <c r="Q33" s="40">
        <f>Q32*Operations!Q9</f>
        <v>1353929204.7272694</v>
      </c>
      <c r="R33" s="40">
        <f>R32*Operations!R9</f>
        <v>1228894870.6935349</v>
      </c>
      <c r="S33" s="40">
        <f>S32*Operations!S9</f>
        <v>607101397.63553977</v>
      </c>
      <c r="T33" s="40">
        <f>T32*Operations!T9</f>
        <v>656118999.97974932</v>
      </c>
      <c r="U33" s="40">
        <f>U32*Operations!U9</f>
        <v>720857277.05750835</v>
      </c>
      <c r="V33" s="40">
        <f>V32*Operations!V9</f>
        <v>588510678.9207319</v>
      </c>
      <c r="W33" s="40">
        <f>W32*Operations!W9</f>
        <v>610443909.60839903</v>
      </c>
      <c r="X33" s="40">
        <f>X32*Operations!X9</f>
        <v>226166456.81853932</v>
      </c>
      <c r="Y33" s="40">
        <f>Y32*Operations!Y9</f>
        <v>-52470000</v>
      </c>
      <c r="Z33" s="40">
        <f>Z32*Operations!Z9</f>
        <v>0</v>
      </c>
      <c r="AA33" s="40">
        <f>AA32*Operations!AA9</f>
        <v>0</v>
      </c>
      <c r="AB33" s="40">
        <f>AB32*Operations!AB9</f>
        <v>0</v>
      </c>
      <c r="AC33" s="40">
        <f>AC32*Operations!AC9</f>
        <v>0</v>
      </c>
      <c r="AD33" s="40">
        <f>AD32*Operations!AD9</f>
        <v>0</v>
      </c>
      <c r="AE33" s="40">
        <f>AE32*Operations!AE9</f>
        <v>0</v>
      </c>
      <c r="AF33" s="40">
        <f>AF32*Operations!AF9</f>
        <v>0</v>
      </c>
      <c r="AG33" s="40">
        <f>AG32*Operations!AG9</f>
        <v>0</v>
      </c>
      <c r="AH33" s="40">
        <f>AH32*Operations!AH9</f>
        <v>0</v>
      </c>
      <c r="AI33" s="40">
        <f>AI32*Operations!AI9</f>
        <v>0</v>
      </c>
      <c r="AJ33" s="40">
        <f>AJ32*Operations!AJ9</f>
        <v>0</v>
      </c>
      <c r="AK33" s="40">
        <f>AK32*Operations!AK9</f>
        <v>0</v>
      </c>
      <c r="AL33" s="40">
        <f>AL32*Operations!AL9</f>
        <v>0</v>
      </c>
      <c r="AM33" s="40">
        <f>AM32*Operations!AM9</f>
        <v>0</v>
      </c>
      <c r="AN33" s="40">
        <f>AN32*Operations!AN9</f>
        <v>0</v>
      </c>
      <c r="AO33" s="40">
        <f>AO32*Operations!AO9</f>
        <v>0</v>
      </c>
      <c r="AP33" s="40">
        <f>AP32*Operations!AP9</f>
        <v>0</v>
      </c>
      <c r="AQ33" s="40">
        <f>AQ32*Operations!AQ9</f>
        <v>0</v>
      </c>
      <c r="AR33" s="40">
        <f>AR32*Operations!AR9</f>
        <v>0</v>
      </c>
      <c r="AS33" s="40">
        <f>AS32*Operations!AS9</f>
        <v>0</v>
      </c>
      <c r="AT33" s="40">
        <f>AT32*Operations!AT9</f>
        <v>0</v>
      </c>
      <c r="AU33" s="40">
        <f>AU32*Operations!AU9</f>
        <v>0</v>
      </c>
      <c r="AV33" s="40">
        <f>AV32*Operations!AV9</f>
        <v>0</v>
      </c>
      <c r="AW33" s="40">
        <f>AW32*Operations!AW9</f>
        <v>0</v>
      </c>
      <c r="AX33" s="40">
        <f>AX32*Operations!AX9</f>
        <v>0</v>
      </c>
      <c r="AY33" s="40">
        <f>AY32*Operations!AY9</f>
        <v>0</v>
      </c>
      <c r="AZ33" s="40">
        <f>AZ32*Operations!AZ9</f>
        <v>0</v>
      </c>
      <c r="BA33" s="40">
        <f>BA32*Operations!BA9</f>
        <v>0</v>
      </c>
      <c r="BB33" s="40">
        <f>BB32*Operations!BB9</f>
        <v>0</v>
      </c>
      <c r="BC33" s="40">
        <f>BC32*Operations!BC9</f>
        <v>0</v>
      </c>
      <c r="BD33" s="40">
        <f>BD32*Operations!BD9</f>
        <v>0</v>
      </c>
      <c r="BE33" s="40">
        <f>BE32*Operations!BE9</f>
        <v>0</v>
      </c>
      <c r="BF33" s="40">
        <f>BF32*Operations!BF9</f>
        <v>0</v>
      </c>
      <c r="BG33" s="40">
        <f>BG32*Operations!BG9</f>
        <v>0</v>
      </c>
      <c r="BH33" s="40">
        <f>BH32*Operations!BH9</f>
        <v>0</v>
      </c>
      <c r="BI33" s="40">
        <f>BI32*Operations!BI9</f>
        <v>0</v>
      </c>
      <c r="BJ33" s="40">
        <f>BJ32*Operations!BJ9</f>
        <v>0</v>
      </c>
      <c r="BK33" s="40">
        <f>BK32*Operations!BK9</f>
        <v>0</v>
      </c>
      <c r="BL33" s="40">
        <f>BL32*Operations!BL9</f>
        <v>0</v>
      </c>
      <c r="BM33" s="40">
        <f>BM32*Operations!BM9</f>
        <v>0</v>
      </c>
      <c r="BN33" s="40">
        <f>BN32*Operations!BN9</f>
        <v>0</v>
      </c>
      <c r="BO33" s="40">
        <f>BO32*Operations!BO9</f>
        <v>0</v>
      </c>
      <c r="BP33" s="40">
        <f>BP32*Operations!BP9</f>
        <v>0</v>
      </c>
      <c r="BQ33" s="40">
        <f>BQ32*Operations!BQ9</f>
        <v>0</v>
      </c>
      <c r="BR33" s="40">
        <f>BR32*Operations!BR9</f>
        <v>0</v>
      </c>
      <c r="BS33" s="40">
        <f>BS32*Operations!BS9</f>
        <v>0</v>
      </c>
      <c r="BT33" s="40">
        <f>BT32*Operations!BT9</f>
        <v>0</v>
      </c>
      <c r="BU33" s="40">
        <f>BU32*Operations!BU9</f>
        <v>0</v>
      </c>
      <c r="BV33" s="40">
        <f>BV32*Operations!BV9</f>
        <v>0</v>
      </c>
      <c r="BW33" s="40">
        <f>BW32*Operations!BW9</f>
        <v>0</v>
      </c>
      <c r="BX33" s="40">
        <f>BX32*Operations!BX9</f>
        <v>0</v>
      </c>
      <c r="BY33" s="40">
        <f>BY32*Operations!BY9</f>
        <v>0</v>
      </c>
      <c r="BZ33" s="40">
        <f>BZ32*Operations!BZ9</f>
        <v>0</v>
      </c>
      <c r="CA33" s="40">
        <f>CA32*Operations!CA9</f>
        <v>0</v>
      </c>
      <c r="CB33" s="40">
        <f>CB32*Operations!CB9</f>
        <v>0</v>
      </c>
      <c r="CC33" s="40">
        <f>CC32*Operations!CC9</f>
        <v>0</v>
      </c>
      <c r="CD33" s="40">
        <f>CD32*Operations!CD9</f>
        <v>0</v>
      </c>
      <c r="CE33" s="40">
        <f>CE32*Operations!CE9</f>
        <v>0</v>
      </c>
      <c r="CF33" s="40">
        <f>CF32*Operations!CF9</f>
        <v>0</v>
      </c>
      <c r="CG33" s="40">
        <f>CG32*Operations!CG9</f>
        <v>0</v>
      </c>
      <c r="CH33" s="40">
        <f>CH32*Operations!CH9</f>
        <v>0</v>
      </c>
      <c r="CI33" s="40">
        <f>CI32*Operations!CI9</f>
        <v>0</v>
      </c>
      <c r="CJ33" s="40">
        <f>CJ32*Operations!CJ9</f>
        <v>0</v>
      </c>
      <c r="CK33" s="40">
        <f>CK32*Operations!CK9</f>
        <v>0</v>
      </c>
      <c r="CL33" s="40">
        <f>CL32*Operations!CL9</f>
        <v>0</v>
      </c>
      <c r="CM33" s="40">
        <f>CM32*Operations!CM9</f>
        <v>0</v>
      </c>
      <c r="CN33" s="40">
        <f>CN32*Operations!CN9</f>
        <v>0</v>
      </c>
      <c r="CO33" s="40">
        <f>CO32*Operations!CO9</f>
        <v>0</v>
      </c>
      <c r="CP33" s="40">
        <f>CP32*Operations!CP9</f>
        <v>0</v>
      </c>
      <c r="CQ33" s="40">
        <f>CQ32*Operations!CQ9</f>
        <v>0</v>
      </c>
      <c r="CR33" s="40">
        <f>CR32*Operations!CR9</f>
        <v>0</v>
      </c>
      <c r="CS33" s="40">
        <f>CS32*Operations!CS9</f>
        <v>0</v>
      </c>
      <c r="CT33" s="40">
        <f>CT32*Operations!CT9</f>
        <v>0</v>
      </c>
      <c r="CU33" s="40">
        <f>CU32*Operations!CU9</f>
        <v>0</v>
      </c>
      <c r="CV33" s="40">
        <f>CV32*Operations!CV9</f>
        <v>0</v>
      </c>
      <c r="CW33" s="40">
        <f>CW32*Operations!CW9</f>
        <v>0</v>
      </c>
      <c r="CX33" s="40">
        <f>CX32*Operations!CX9</f>
        <v>0</v>
      </c>
      <c r="CY33" s="40">
        <f>CY32*Operations!CY9</f>
        <v>0</v>
      </c>
      <c r="CZ33" s="40">
        <f>CZ32*Operations!CZ9</f>
        <v>0</v>
      </c>
      <c r="DA33" s="40">
        <f>DA32*Operations!DA9</f>
        <v>0</v>
      </c>
      <c r="DB33" s="40">
        <f>DB32*Operations!DB9</f>
        <v>0</v>
      </c>
      <c r="DC33" s="40">
        <f>DC32*Operations!DC9</f>
        <v>0</v>
      </c>
      <c r="DD33" s="40">
        <f>DD32*Operations!DD9</f>
        <v>0</v>
      </c>
      <c r="DE33" s="40">
        <f>DE32*Operations!DE9</f>
        <v>0</v>
      </c>
      <c r="DF33" s="40">
        <f>DF32*Operations!DF9</f>
        <v>0</v>
      </c>
      <c r="DG33" s="40">
        <f>DG32*Operations!DG9</f>
        <v>0</v>
      </c>
      <c r="DH33" s="40">
        <f>DH32*Operations!DH9</f>
        <v>0</v>
      </c>
      <c r="DI33" s="40">
        <f>DI32*Operations!DI9</f>
        <v>0</v>
      </c>
      <c r="DJ33" s="40">
        <f>DJ32*Operations!DJ9</f>
        <v>0</v>
      </c>
      <c r="DK33" s="40">
        <f>DK32*Operations!DK9</f>
        <v>0</v>
      </c>
      <c r="DL33" s="40">
        <f>DL32*Operations!DL9</f>
        <v>0</v>
      </c>
      <c r="DM33" s="40">
        <f>DM32*Operations!DM9</f>
        <v>0</v>
      </c>
    </row>
    <row r="34" spans="3:117" outlineLevel="1" x14ac:dyDescent="0.15"/>
    <row r="35" spans="3:117" outlineLevel="1" x14ac:dyDescent="0.15">
      <c r="C35" t="s">
        <v>62</v>
      </c>
      <c r="D35" s="5" t="s">
        <v>167</v>
      </c>
      <c r="J35" s="19">
        <f>I36</f>
        <v>0</v>
      </c>
      <c r="K35" s="19">
        <f t="shared" ref="K35:BV35" si="25">J36</f>
        <v>-174221665.5368098</v>
      </c>
      <c r="L35" s="19">
        <f t="shared" si="25"/>
        <v>-557802139.23970211</v>
      </c>
      <c r="M35" s="19">
        <f t="shared" si="25"/>
        <v>-1272257372.7015777</v>
      </c>
      <c r="N35" s="19">
        <f t="shared" si="25"/>
        <v>-1670478322.5</v>
      </c>
      <c r="O35" s="19">
        <f t="shared" si="25"/>
        <v>-523671332.06306601</v>
      </c>
      <c r="P35" s="19">
        <f t="shared" si="25"/>
        <v>747634240.8058815</v>
      </c>
      <c r="Q35" s="19">
        <f t="shared" si="25"/>
        <v>2076334195.5525248</v>
      </c>
      <c r="R35" s="19">
        <f t="shared" si="25"/>
        <v>3430263400.2797942</v>
      </c>
      <c r="S35" s="19">
        <f t="shared" si="25"/>
        <v>4659158270.9733295</v>
      </c>
      <c r="T35" s="19">
        <f t="shared" si="25"/>
        <v>5266259668.6088696</v>
      </c>
      <c r="U35" s="19">
        <f t="shared" si="25"/>
        <v>5922378668.5886192</v>
      </c>
      <c r="V35" s="19">
        <f t="shared" si="25"/>
        <v>6643235945.6461277</v>
      </c>
      <c r="W35" s="19">
        <f t="shared" si="25"/>
        <v>7231746624.5668592</v>
      </c>
      <c r="X35" s="19">
        <f t="shared" si="25"/>
        <v>7842190534.1752586</v>
      </c>
      <c r="Y35" s="19">
        <f t="shared" si="25"/>
        <v>8068356990.9937983</v>
      </c>
      <c r="Z35" s="19">
        <f t="shared" si="25"/>
        <v>8015886990.9937983</v>
      </c>
      <c r="AA35" s="19">
        <f t="shared" si="25"/>
        <v>8015886990.9937983</v>
      </c>
      <c r="AB35" s="19">
        <f t="shared" si="25"/>
        <v>8015886990.9937983</v>
      </c>
      <c r="AC35" s="19">
        <f t="shared" si="25"/>
        <v>8015886990.9937983</v>
      </c>
      <c r="AD35" s="19">
        <f t="shared" si="25"/>
        <v>8015886990.9937983</v>
      </c>
      <c r="AE35" s="19">
        <f t="shared" si="25"/>
        <v>8015886990.9937983</v>
      </c>
      <c r="AF35" s="19">
        <f t="shared" si="25"/>
        <v>8015886990.9937983</v>
      </c>
      <c r="AG35" s="19">
        <f t="shared" si="25"/>
        <v>8015886990.9937983</v>
      </c>
      <c r="AH35" s="19">
        <f t="shared" si="25"/>
        <v>8015886990.9937983</v>
      </c>
      <c r="AI35" s="19">
        <f t="shared" si="25"/>
        <v>8015886990.9937983</v>
      </c>
      <c r="AJ35" s="19">
        <f t="shared" si="25"/>
        <v>8015886990.9937983</v>
      </c>
      <c r="AK35" s="19">
        <f t="shared" si="25"/>
        <v>8015886990.9937983</v>
      </c>
      <c r="AL35" s="19">
        <f t="shared" si="25"/>
        <v>8015886990.9937983</v>
      </c>
      <c r="AM35" s="19">
        <f t="shared" si="25"/>
        <v>8015886990.9937983</v>
      </c>
      <c r="AN35" s="19">
        <f t="shared" si="25"/>
        <v>8015886990.9937983</v>
      </c>
      <c r="AO35" s="19">
        <f t="shared" si="25"/>
        <v>8015886990.9937983</v>
      </c>
      <c r="AP35" s="19">
        <f t="shared" si="25"/>
        <v>8015886990.9937983</v>
      </c>
      <c r="AQ35" s="19">
        <f t="shared" si="25"/>
        <v>8015886990.9937983</v>
      </c>
      <c r="AR35" s="19">
        <f t="shared" si="25"/>
        <v>8015886990.9937983</v>
      </c>
      <c r="AS35" s="19">
        <f t="shared" si="25"/>
        <v>8015886990.9937983</v>
      </c>
      <c r="AT35" s="19">
        <f t="shared" si="25"/>
        <v>8015886990.9937983</v>
      </c>
      <c r="AU35" s="19">
        <f t="shared" si="25"/>
        <v>8015886990.9937983</v>
      </c>
      <c r="AV35" s="19">
        <f t="shared" si="25"/>
        <v>8015886990.9937983</v>
      </c>
      <c r="AW35" s="19">
        <f t="shared" si="25"/>
        <v>8015886990.9937983</v>
      </c>
      <c r="AX35" s="19">
        <f t="shared" si="25"/>
        <v>8015886990.9937983</v>
      </c>
      <c r="AY35" s="19">
        <f t="shared" si="25"/>
        <v>8015886990.9937983</v>
      </c>
      <c r="AZ35" s="19">
        <f t="shared" si="25"/>
        <v>8015886990.9937983</v>
      </c>
      <c r="BA35" s="19">
        <f t="shared" si="25"/>
        <v>8015886990.9937983</v>
      </c>
      <c r="BB35" s="19">
        <f t="shared" si="25"/>
        <v>8015886990.9937983</v>
      </c>
      <c r="BC35" s="19">
        <f t="shared" si="25"/>
        <v>8015886990.9937983</v>
      </c>
      <c r="BD35" s="19">
        <f t="shared" si="25"/>
        <v>8015886990.9937983</v>
      </c>
      <c r="BE35" s="19">
        <f t="shared" si="25"/>
        <v>8015886990.9937983</v>
      </c>
      <c r="BF35" s="19">
        <f t="shared" si="25"/>
        <v>8015886990.9937983</v>
      </c>
      <c r="BG35" s="19">
        <f t="shared" si="25"/>
        <v>8015886990.9937983</v>
      </c>
      <c r="BH35" s="19">
        <f t="shared" si="25"/>
        <v>8015886990.9937983</v>
      </c>
      <c r="BI35" s="19">
        <f t="shared" si="25"/>
        <v>8015886990.9937983</v>
      </c>
      <c r="BJ35" s="19">
        <f t="shared" si="25"/>
        <v>8015886990.9937983</v>
      </c>
      <c r="BK35" s="19">
        <f t="shared" si="25"/>
        <v>8015886990.9937983</v>
      </c>
      <c r="BL35" s="19">
        <f t="shared" si="25"/>
        <v>8015886990.9937983</v>
      </c>
      <c r="BM35" s="19">
        <f t="shared" si="25"/>
        <v>8015886990.9937983</v>
      </c>
      <c r="BN35" s="19">
        <f t="shared" si="25"/>
        <v>8015886990.9937983</v>
      </c>
      <c r="BO35" s="19">
        <f t="shared" si="25"/>
        <v>8015886990.9937983</v>
      </c>
      <c r="BP35" s="19">
        <f t="shared" si="25"/>
        <v>8015886990.9937983</v>
      </c>
      <c r="BQ35" s="19">
        <f t="shared" si="25"/>
        <v>8015886990.9937983</v>
      </c>
      <c r="BR35" s="19">
        <f t="shared" si="25"/>
        <v>8015886990.9937983</v>
      </c>
      <c r="BS35" s="19">
        <f t="shared" si="25"/>
        <v>8015886990.9937983</v>
      </c>
      <c r="BT35" s="19">
        <f t="shared" si="25"/>
        <v>8015886990.9937983</v>
      </c>
      <c r="BU35" s="19">
        <f t="shared" si="25"/>
        <v>8015886990.9937983</v>
      </c>
      <c r="BV35" s="19">
        <f t="shared" si="25"/>
        <v>8015886990.9937983</v>
      </c>
      <c r="BW35" s="19">
        <f t="shared" ref="BW35:DM35" si="26">BV36</f>
        <v>8015886990.9937983</v>
      </c>
      <c r="BX35" s="19">
        <f t="shared" si="26"/>
        <v>8015886990.9937983</v>
      </c>
      <c r="BY35" s="19">
        <f t="shared" si="26"/>
        <v>8015886990.9937983</v>
      </c>
      <c r="BZ35" s="19">
        <f t="shared" si="26"/>
        <v>8015886990.9937983</v>
      </c>
      <c r="CA35" s="19">
        <f t="shared" si="26"/>
        <v>8015886990.9937983</v>
      </c>
      <c r="CB35" s="19">
        <f t="shared" si="26"/>
        <v>8015886990.9937983</v>
      </c>
      <c r="CC35" s="19">
        <f t="shared" si="26"/>
        <v>8015886990.9937983</v>
      </c>
      <c r="CD35" s="19">
        <f t="shared" si="26"/>
        <v>8015886990.9937983</v>
      </c>
      <c r="CE35" s="19">
        <f t="shared" si="26"/>
        <v>8015886990.9937983</v>
      </c>
      <c r="CF35" s="19">
        <f t="shared" si="26"/>
        <v>8015886990.9937983</v>
      </c>
      <c r="CG35" s="19">
        <f t="shared" si="26"/>
        <v>8015886990.9937983</v>
      </c>
      <c r="CH35" s="19">
        <f t="shared" si="26"/>
        <v>8015886990.9937983</v>
      </c>
      <c r="CI35" s="19">
        <f t="shared" si="26"/>
        <v>8015886990.9937983</v>
      </c>
      <c r="CJ35" s="19">
        <f t="shared" si="26"/>
        <v>8015886990.9937983</v>
      </c>
      <c r="CK35" s="19">
        <f t="shared" si="26"/>
        <v>8015886990.9937983</v>
      </c>
      <c r="CL35" s="19">
        <f t="shared" si="26"/>
        <v>8015886990.9937983</v>
      </c>
      <c r="CM35" s="19">
        <f t="shared" si="26"/>
        <v>8015886990.9937983</v>
      </c>
      <c r="CN35" s="19">
        <f t="shared" si="26"/>
        <v>8015886990.9937983</v>
      </c>
      <c r="CO35" s="19">
        <f t="shared" si="26"/>
        <v>8015886990.9937983</v>
      </c>
      <c r="CP35" s="19">
        <f t="shared" si="26"/>
        <v>8015886990.9937983</v>
      </c>
      <c r="CQ35" s="19">
        <f t="shared" si="26"/>
        <v>8015886990.9937983</v>
      </c>
      <c r="CR35" s="19">
        <f t="shared" si="26"/>
        <v>8015886990.9937983</v>
      </c>
      <c r="CS35" s="19">
        <f t="shared" si="26"/>
        <v>8015886990.9937983</v>
      </c>
      <c r="CT35" s="19">
        <f t="shared" si="26"/>
        <v>8015886990.9937983</v>
      </c>
      <c r="CU35" s="19">
        <f t="shared" si="26"/>
        <v>8015886990.9937983</v>
      </c>
      <c r="CV35" s="19">
        <f t="shared" si="26"/>
        <v>8015886990.9937983</v>
      </c>
      <c r="CW35" s="19">
        <f t="shared" si="26"/>
        <v>8015886990.9937983</v>
      </c>
      <c r="CX35" s="19">
        <f t="shared" si="26"/>
        <v>8015886990.9937983</v>
      </c>
      <c r="CY35" s="19">
        <f t="shared" si="26"/>
        <v>8015886990.9937983</v>
      </c>
      <c r="CZ35" s="19">
        <f t="shared" si="26"/>
        <v>8015886990.9937983</v>
      </c>
      <c r="DA35" s="19">
        <f t="shared" si="26"/>
        <v>8015886990.9937983</v>
      </c>
      <c r="DB35" s="19">
        <f t="shared" si="26"/>
        <v>8015886990.9937983</v>
      </c>
      <c r="DC35" s="19">
        <f t="shared" si="26"/>
        <v>8015886990.9937983</v>
      </c>
      <c r="DD35" s="19">
        <f t="shared" si="26"/>
        <v>8015886990.9937983</v>
      </c>
      <c r="DE35" s="19">
        <f t="shared" si="26"/>
        <v>8015886990.9937983</v>
      </c>
      <c r="DF35" s="19">
        <f t="shared" si="26"/>
        <v>8015886990.9937983</v>
      </c>
      <c r="DG35" s="19">
        <f t="shared" si="26"/>
        <v>8015886990.9937983</v>
      </c>
      <c r="DH35" s="19">
        <f t="shared" si="26"/>
        <v>8015886990.9937983</v>
      </c>
      <c r="DI35" s="19">
        <f t="shared" si="26"/>
        <v>8015886990.9937983</v>
      </c>
      <c r="DJ35" s="19">
        <f t="shared" si="26"/>
        <v>8015886990.9937983</v>
      </c>
      <c r="DK35" s="19">
        <f t="shared" si="26"/>
        <v>8015886990.9937983</v>
      </c>
      <c r="DL35" s="19">
        <f t="shared" si="26"/>
        <v>8015886990.9937983</v>
      </c>
      <c r="DM35" s="19">
        <f t="shared" si="26"/>
        <v>8015886990.9937983</v>
      </c>
    </row>
    <row r="36" spans="3:117" ht="14" outlineLevel="1" thickBot="1" x14ac:dyDescent="0.2">
      <c r="C36" t="s">
        <v>63</v>
      </c>
      <c r="D36" s="5" t="s">
        <v>167</v>
      </c>
      <c r="I36" s="9"/>
      <c r="J36" s="32">
        <f>J33+J35</f>
        <v>-174221665.5368098</v>
      </c>
      <c r="K36" s="32">
        <f t="shared" ref="K36:BV36" si="27">K33+K35</f>
        <v>-557802139.23970211</v>
      </c>
      <c r="L36" s="32">
        <f t="shared" si="27"/>
        <v>-1272257372.7015777</v>
      </c>
      <c r="M36" s="32">
        <f t="shared" si="27"/>
        <v>-1670478322.5</v>
      </c>
      <c r="N36" s="32">
        <f t="shared" si="27"/>
        <v>-523671332.06306601</v>
      </c>
      <c r="O36" s="32">
        <f t="shared" si="27"/>
        <v>747634240.8058815</v>
      </c>
      <c r="P36" s="32">
        <f t="shared" si="27"/>
        <v>2076334195.5525248</v>
      </c>
      <c r="Q36" s="32">
        <f t="shared" si="27"/>
        <v>3430263400.2797942</v>
      </c>
      <c r="R36" s="32">
        <f t="shared" si="27"/>
        <v>4659158270.9733295</v>
      </c>
      <c r="S36" s="32">
        <f t="shared" si="27"/>
        <v>5266259668.6088696</v>
      </c>
      <c r="T36" s="32">
        <f t="shared" si="27"/>
        <v>5922378668.5886192</v>
      </c>
      <c r="U36" s="32">
        <f t="shared" si="27"/>
        <v>6643235945.6461277</v>
      </c>
      <c r="V36" s="32">
        <f t="shared" si="27"/>
        <v>7231746624.5668592</v>
      </c>
      <c r="W36" s="32">
        <f t="shared" si="27"/>
        <v>7842190534.1752586</v>
      </c>
      <c r="X36" s="32">
        <f t="shared" si="27"/>
        <v>8068356990.9937983</v>
      </c>
      <c r="Y36" s="32">
        <f t="shared" si="27"/>
        <v>8015886990.9937983</v>
      </c>
      <c r="Z36" s="32">
        <f t="shared" si="27"/>
        <v>8015886990.9937983</v>
      </c>
      <c r="AA36" s="32">
        <f t="shared" si="27"/>
        <v>8015886990.9937983</v>
      </c>
      <c r="AB36" s="32">
        <f t="shared" si="27"/>
        <v>8015886990.9937983</v>
      </c>
      <c r="AC36" s="32">
        <f t="shared" si="27"/>
        <v>8015886990.9937983</v>
      </c>
      <c r="AD36" s="32">
        <f t="shared" si="27"/>
        <v>8015886990.9937983</v>
      </c>
      <c r="AE36" s="32">
        <f t="shared" si="27"/>
        <v>8015886990.9937983</v>
      </c>
      <c r="AF36" s="32">
        <f t="shared" si="27"/>
        <v>8015886990.9937983</v>
      </c>
      <c r="AG36" s="32">
        <f t="shared" si="27"/>
        <v>8015886990.9937983</v>
      </c>
      <c r="AH36" s="32">
        <f t="shared" si="27"/>
        <v>8015886990.9937983</v>
      </c>
      <c r="AI36" s="32">
        <f t="shared" si="27"/>
        <v>8015886990.9937983</v>
      </c>
      <c r="AJ36" s="32">
        <f t="shared" si="27"/>
        <v>8015886990.9937983</v>
      </c>
      <c r="AK36" s="32">
        <f t="shared" si="27"/>
        <v>8015886990.9937983</v>
      </c>
      <c r="AL36" s="32">
        <f t="shared" si="27"/>
        <v>8015886990.9937983</v>
      </c>
      <c r="AM36" s="32">
        <f t="shared" si="27"/>
        <v>8015886990.9937983</v>
      </c>
      <c r="AN36" s="32">
        <f t="shared" si="27"/>
        <v>8015886990.9937983</v>
      </c>
      <c r="AO36" s="32">
        <f t="shared" si="27"/>
        <v>8015886990.9937983</v>
      </c>
      <c r="AP36" s="32">
        <f t="shared" si="27"/>
        <v>8015886990.9937983</v>
      </c>
      <c r="AQ36" s="32">
        <f t="shared" si="27"/>
        <v>8015886990.9937983</v>
      </c>
      <c r="AR36" s="32">
        <f t="shared" si="27"/>
        <v>8015886990.9937983</v>
      </c>
      <c r="AS36" s="32">
        <f t="shared" si="27"/>
        <v>8015886990.9937983</v>
      </c>
      <c r="AT36" s="32">
        <f t="shared" si="27"/>
        <v>8015886990.9937983</v>
      </c>
      <c r="AU36" s="32">
        <f t="shared" si="27"/>
        <v>8015886990.9937983</v>
      </c>
      <c r="AV36" s="32">
        <f t="shared" si="27"/>
        <v>8015886990.9937983</v>
      </c>
      <c r="AW36" s="32">
        <f t="shared" si="27"/>
        <v>8015886990.9937983</v>
      </c>
      <c r="AX36" s="32">
        <f t="shared" si="27"/>
        <v>8015886990.9937983</v>
      </c>
      <c r="AY36" s="32">
        <f t="shared" si="27"/>
        <v>8015886990.9937983</v>
      </c>
      <c r="AZ36" s="32">
        <f t="shared" si="27"/>
        <v>8015886990.9937983</v>
      </c>
      <c r="BA36" s="32">
        <f t="shared" si="27"/>
        <v>8015886990.9937983</v>
      </c>
      <c r="BB36" s="32">
        <f t="shared" si="27"/>
        <v>8015886990.9937983</v>
      </c>
      <c r="BC36" s="32">
        <f t="shared" si="27"/>
        <v>8015886990.9937983</v>
      </c>
      <c r="BD36" s="32">
        <f t="shared" si="27"/>
        <v>8015886990.9937983</v>
      </c>
      <c r="BE36" s="32">
        <f t="shared" si="27"/>
        <v>8015886990.9937983</v>
      </c>
      <c r="BF36" s="32">
        <f t="shared" si="27"/>
        <v>8015886990.9937983</v>
      </c>
      <c r="BG36" s="32">
        <f t="shared" si="27"/>
        <v>8015886990.9937983</v>
      </c>
      <c r="BH36" s="32">
        <f t="shared" si="27"/>
        <v>8015886990.9937983</v>
      </c>
      <c r="BI36" s="32">
        <f t="shared" si="27"/>
        <v>8015886990.9937983</v>
      </c>
      <c r="BJ36" s="32">
        <f t="shared" si="27"/>
        <v>8015886990.9937983</v>
      </c>
      <c r="BK36" s="32">
        <f t="shared" si="27"/>
        <v>8015886990.9937983</v>
      </c>
      <c r="BL36" s="32">
        <f t="shared" si="27"/>
        <v>8015886990.9937983</v>
      </c>
      <c r="BM36" s="32">
        <f t="shared" si="27"/>
        <v>8015886990.9937983</v>
      </c>
      <c r="BN36" s="32">
        <f t="shared" si="27"/>
        <v>8015886990.9937983</v>
      </c>
      <c r="BO36" s="32">
        <f t="shared" si="27"/>
        <v>8015886990.9937983</v>
      </c>
      <c r="BP36" s="32">
        <f t="shared" si="27"/>
        <v>8015886990.9937983</v>
      </c>
      <c r="BQ36" s="32">
        <f t="shared" si="27"/>
        <v>8015886990.9937983</v>
      </c>
      <c r="BR36" s="32">
        <f t="shared" si="27"/>
        <v>8015886990.9937983</v>
      </c>
      <c r="BS36" s="32">
        <f t="shared" si="27"/>
        <v>8015886990.9937983</v>
      </c>
      <c r="BT36" s="32">
        <f t="shared" si="27"/>
        <v>8015886990.9937983</v>
      </c>
      <c r="BU36" s="32">
        <f t="shared" si="27"/>
        <v>8015886990.9937983</v>
      </c>
      <c r="BV36" s="32">
        <f t="shared" si="27"/>
        <v>8015886990.9937983</v>
      </c>
      <c r="BW36" s="32">
        <f t="shared" ref="BW36:DM36" si="28">BW33+BW35</f>
        <v>8015886990.9937983</v>
      </c>
      <c r="BX36" s="32">
        <f t="shared" si="28"/>
        <v>8015886990.9937983</v>
      </c>
      <c r="BY36" s="32">
        <f t="shared" si="28"/>
        <v>8015886990.9937983</v>
      </c>
      <c r="BZ36" s="32">
        <f t="shared" si="28"/>
        <v>8015886990.9937983</v>
      </c>
      <c r="CA36" s="32">
        <f t="shared" si="28"/>
        <v>8015886990.9937983</v>
      </c>
      <c r="CB36" s="32">
        <f t="shared" si="28"/>
        <v>8015886990.9937983</v>
      </c>
      <c r="CC36" s="32">
        <f t="shared" si="28"/>
        <v>8015886990.9937983</v>
      </c>
      <c r="CD36" s="32">
        <f t="shared" si="28"/>
        <v>8015886990.9937983</v>
      </c>
      <c r="CE36" s="32">
        <f t="shared" si="28"/>
        <v>8015886990.9937983</v>
      </c>
      <c r="CF36" s="32">
        <f t="shared" si="28"/>
        <v>8015886990.9937983</v>
      </c>
      <c r="CG36" s="32">
        <f t="shared" si="28"/>
        <v>8015886990.9937983</v>
      </c>
      <c r="CH36" s="32">
        <f t="shared" si="28"/>
        <v>8015886990.9937983</v>
      </c>
      <c r="CI36" s="32">
        <f t="shared" si="28"/>
        <v>8015886990.9937983</v>
      </c>
      <c r="CJ36" s="32">
        <f t="shared" si="28"/>
        <v>8015886990.9937983</v>
      </c>
      <c r="CK36" s="32">
        <f t="shared" si="28"/>
        <v>8015886990.9937983</v>
      </c>
      <c r="CL36" s="32">
        <f t="shared" si="28"/>
        <v>8015886990.9937983</v>
      </c>
      <c r="CM36" s="32">
        <f t="shared" si="28"/>
        <v>8015886990.9937983</v>
      </c>
      <c r="CN36" s="32">
        <f t="shared" si="28"/>
        <v>8015886990.9937983</v>
      </c>
      <c r="CO36" s="32">
        <f t="shared" si="28"/>
        <v>8015886990.9937983</v>
      </c>
      <c r="CP36" s="32">
        <f t="shared" si="28"/>
        <v>8015886990.9937983</v>
      </c>
      <c r="CQ36" s="32">
        <f t="shared" si="28"/>
        <v>8015886990.9937983</v>
      </c>
      <c r="CR36" s="32">
        <f t="shared" si="28"/>
        <v>8015886990.9937983</v>
      </c>
      <c r="CS36" s="32">
        <f t="shared" si="28"/>
        <v>8015886990.9937983</v>
      </c>
      <c r="CT36" s="32">
        <f t="shared" si="28"/>
        <v>8015886990.9937983</v>
      </c>
      <c r="CU36" s="32">
        <f t="shared" si="28"/>
        <v>8015886990.9937983</v>
      </c>
      <c r="CV36" s="32">
        <f t="shared" si="28"/>
        <v>8015886990.9937983</v>
      </c>
      <c r="CW36" s="32">
        <f t="shared" si="28"/>
        <v>8015886990.9937983</v>
      </c>
      <c r="CX36" s="32">
        <f t="shared" si="28"/>
        <v>8015886990.9937983</v>
      </c>
      <c r="CY36" s="32">
        <f t="shared" si="28"/>
        <v>8015886990.9937983</v>
      </c>
      <c r="CZ36" s="32">
        <f t="shared" si="28"/>
        <v>8015886990.9937983</v>
      </c>
      <c r="DA36" s="32">
        <f t="shared" si="28"/>
        <v>8015886990.9937983</v>
      </c>
      <c r="DB36" s="32">
        <f t="shared" si="28"/>
        <v>8015886990.9937983</v>
      </c>
      <c r="DC36" s="32">
        <f t="shared" si="28"/>
        <v>8015886990.9937983</v>
      </c>
      <c r="DD36" s="32">
        <f t="shared" si="28"/>
        <v>8015886990.9937983</v>
      </c>
      <c r="DE36" s="32">
        <f t="shared" si="28"/>
        <v>8015886990.9937983</v>
      </c>
      <c r="DF36" s="32">
        <f t="shared" si="28"/>
        <v>8015886990.9937983</v>
      </c>
      <c r="DG36" s="32">
        <f t="shared" si="28"/>
        <v>8015886990.9937983</v>
      </c>
      <c r="DH36" s="32">
        <f t="shared" si="28"/>
        <v>8015886990.9937983</v>
      </c>
      <c r="DI36" s="32">
        <f t="shared" si="28"/>
        <v>8015886990.9937983</v>
      </c>
      <c r="DJ36" s="32">
        <f t="shared" si="28"/>
        <v>8015886990.9937983</v>
      </c>
      <c r="DK36" s="32">
        <f t="shared" si="28"/>
        <v>8015886990.9937983</v>
      </c>
      <c r="DL36" s="32">
        <f t="shared" si="28"/>
        <v>8015886990.9937983</v>
      </c>
      <c r="DM36" s="32">
        <f t="shared" si="28"/>
        <v>8015886990.9937983</v>
      </c>
    </row>
    <row r="37" spans="3:117" ht="14" outlineLevel="1" thickTop="1" x14ac:dyDescent="0.15"/>
    <row r="38" spans="3:117" ht="20" outlineLevel="1" x14ac:dyDescent="0.2">
      <c r="C38" s="4" t="s">
        <v>113</v>
      </c>
      <c r="J38" s="23" t="s">
        <v>142</v>
      </c>
      <c r="K38">
        <v>81.5</v>
      </c>
    </row>
    <row r="39" spans="3:117" ht="15.75" customHeight="1" outlineLevel="1" x14ac:dyDescent="0.15">
      <c r="C39" s="2" t="s">
        <v>118</v>
      </c>
      <c r="E39" s="17" t="s">
        <v>57</v>
      </c>
    </row>
    <row r="40" spans="3:117" outlineLevel="1" x14ac:dyDescent="0.15">
      <c r="C40" s="56" t="str">
        <f>_xlfn.CONCAT("NPV @ ",E40*100,"%")</f>
        <v>NPV @ 5%</v>
      </c>
      <c r="D40" s="5" t="s">
        <v>0</v>
      </c>
      <c r="E40" s="48">
        <v>0.05</v>
      </c>
      <c r="J40" s="19">
        <f>NPV($E40,J33:$DM33)</f>
        <v>4904312996.3747883</v>
      </c>
      <c r="K40" s="19">
        <f>NPV($E40,K33:$DM33)</f>
        <v>5323750311.7303362</v>
      </c>
      <c r="L40" s="19">
        <f>NPV($E40,L33:$DM33)</f>
        <v>5973518301.0197468</v>
      </c>
      <c r="M40" s="19">
        <f>NPV($E40,M33:$DM33)</f>
        <v>6986649449.5326099</v>
      </c>
      <c r="N40" s="19">
        <f>NPV($E40,N33:$DM33)</f>
        <v>7734202871.8076611</v>
      </c>
      <c r="O40" s="19">
        <f>NPV($E40,O33:$DM33)</f>
        <v>6974106024.961113</v>
      </c>
      <c r="P40" s="19">
        <f>NPV($E40,P33:$DM33)</f>
        <v>6051505753.3402195</v>
      </c>
      <c r="Q40" s="19">
        <f>NPV($E40,Q33:$DM33)</f>
        <v>5025381086.2605896</v>
      </c>
      <c r="R40" s="19">
        <f>NPV($E40,R33:$DM33)</f>
        <v>3922720935.8463492</v>
      </c>
      <c r="S40" s="19">
        <f>NPV($E40,S33:$DM33)</f>
        <v>2889962111.9451327</v>
      </c>
      <c r="T40" s="19">
        <f>NPV($E40,T33:$DM33)</f>
        <v>2427358819.9068489</v>
      </c>
      <c r="U40" s="19">
        <f>NPV($E40,U33:$DM33)</f>
        <v>1892607760.9224424</v>
      </c>
      <c r="V40" s="19">
        <f>NPV($E40,V33:$DM33)</f>
        <v>1266380871.9110563</v>
      </c>
      <c r="W40" s="19">
        <f>NPV($E40,W33:$DM33)</f>
        <v>741189236.5858773</v>
      </c>
      <c r="X40" s="19">
        <f>NPV($E40,X33:$DM33)</f>
        <v>167804788.80677214</v>
      </c>
      <c r="Y40" s="19">
        <f>NPV($E40,Y33:$DM33)</f>
        <v>-49971428.571428567</v>
      </c>
      <c r="Z40" s="19">
        <f>NPV($E40,Z33:$DM33)</f>
        <v>0</v>
      </c>
      <c r="AA40" s="19">
        <f>NPV($E40,AA33:$DM33)</f>
        <v>0</v>
      </c>
      <c r="AB40" s="19">
        <f>NPV($E40,AB33:$DM33)</f>
        <v>0</v>
      </c>
      <c r="AC40" s="19">
        <f>NPV($E40,AC33:$DM33)</f>
        <v>0</v>
      </c>
      <c r="AD40" s="19">
        <f>NPV($E40,AD33:$DM33)</f>
        <v>0</v>
      </c>
      <c r="AE40" s="19">
        <f>NPV($E40,AE33:$DM33)</f>
        <v>0</v>
      </c>
      <c r="AF40" s="19">
        <f>NPV($E40,AF33:$DM33)</f>
        <v>0</v>
      </c>
      <c r="AG40" s="19">
        <f>NPV($E40,AG33:$DM33)</f>
        <v>0</v>
      </c>
      <c r="AH40" s="19">
        <f>NPV($E40,AH33:$DM33)</f>
        <v>0</v>
      </c>
      <c r="AI40" s="19">
        <f>NPV($E40,AI33:$DM33)</f>
        <v>0</v>
      </c>
      <c r="AJ40" s="19">
        <f>NPV($E40,AJ33:$DM33)</f>
        <v>0</v>
      </c>
      <c r="AK40" s="19">
        <f>NPV($E40,AK33:$DM33)</f>
        <v>0</v>
      </c>
      <c r="AL40" s="19">
        <f>NPV($E40,AL33:$DM33)</f>
        <v>0</v>
      </c>
      <c r="AM40" s="19">
        <f>NPV($E40,AM33:$DM33)</f>
        <v>0</v>
      </c>
      <c r="AN40" s="19">
        <f>NPV($E40,AN33:$DM33)</f>
        <v>0</v>
      </c>
      <c r="AO40" s="19">
        <f>NPV($E40,AO33:$DM33)</f>
        <v>0</v>
      </c>
      <c r="AP40" s="19">
        <f>NPV($E40,AP33:$DM33)</f>
        <v>0</v>
      </c>
      <c r="AQ40" s="19">
        <f>NPV($E40,AQ33:$DM33)</f>
        <v>0</v>
      </c>
      <c r="AR40" s="19">
        <f>NPV($E40,AR33:$DM33)</f>
        <v>0</v>
      </c>
      <c r="AS40" s="19">
        <f>NPV($E40,AS33:$DM33)</f>
        <v>0</v>
      </c>
      <c r="AT40" s="19">
        <f>NPV($E40,AT33:$DM33)</f>
        <v>0</v>
      </c>
      <c r="AU40" s="19">
        <f>NPV($E40,AU33:$DM33)</f>
        <v>0</v>
      </c>
      <c r="AV40" s="19">
        <f>NPV($E40,AV33:$DM33)</f>
        <v>0</v>
      </c>
      <c r="AW40" s="19">
        <f>NPV($E40,AW33:$DM33)</f>
        <v>0</v>
      </c>
      <c r="AX40" s="19">
        <f>NPV($E40,AX33:$DM33)</f>
        <v>0</v>
      </c>
      <c r="AY40" s="19">
        <f>NPV($E40,AY33:$DM33)</f>
        <v>0</v>
      </c>
      <c r="AZ40" s="19">
        <f>NPV($E40,AZ33:$DM33)</f>
        <v>0</v>
      </c>
      <c r="BA40" s="19">
        <f>NPV($E40,BA33:$DM33)</f>
        <v>0</v>
      </c>
      <c r="BB40" s="19">
        <f>NPV($E40,BB33:$DM33)</f>
        <v>0</v>
      </c>
      <c r="BC40" s="19">
        <f>NPV($E40,BC33:$DM33)</f>
        <v>0</v>
      </c>
      <c r="BD40" s="19">
        <f>NPV($E40,BD33:$DM33)</f>
        <v>0</v>
      </c>
      <c r="BE40" s="19">
        <f>NPV($E40,BE33:$DM33)</f>
        <v>0</v>
      </c>
      <c r="BF40" s="19">
        <f>NPV($E40,BF33:$DM33)</f>
        <v>0</v>
      </c>
      <c r="BG40" s="19">
        <f>NPV($E40,BG33:$DM33)</f>
        <v>0</v>
      </c>
      <c r="BH40" s="19">
        <f>NPV($E40,BH33:$DM33)</f>
        <v>0</v>
      </c>
      <c r="BI40" s="19">
        <f>NPV($E40,BI33:$DM33)</f>
        <v>0</v>
      </c>
      <c r="BJ40" s="19">
        <f>NPV($E40,BJ33:$DM33)</f>
        <v>0</v>
      </c>
      <c r="BK40" s="19">
        <f>NPV($E40,BK33:$DM33)</f>
        <v>0</v>
      </c>
      <c r="BL40" s="19">
        <f>NPV($E40,BL33:$DM33)</f>
        <v>0</v>
      </c>
      <c r="BM40" s="19">
        <f>NPV($E40,BM33:$DM33)</f>
        <v>0</v>
      </c>
      <c r="BN40" s="19">
        <f>NPV($E40,BN33:$DM33)</f>
        <v>0</v>
      </c>
      <c r="BO40" s="19">
        <f>NPV($E40,BO33:$DM33)</f>
        <v>0</v>
      </c>
      <c r="BP40" s="19">
        <f>NPV($E40,BP33:$DM33)</f>
        <v>0</v>
      </c>
      <c r="BQ40" s="19">
        <f>NPV($E40,BQ33:$DM33)</f>
        <v>0</v>
      </c>
      <c r="BR40" s="19">
        <f>NPV($E40,BR33:$DM33)</f>
        <v>0</v>
      </c>
      <c r="BS40" s="19">
        <f>NPV($E40,BS33:$DM33)</f>
        <v>0</v>
      </c>
      <c r="BT40" s="19">
        <f>NPV($E40,BT33:$DM33)</f>
        <v>0</v>
      </c>
      <c r="BU40" s="19">
        <f>NPV($E40,BU33:$DM33)</f>
        <v>0</v>
      </c>
      <c r="BV40" s="19">
        <f>NPV($E40,BV33:$DM33)</f>
        <v>0</v>
      </c>
      <c r="BW40" s="19">
        <f>NPV($E40,BW33:$DM33)</f>
        <v>0</v>
      </c>
      <c r="BX40" s="19">
        <f>NPV($E40,BX33:$DM33)</f>
        <v>0</v>
      </c>
      <c r="BY40" s="19">
        <f>NPV($E40,BY33:$DM33)</f>
        <v>0</v>
      </c>
      <c r="BZ40" s="19">
        <f>NPV($E40,BZ33:$DM33)</f>
        <v>0</v>
      </c>
      <c r="CA40" s="19">
        <f>NPV($E40,CA33:$DM33)</f>
        <v>0</v>
      </c>
      <c r="CB40" s="19">
        <f>NPV($E40,CB33:$DM33)</f>
        <v>0</v>
      </c>
      <c r="CC40" s="19">
        <f>NPV($E40,CC33:$DM33)</f>
        <v>0</v>
      </c>
      <c r="CD40" s="19">
        <f>NPV($E40,CD33:$DM33)</f>
        <v>0</v>
      </c>
      <c r="CE40" s="19">
        <f>NPV($E40,CE33:$DM33)</f>
        <v>0</v>
      </c>
      <c r="CF40" s="19">
        <f>NPV($E40,CF33:$DM33)</f>
        <v>0</v>
      </c>
      <c r="CG40" s="19">
        <f>NPV($E40,CG33:$DM33)</f>
        <v>0</v>
      </c>
      <c r="CH40" s="19">
        <f>NPV($E40,CH33:$DM33)</f>
        <v>0</v>
      </c>
      <c r="CI40" s="19">
        <f>NPV($E40,CI33:$DM33)</f>
        <v>0</v>
      </c>
      <c r="CJ40" s="19">
        <f>NPV($E40,CJ33:$DM33)</f>
        <v>0</v>
      </c>
      <c r="CK40" s="19">
        <f>NPV($E40,CK33:$DM33)</f>
        <v>0</v>
      </c>
      <c r="CL40" s="19">
        <f>NPV($E40,CL33:$DM33)</f>
        <v>0</v>
      </c>
      <c r="CM40" s="19">
        <f>NPV($E40,CM33:$DM33)</f>
        <v>0</v>
      </c>
      <c r="CN40" s="19">
        <f>NPV($E40,CN33:$DM33)</f>
        <v>0</v>
      </c>
      <c r="CO40" s="19">
        <f>NPV($E40,CO33:$DM33)</f>
        <v>0</v>
      </c>
      <c r="CP40" s="19">
        <f>NPV($E40,CP33:$DM33)</f>
        <v>0</v>
      </c>
      <c r="CQ40" s="19">
        <f>NPV($E40,CQ33:$DM33)</f>
        <v>0</v>
      </c>
      <c r="CR40" s="19">
        <f>NPV($E40,CR33:$DM33)</f>
        <v>0</v>
      </c>
      <c r="CS40" s="19">
        <f>NPV($E40,CS33:$DM33)</f>
        <v>0</v>
      </c>
      <c r="CT40" s="19">
        <f>NPV($E40,CT33:$DM33)</f>
        <v>0</v>
      </c>
      <c r="CU40" s="19">
        <f>NPV($E40,CU33:$DM33)</f>
        <v>0</v>
      </c>
      <c r="CV40" s="19">
        <f>NPV($E40,CV33:$DM33)</f>
        <v>0</v>
      </c>
      <c r="CW40" s="19">
        <f>NPV($E40,CW33:$DM33)</f>
        <v>0</v>
      </c>
      <c r="CX40" s="19">
        <f>NPV($E40,CX33:$DM33)</f>
        <v>0</v>
      </c>
      <c r="CY40" s="19">
        <f>NPV($E40,CY33:$DM33)</f>
        <v>0</v>
      </c>
      <c r="CZ40" s="19">
        <f>NPV($E40,CZ33:$DM33)</f>
        <v>0</v>
      </c>
      <c r="DA40" s="19">
        <f>NPV($E40,DA33:$DM33)</f>
        <v>0</v>
      </c>
      <c r="DB40" s="19">
        <f>NPV($E40,DB33:$DM33)</f>
        <v>0</v>
      </c>
      <c r="DC40" s="19">
        <f>NPV($E40,DC33:$DM33)</f>
        <v>0</v>
      </c>
      <c r="DD40" s="19">
        <f>NPV($E40,DD33:$DM33)</f>
        <v>0</v>
      </c>
      <c r="DE40" s="19">
        <f>NPV($E40,DE33:$DM33)</f>
        <v>0</v>
      </c>
      <c r="DF40" s="19">
        <f>NPV($E40,DF33:$DM33)</f>
        <v>0</v>
      </c>
      <c r="DG40" s="19">
        <f>NPV($E40,DG33:$DM33)</f>
        <v>0</v>
      </c>
      <c r="DH40" s="19">
        <f>NPV($E40,DH33:$DM33)</f>
        <v>0</v>
      </c>
      <c r="DI40" s="19">
        <f>NPV($E40,DI33:$DM33)</f>
        <v>0</v>
      </c>
      <c r="DJ40" s="19">
        <f>NPV($E40,DJ33:$DM33)</f>
        <v>0</v>
      </c>
      <c r="DK40" s="19">
        <f>NPV($E40,DK33:$DM33)</f>
        <v>0</v>
      </c>
      <c r="DL40" s="19">
        <f>NPV($E40,DL33:$DM33)</f>
        <v>0</v>
      </c>
      <c r="DM40" s="19">
        <f>NPV($E40,DM33:$DM33)</f>
        <v>0</v>
      </c>
    </row>
    <row r="41" spans="3:117" outlineLevel="1" x14ac:dyDescent="0.15">
      <c r="C41" s="56" t="str">
        <f t="shared" ref="C41" si="29">_xlfn.CONCAT("NPV @ ",E41*100,"%")</f>
        <v>NPV @ 8%</v>
      </c>
      <c r="D41" s="5" t="s">
        <v>0</v>
      </c>
      <c r="E41" s="48">
        <v>0.08</v>
      </c>
      <c r="J41" s="19">
        <f>NPV($E41,J33:$DM33)</f>
        <v>3682196006.7143154</v>
      </c>
      <c r="K41" s="19">
        <f>NPV($E41,K33:$DM33)</f>
        <v>4150993352.7882705</v>
      </c>
      <c r="L41" s="19">
        <f>NPV($E41,L33:$DM33)</f>
        <v>4866653294.7142258</v>
      </c>
      <c r="M41" s="19">
        <f>NPV($E41,M33:$DM33)</f>
        <v>5970440791.7532396</v>
      </c>
      <c r="N41" s="19">
        <f>NPV($E41,N33:$DM33)</f>
        <v>6846297004.8919201</v>
      </c>
      <c r="O41" s="19">
        <f>NPV($E41,O33:$DM33)</f>
        <v>6247193774.8463421</v>
      </c>
      <c r="P41" s="19">
        <f>NPV($E41,P33:$DM33)</f>
        <v>5475663703.9651012</v>
      </c>
      <c r="Q41" s="19">
        <f>NPV($E41,Q33:$DM33)</f>
        <v>4585016845.5356665</v>
      </c>
      <c r="R41" s="19">
        <f>NPV($E41,R33:$DM33)</f>
        <v>3597888988.4512506</v>
      </c>
      <c r="S41" s="19">
        <f>NPV($E41,S33:$DM33)</f>
        <v>2656825236.8338161</v>
      </c>
      <c r="T41" s="19">
        <f>NPV($E41,T33:$DM33)</f>
        <v>2262269858.1449819</v>
      </c>
      <c r="U41" s="19">
        <f>NPV($E41,U33:$DM33)</f>
        <v>1787132446.8168314</v>
      </c>
      <c r="V41" s="19">
        <f>NPV($E41,V33:$DM33)</f>
        <v>1209245765.5046697</v>
      </c>
      <c r="W41" s="19">
        <f>NPV($E41,W33:$DM33)</f>
        <v>717474747.82431138</v>
      </c>
      <c r="X41" s="19">
        <f>NPV($E41,X33:$DM33)</f>
        <v>164428818.04185739</v>
      </c>
      <c r="Y41" s="19">
        <f>NPV($E41,Y33:$DM33)</f>
        <v>-48583333.333333328</v>
      </c>
      <c r="Z41" s="19">
        <f>NPV($E41,Z33:$DM33)</f>
        <v>0</v>
      </c>
      <c r="AA41" s="19">
        <f>NPV($E41,AA33:$DM33)</f>
        <v>0</v>
      </c>
      <c r="AB41" s="19">
        <f>NPV($E41,AB33:$DM33)</f>
        <v>0</v>
      </c>
      <c r="AC41" s="19">
        <f>NPV($E41,AC33:$DM33)</f>
        <v>0</v>
      </c>
      <c r="AD41" s="19">
        <f>NPV($E41,AD33:$DM33)</f>
        <v>0</v>
      </c>
      <c r="AE41" s="19">
        <f>NPV($E41,AE33:$DM33)</f>
        <v>0</v>
      </c>
      <c r="AF41" s="19">
        <f>NPV($E41,AF33:$DM33)</f>
        <v>0</v>
      </c>
      <c r="AG41" s="19">
        <f>NPV($E41,AG33:$DM33)</f>
        <v>0</v>
      </c>
      <c r="AH41" s="19">
        <f>NPV($E41,AH33:$DM33)</f>
        <v>0</v>
      </c>
      <c r="AI41" s="19">
        <f>NPV($E41,AI33:$DM33)</f>
        <v>0</v>
      </c>
      <c r="AJ41" s="19">
        <f>NPV($E41,AJ33:$DM33)</f>
        <v>0</v>
      </c>
      <c r="AK41" s="19">
        <f>NPV($E41,AK33:$DM33)</f>
        <v>0</v>
      </c>
      <c r="AL41" s="19">
        <f>NPV($E41,AL33:$DM33)</f>
        <v>0</v>
      </c>
      <c r="AM41" s="19">
        <f>NPV($E41,AM33:$DM33)</f>
        <v>0</v>
      </c>
      <c r="AN41" s="19">
        <f>NPV($E41,AN33:$DM33)</f>
        <v>0</v>
      </c>
      <c r="AO41" s="19">
        <f>NPV($E41,AO33:$DM33)</f>
        <v>0</v>
      </c>
      <c r="AP41" s="19">
        <f>NPV($E41,AP33:$DM33)</f>
        <v>0</v>
      </c>
      <c r="AQ41" s="19">
        <f>NPV($E41,AQ33:$DM33)</f>
        <v>0</v>
      </c>
      <c r="AR41" s="19">
        <f>NPV($E41,AR33:$DM33)</f>
        <v>0</v>
      </c>
      <c r="AS41" s="19">
        <f>NPV($E41,AS33:$DM33)</f>
        <v>0</v>
      </c>
      <c r="AT41" s="19">
        <f>NPV($E41,AT33:$DM33)</f>
        <v>0</v>
      </c>
      <c r="AU41" s="19">
        <f>NPV($E41,AU33:$DM33)</f>
        <v>0</v>
      </c>
      <c r="AV41" s="19">
        <f>NPV($E41,AV33:$DM33)</f>
        <v>0</v>
      </c>
      <c r="AW41" s="19">
        <f>NPV($E41,AW33:$DM33)</f>
        <v>0</v>
      </c>
      <c r="AX41" s="19">
        <f>NPV($E41,AX33:$DM33)</f>
        <v>0</v>
      </c>
      <c r="AY41" s="19">
        <f>NPV($E41,AY33:$DM33)</f>
        <v>0</v>
      </c>
      <c r="AZ41" s="19">
        <f>NPV($E41,AZ33:$DM33)</f>
        <v>0</v>
      </c>
      <c r="BA41" s="19">
        <f>NPV($E41,BA33:$DM33)</f>
        <v>0</v>
      </c>
      <c r="BB41" s="19">
        <f>NPV($E41,BB33:$DM33)</f>
        <v>0</v>
      </c>
      <c r="BC41" s="19">
        <f>NPV($E41,BC33:$DM33)</f>
        <v>0</v>
      </c>
      <c r="BD41" s="19">
        <f>NPV($E41,BD33:$DM33)</f>
        <v>0</v>
      </c>
      <c r="BE41" s="19">
        <f>NPV($E41,BE33:$DM33)</f>
        <v>0</v>
      </c>
      <c r="BF41" s="19">
        <f>NPV($E41,BF33:$DM33)</f>
        <v>0</v>
      </c>
      <c r="BG41" s="19">
        <f>NPV($E41,BG33:$DM33)</f>
        <v>0</v>
      </c>
      <c r="BH41" s="19">
        <f>NPV($E41,BH33:$DM33)</f>
        <v>0</v>
      </c>
      <c r="BI41" s="19">
        <f>NPV($E41,BI33:$DM33)</f>
        <v>0</v>
      </c>
      <c r="BJ41" s="19">
        <f>NPV($E41,BJ33:$DM33)</f>
        <v>0</v>
      </c>
      <c r="BK41" s="19">
        <f>NPV($E41,BK33:$DM33)</f>
        <v>0</v>
      </c>
      <c r="BL41" s="19">
        <f>NPV($E41,BL33:$DM33)</f>
        <v>0</v>
      </c>
      <c r="BM41" s="19">
        <f>NPV($E41,BM33:$DM33)</f>
        <v>0</v>
      </c>
      <c r="BN41" s="19">
        <f>NPV($E41,BN33:$DM33)</f>
        <v>0</v>
      </c>
      <c r="BO41" s="19">
        <f>NPV($E41,BO33:$DM33)</f>
        <v>0</v>
      </c>
      <c r="BP41" s="19">
        <f>NPV($E41,BP33:$DM33)</f>
        <v>0</v>
      </c>
      <c r="BQ41" s="19">
        <f>NPV($E41,BQ33:$DM33)</f>
        <v>0</v>
      </c>
      <c r="BR41" s="19">
        <f>NPV($E41,BR33:$DM33)</f>
        <v>0</v>
      </c>
      <c r="BS41" s="19">
        <f>NPV($E41,BS33:$DM33)</f>
        <v>0</v>
      </c>
      <c r="BT41" s="19">
        <f>NPV($E41,BT33:$DM33)</f>
        <v>0</v>
      </c>
      <c r="BU41" s="19">
        <f>NPV($E41,BU33:$DM33)</f>
        <v>0</v>
      </c>
      <c r="BV41" s="19">
        <f>NPV($E41,BV33:$DM33)</f>
        <v>0</v>
      </c>
      <c r="BW41" s="19">
        <f>NPV($E41,BW33:$DM33)</f>
        <v>0</v>
      </c>
      <c r="BX41" s="19">
        <f>NPV($E41,BX33:$DM33)</f>
        <v>0</v>
      </c>
      <c r="BY41" s="19">
        <f>NPV($E41,BY33:$DM33)</f>
        <v>0</v>
      </c>
      <c r="BZ41" s="19">
        <f>NPV($E41,BZ33:$DM33)</f>
        <v>0</v>
      </c>
      <c r="CA41" s="19">
        <f>NPV($E41,CA33:$DM33)</f>
        <v>0</v>
      </c>
      <c r="CB41" s="19">
        <f>NPV($E41,CB33:$DM33)</f>
        <v>0</v>
      </c>
      <c r="CC41" s="19">
        <f>NPV($E41,CC33:$DM33)</f>
        <v>0</v>
      </c>
      <c r="CD41" s="19">
        <f>NPV($E41,CD33:$DM33)</f>
        <v>0</v>
      </c>
      <c r="CE41" s="19">
        <f>NPV($E41,CE33:$DM33)</f>
        <v>0</v>
      </c>
      <c r="CF41" s="19">
        <f>NPV($E41,CF33:$DM33)</f>
        <v>0</v>
      </c>
      <c r="CG41" s="19">
        <f>NPV($E41,CG33:$DM33)</f>
        <v>0</v>
      </c>
      <c r="CH41" s="19">
        <f>NPV($E41,CH33:$DM33)</f>
        <v>0</v>
      </c>
      <c r="CI41" s="19">
        <f>NPV($E41,CI33:$DM33)</f>
        <v>0</v>
      </c>
      <c r="CJ41" s="19">
        <f>NPV($E41,CJ33:$DM33)</f>
        <v>0</v>
      </c>
      <c r="CK41" s="19">
        <f>NPV($E41,CK33:$DM33)</f>
        <v>0</v>
      </c>
      <c r="CL41" s="19">
        <f>NPV($E41,CL33:$DM33)</f>
        <v>0</v>
      </c>
      <c r="CM41" s="19">
        <f>NPV($E41,CM33:$DM33)</f>
        <v>0</v>
      </c>
      <c r="CN41" s="19">
        <f>NPV($E41,CN33:$DM33)</f>
        <v>0</v>
      </c>
      <c r="CO41" s="19">
        <f>NPV($E41,CO33:$DM33)</f>
        <v>0</v>
      </c>
      <c r="CP41" s="19">
        <f>NPV($E41,CP33:$DM33)</f>
        <v>0</v>
      </c>
      <c r="CQ41" s="19">
        <f>NPV($E41,CQ33:$DM33)</f>
        <v>0</v>
      </c>
      <c r="CR41" s="19">
        <f>NPV($E41,CR33:$DM33)</f>
        <v>0</v>
      </c>
      <c r="CS41" s="19">
        <f>NPV($E41,CS33:$DM33)</f>
        <v>0</v>
      </c>
      <c r="CT41" s="19">
        <f>NPV($E41,CT33:$DM33)</f>
        <v>0</v>
      </c>
      <c r="CU41" s="19">
        <f>NPV($E41,CU33:$DM33)</f>
        <v>0</v>
      </c>
      <c r="CV41" s="19">
        <f>NPV($E41,CV33:$DM33)</f>
        <v>0</v>
      </c>
      <c r="CW41" s="19">
        <f>NPV($E41,CW33:$DM33)</f>
        <v>0</v>
      </c>
      <c r="CX41" s="19">
        <f>NPV($E41,CX33:$DM33)</f>
        <v>0</v>
      </c>
      <c r="CY41" s="19">
        <f>NPV($E41,CY33:$DM33)</f>
        <v>0</v>
      </c>
      <c r="CZ41" s="19">
        <f>NPV($E41,CZ33:$DM33)</f>
        <v>0</v>
      </c>
      <c r="DA41" s="19">
        <f>NPV($E41,DA33:$DM33)</f>
        <v>0</v>
      </c>
      <c r="DB41" s="19">
        <f>NPV($E41,DB33:$DM33)</f>
        <v>0</v>
      </c>
      <c r="DC41" s="19">
        <f>NPV($E41,DC33:$DM33)</f>
        <v>0</v>
      </c>
      <c r="DD41" s="19">
        <f>NPV($E41,DD33:$DM33)</f>
        <v>0</v>
      </c>
      <c r="DE41" s="19">
        <f>NPV($E41,DE33:$DM33)</f>
        <v>0</v>
      </c>
      <c r="DF41" s="19">
        <f>NPV($E41,DF33:$DM33)</f>
        <v>0</v>
      </c>
      <c r="DG41" s="19">
        <f>NPV($E41,DG33:$DM33)</f>
        <v>0</v>
      </c>
      <c r="DH41" s="19">
        <f>NPV($E41,DH33:$DM33)</f>
        <v>0</v>
      </c>
      <c r="DI41" s="19">
        <f>NPV($E41,DI33:$DM33)</f>
        <v>0</v>
      </c>
      <c r="DJ41" s="19">
        <f>NPV($E41,DJ33:$DM33)</f>
        <v>0</v>
      </c>
      <c r="DK41" s="19">
        <f>NPV($E41,DK33:$DM33)</f>
        <v>0</v>
      </c>
      <c r="DL41" s="19">
        <f>NPV($E41,DL33:$DM33)</f>
        <v>0</v>
      </c>
      <c r="DM41" s="19">
        <f>NPV($E41,DM33:$DM33)</f>
        <v>0</v>
      </c>
    </row>
    <row r="42" spans="3:117" outlineLevel="1" x14ac:dyDescent="0.15">
      <c r="C42" s="56" t="str">
        <f>_xlfn.CONCAT("NPV @ ",E42*100,"%")</f>
        <v>NPV @ 10%</v>
      </c>
      <c r="D42" s="5" t="s">
        <v>0</v>
      </c>
      <c r="E42" s="47">
        <v>0.1</v>
      </c>
      <c r="J42" s="19">
        <f>NPV($E42,J33:$DM33)</f>
        <v>3047815155.1500077</v>
      </c>
      <c r="K42" s="19">
        <f>NPV($E42,K33:$DM33)</f>
        <v>3526818336.2018189</v>
      </c>
      <c r="L42" s="19">
        <f>NPV($E42,L33:$DM33)</f>
        <v>4263080643.5248933</v>
      </c>
      <c r="M42" s="19">
        <f>NPV($E42,M33:$DM33)</f>
        <v>5403843941.3392591</v>
      </c>
      <c r="N42" s="19">
        <f>NPV($E42,N33:$DM33)</f>
        <v>6342449285.2716084</v>
      </c>
      <c r="O42" s="19">
        <f>NPV($E42,O33:$DM33)</f>
        <v>5829887223.3618364</v>
      </c>
      <c r="P42" s="19">
        <f>NPV($E42,P33:$DM33)</f>
        <v>5141570372.829072</v>
      </c>
      <c r="Q42" s="19">
        <f>NPV($E42,Q33:$DM33)</f>
        <v>4327027455.3653364</v>
      </c>
      <c r="R42" s="19">
        <f>NPV($E42,R33:$DM33)</f>
        <v>3405800996.1746006</v>
      </c>
      <c r="S42" s="19">
        <f>NPV($E42,S33:$DM33)</f>
        <v>2517486225.0985265</v>
      </c>
      <c r="T42" s="19">
        <f>NPV($E42,T33:$DM33)</f>
        <v>2162133449.9728398</v>
      </c>
      <c r="U42" s="19">
        <f>NPV($E42,U33:$DM33)</f>
        <v>1722227794.9903743</v>
      </c>
      <c r="V42" s="19">
        <f>NPV($E42,V33:$DM33)</f>
        <v>1173593297.4319036</v>
      </c>
      <c r="W42" s="19">
        <f>NPV($E42,W33:$DM33)</f>
        <v>702441948.25436211</v>
      </c>
      <c r="X42" s="19">
        <f>NPV($E42,X33:$DM33)</f>
        <v>162242233.47139937</v>
      </c>
      <c r="Y42" s="19">
        <f>NPV($E42,Y33:$DM33)</f>
        <v>-47699999.999999993</v>
      </c>
      <c r="Z42" s="19">
        <f>NPV($E42,Z33:$DM33)</f>
        <v>0</v>
      </c>
      <c r="AA42" s="19">
        <f>NPV($E42,AA33:$DM33)</f>
        <v>0</v>
      </c>
      <c r="AB42" s="19">
        <f>NPV($E42,AB33:$DM33)</f>
        <v>0</v>
      </c>
      <c r="AC42" s="19">
        <f>NPV($E42,AC33:$DM33)</f>
        <v>0</v>
      </c>
      <c r="AD42" s="19">
        <f>NPV($E42,AD33:$DM33)</f>
        <v>0</v>
      </c>
      <c r="AE42" s="19">
        <f>NPV($E42,AE33:$DM33)</f>
        <v>0</v>
      </c>
      <c r="AF42" s="19">
        <f>NPV($E42,AF33:$DM33)</f>
        <v>0</v>
      </c>
      <c r="AG42" s="19">
        <f>NPV($E42,AG33:$DM33)</f>
        <v>0</v>
      </c>
      <c r="AH42" s="19">
        <f>NPV($E42,AH33:$DM33)</f>
        <v>0</v>
      </c>
      <c r="AI42" s="19">
        <f>NPV($E42,AI33:$DM33)</f>
        <v>0</v>
      </c>
      <c r="AJ42" s="19">
        <f>NPV($E42,AJ33:$DM33)</f>
        <v>0</v>
      </c>
      <c r="AK42" s="19">
        <f>NPV($E42,AK33:$DM33)</f>
        <v>0</v>
      </c>
      <c r="AL42" s="19">
        <f>NPV($E42,AL33:$DM33)</f>
        <v>0</v>
      </c>
      <c r="AM42" s="19">
        <f>NPV($E42,AM33:$DM33)</f>
        <v>0</v>
      </c>
      <c r="AN42" s="19">
        <f>NPV($E42,AN33:$DM33)</f>
        <v>0</v>
      </c>
      <c r="AO42" s="19">
        <f>NPV($E42,AO33:$DM33)</f>
        <v>0</v>
      </c>
      <c r="AP42" s="19">
        <f>NPV($E42,AP33:$DM33)</f>
        <v>0</v>
      </c>
      <c r="AQ42" s="19">
        <f>NPV($E42,AQ33:$DM33)</f>
        <v>0</v>
      </c>
      <c r="AR42" s="19">
        <f>NPV($E42,AR33:$DM33)</f>
        <v>0</v>
      </c>
      <c r="AS42" s="19">
        <f>NPV($E42,AS33:$DM33)</f>
        <v>0</v>
      </c>
      <c r="AT42" s="19">
        <f>NPV($E42,AT33:$DM33)</f>
        <v>0</v>
      </c>
      <c r="AU42" s="19">
        <f>NPV($E42,AU33:$DM33)</f>
        <v>0</v>
      </c>
      <c r="AV42" s="19">
        <f>NPV($E42,AV33:$DM33)</f>
        <v>0</v>
      </c>
      <c r="AW42" s="19">
        <f>NPV($E42,AW33:$DM33)</f>
        <v>0</v>
      </c>
      <c r="AX42" s="19">
        <f>NPV($E42,AX33:$DM33)</f>
        <v>0</v>
      </c>
      <c r="AY42" s="19">
        <f>NPV($E42,AY33:$DM33)</f>
        <v>0</v>
      </c>
      <c r="AZ42" s="19">
        <f>NPV($E42,AZ33:$DM33)</f>
        <v>0</v>
      </c>
      <c r="BA42" s="19">
        <f>NPV($E42,BA33:$DM33)</f>
        <v>0</v>
      </c>
      <c r="BB42" s="19">
        <f>NPV($E42,BB33:$DM33)</f>
        <v>0</v>
      </c>
      <c r="BC42" s="19">
        <f>NPV($E42,BC33:$DM33)</f>
        <v>0</v>
      </c>
      <c r="BD42" s="19">
        <f>NPV($E42,BD33:$DM33)</f>
        <v>0</v>
      </c>
      <c r="BE42" s="19">
        <f>NPV($E42,BE33:$DM33)</f>
        <v>0</v>
      </c>
      <c r="BF42" s="19">
        <f>NPV($E42,BF33:$DM33)</f>
        <v>0</v>
      </c>
      <c r="BG42" s="19">
        <f>NPV($E42,BG33:$DM33)</f>
        <v>0</v>
      </c>
      <c r="BH42" s="19">
        <f>NPV($E42,BH33:$DM33)</f>
        <v>0</v>
      </c>
      <c r="BI42" s="19">
        <f>NPV($E42,BI33:$DM33)</f>
        <v>0</v>
      </c>
      <c r="BJ42" s="19">
        <f>NPV($E42,BJ33:$DM33)</f>
        <v>0</v>
      </c>
      <c r="BK42" s="19">
        <f>NPV($E42,BK33:$DM33)</f>
        <v>0</v>
      </c>
      <c r="BL42" s="19">
        <f>NPV($E42,BL33:$DM33)</f>
        <v>0</v>
      </c>
      <c r="BM42" s="19">
        <f>NPV($E42,BM33:$DM33)</f>
        <v>0</v>
      </c>
      <c r="BN42" s="19">
        <f>NPV($E42,BN33:$DM33)</f>
        <v>0</v>
      </c>
      <c r="BO42" s="19">
        <f>NPV($E42,BO33:$DM33)</f>
        <v>0</v>
      </c>
      <c r="BP42" s="19">
        <f>NPV($E42,BP33:$DM33)</f>
        <v>0</v>
      </c>
      <c r="BQ42" s="19">
        <f>NPV($E42,BQ33:$DM33)</f>
        <v>0</v>
      </c>
      <c r="BR42" s="19">
        <f>NPV($E42,BR33:$DM33)</f>
        <v>0</v>
      </c>
      <c r="BS42" s="19">
        <f>NPV($E42,BS33:$DM33)</f>
        <v>0</v>
      </c>
      <c r="BT42" s="19">
        <f>NPV($E42,BT33:$DM33)</f>
        <v>0</v>
      </c>
      <c r="BU42" s="19">
        <f>NPV($E42,BU33:$DM33)</f>
        <v>0</v>
      </c>
      <c r="BV42" s="19">
        <f>NPV($E42,BV33:$DM33)</f>
        <v>0</v>
      </c>
      <c r="BW42" s="19">
        <f>NPV($E42,BW33:$DM33)</f>
        <v>0</v>
      </c>
      <c r="BX42" s="19">
        <f>NPV($E42,BX33:$DM33)</f>
        <v>0</v>
      </c>
      <c r="BY42" s="19">
        <f>NPV($E42,BY33:$DM33)</f>
        <v>0</v>
      </c>
      <c r="BZ42" s="19">
        <f>NPV($E42,BZ33:$DM33)</f>
        <v>0</v>
      </c>
      <c r="CA42" s="19">
        <f>NPV($E42,CA33:$DM33)</f>
        <v>0</v>
      </c>
      <c r="CB42" s="19">
        <f>NPV($E42,CB33:$DM33)</f>
        <v>0</v>
      </c>
      <c r="CC42" s="19">
        <f>NPV($E42,CC33:$DM33)</f>
        <v>0</v>
      </c>
      <c r="CD42" s="19">
        <f>NPV($E42,CD33:$DM33)</f>
        <v>0</v>
      </c>
      <c r="CE42" s="19">
        <f>NPV($E42,CE33:$DM33)</f>
        <v>0</v>
      </c>
      <c r="CF42" s="19">
        <f>NPV($E42,CF33:$DM33)</f>
        <v>0</v>
      </c>
      <c r="CG42" s="19">
        <f>NPV($E42,CG33:$DM33)</f>
        <v>0</v>
      </c>
      <c r="CH42" s="19">
        <f>NPV($E42,CH33:$DM33)</f>
        <v>0</v>
      </c>
      <c r="CI42" s="19">
        <f>NPV($E42,CI33:$DM33)</f>
        <v>0</v>
      </c>
      <c r="CJ42" s="19">
        <f>NPV($E42,CJ33:$DM33)</f>
        <v>0</v>
      </c>
      <c r="CK42" s="19">
        <f>NPV($E42,CK33:$DM33)</f>
        <v>0</v>
      </c>
      <c r="CL42" s="19">
        <f>NPV($E42,CL33:$DM33)</f>
        <v>0</v>
      </c>
      <c r="CM42" s="19">
        <f>NPV($E42,CM33:$DM33)</f>
        <v>0</v>
      </c>
      <c r="CN42" s="19">
        <f>NPV($E42,CN33:$DM33)</f>
        <v>0</v>
      </c>
      <c r="CO42" s="19">
        <f>NPV($E42,CO33:$DM33)</f>
        <v>0</v>
      </c>
      <c r="CP42" s="19">
        <f>NPV($E42,CP33:$DM33)</f>
        <v>0</v>
      </c>
      <c r="CQ42" s="19">
        <f>NPV($E42,CQ33:$DM33)</f>
        <v>0</v>
      </c>
      <c r="CR42" s="19">
        <f>NPV($E42,CR33:$DM33)</f>
        <v>0</v>
      </c>
      <c r="CS42" s="19">
        <f>NPV($E42,CS33:$DM33)</f>
        <v>0</v>
      </c>
      <c r="CT42" s="19">
        <f>NPV($E42,CT33:$DM33)</f>
        <v>0</v>
      </c>
      <c r="CU42" s="19">
        <f>NPV($E42,CU33:$DM33)</f>
        <v>0</v>
      </c>
      <c r="CV42" s="19">
        <f>NPV($E42,CV33:$DM33)</f>
        <v>0</v>
      </c>
      <c r="CW42" s="19">
        <f>NPV($E42,CW33:$DM33)</f>
        <v>0</v>
      </c>
      <c r="CX42" s="19">
        <f>NPV($E42,CX33:$DM33)</f>
        <v>0</v>
      </c>
      <c r="CY42" s="19">
        <f>NPV($E42,CY33:$DM33)</f>
        <v>0</v>
      </c>
      <c r="CZ42" s="19">
        <f>NPV($E42,CZ33:$DM33)</f>
        <v>0</v>
      </c>
      <c r="DA42" s="19">
        <f>NPV($E42,DA33:$DM33)</f>
        <v>0</v>
      </c>
      <c r="DB42" s="19">
        <f>NPV($E42,DB33:$DM33)</f>
        <v>0</v>
      </c>
      <c r="DC42" s="19">
        <f>NPV($E42,DC33:$DM33)</f>
        <v>0</v>
      </c>
      <c r="DD42" s="19">
        <f>NPV($E42,DD33:$DM33)</f>
        <v>0</v>
      </c>
      <c r="DE42" s="19">
        <f>NPV($E42,DE33:$DM33)</f>
        <v>0</v>
      </c>
      <c r="DF42" s="19">
        <f>NPV($E42,DF33:$DM33)</f>
        <v>0</v>
      </c>
      <c r="DG42" s="19">
        <f>NPV($E42,DG33:$DM33)</f>
        <v>0</v>
      </c>
      <c r="DH42" s="19">
        <f>NPV($E42,DH33:$DM33)</f>
        <v>0</v>
      </c>
      <c r="DI42" s="19">
        <f>NPV($E42,DI33:$DM33)</f>
        <v>0</v>
      </c>
      <c r="DJ42" s="19">
        <f>NPV($E42,DJ33:$DM33)</f>
        <v>0</v>
      </c>
      <c r="DK42" s="19">
        <f>NPV($E42,DK33:$DM33)</f>
        <v>0</v>
      </c>
      <c r="DL42" s="19">
        <f>NPV($E42,DL33:$DM33)</f>
        <v>0</v>
      </c>
      <c r="DM42" s="19">
        <f>NPV($E42,DM33:$DM33)</f>
        <v>0</v>
      </c>
    </row>
    <row r="43" spans="3:117" outlineLevel="1" x14ac:dyDescent="0.15"/>
    <row r="44" spans="3:117" outlineLevel="1" x14ac:dyDescent="0.15">
      <c r="C44" t="s">
        <v>44</v>
      </c>
      <c r="D44" s="5" t="s">
        <v>18</v>
      </c>
      <c r="J44" s="106">
        <f>IRR(J33:DM33)</f>
        <v>0.41807919899907953</v>
      </c>
    </row>
    <row r="45" spans="3:117" outlineLevel="1" x14ac:dyDescent="0.15"/>
    <row r="46" spans="3:117" ht="14" outlineLevel="1" x14ac:dyDescent="0.15">
      <c r="C46" s="2" t="s">
        <v>45</v>
      </c>
    </row>
    <row r="47" spans="3:117" outlineLevel="1" x14ac:dyDescent="0.15">
      <c r="C47" t="s">
        <v>114</v>
      </c>
      <c r="D47" s="5" t="s">
        <v>22</v>
      </c>
      <c r="I47" s="9"/>
      <c r="J47" s="13">
        <f>IF(AND(SUM($I$47:I47)=0,J36&gt;0),1,0)</f>
        <v>0</v>
      </c>
      <c r="K47" s="13">
        <f>IF(AND(SUM($I$47:J47)=0,K36&gt;0),1,0)</f>
        <v>0</v>
      </c>
      <c r="L47" s="13">
        <f>IF(AND(SUM($I$47:K47)=0,L36&gt;0),1,0)</f>
        <v>0</v>
      </c>
      <c r="M47" s="13">
        <f>IF(AND(SUM($I$47:L47)=0,M36&gt;0),1,0)</f>
        <v>0</v>
      </c>
      <c r="N47" s="13">
        <f>IF(AND(SUM($I$47:M47)=0,N36&gt;0),1,0)</f>
        <v>0</v>
      </c>
      <c r="O47" s="13">
        <f>IF(AND(SUM($I$47:N47)=0,O36&gt;0),1,0)</f>
        <v>1</v>
      </c>
      <c r="P47" s="13">
        <f>IF(AND(SUM($I$47:O47)=0,P36&gt;0),1,0)</f>
        <v>0</v>
      </c>
      <c r="Q47" s="13">
        <f>IF(AND(SUM($I$47:P47)=0,Q36&gt;0),1,0)</f>
        <v>0</v>
      </c>
      <c r="R47" s="13">
        <f>IF(AND(SUM($I$47:Q47)=0,R36&gt;0),1,0)</f>
        <v>0</v>
      </c>
      <c r="S47" s="13">
        <f>IF(AND(SUM($I$47:R47)=0,S36&gt;0),1,0)</f>
        <v>0</v>
      </c>
      <c r="T47" s="13">
        <f>IF(AND(SUM($I$47:S47)=0,T36&gt;0),1,0)</f>
        <v>0</v>
      </c>
      <c r="U47" s="13">
        <f>IF(AND(SUM($I$47:T47)=0,U36&gt;0),1,0)</f>
        <v>0</v>
      </c>
      <c r="V47" s="13">
        <f>IF(AND(SUM($I$47:U47)=0,V36&gt;0),1,0)</f>
        <v>0</v>
      </c>
      <c r="W47" s="13">
        <f>IF(AND(SUM($I$47:V47)=0,W36&gt;0),1,0)</f>
        <v>0</v>
      </c>
      <c r="X47" s="13">
        <f>IF(AND(SUM($I$47:W47)=0,X36&gt;0),1,0)</f>
        <v>0</v>
      </c>
      <c r="Y47" s="13">
        <f>IF(AND(SUM($I$47:X47)=0,Y36&gt;0),1,0)</f>
        <v>0</v>
      </c>
      <c r="Z47" s="13">
        <f>IF(AND(SUM($I$47:Y47)=0,Z36&gt;0),1,0)</f>
        <v>0</v>
      </c>
      <c r="AA47" s="13">
        <f>IF(AND(SUM($I$47:Z47)=0,AA36&gt;0),1,0)</f>
        <v>0</v>
      </c>
      <c r="AB47" s="13">
        <f>IF(AND(SUM($I$47:AA47)=0,AB36&gt;0),1,0)</f>
        <v>0</v>
      </c>
      <c r="AC47" s="13">
        <f>IF(AND(SUM($I$47:AB47)=0,AC36&gt;0),1,0)</f>
        <v>0</v>
      </c>
      <c r="AD47" s="13">
        <f>IF(AND(SUM($I$47:AC47)=0,AD36&gt;0),1,0)</f>
        <v>0</v>
      </c>
      <c r="AE47" s="13">
        <f>IF(AND(SUM($I$47:AD47)=0,AE36&gt;0),1,0)</f>
        <v>0</v>
      </c>
      <c r="AF47" s="13">
        <f>IF(AND(SUM($I$47:AE47)=0,AF36&gt;0),1,0)</f>
        <v>0</v>
      </c>
      <c r="AG47" s="13">
        <f>IF(AND(SUM($I$47:AF47)=0,AG36&gt;0),1,0)</f>
        <v>0</v>
      </c>
      <c r="AH47" s="13">
        <f>IF(AND(SUM($I$47:AG47)=0,AH36&gt;0),1,0)</f>
        <v>0</v>
      </c>
      <c r="AI47" s="13">
        <f>IF(AND(SUM($I$47:AH47)=0,AI36&gt;0),1,0)</f>
        <v>0</v>
      </c>
      <c r="AJ47" s="13">
        <f>IF(AND(SUM($I$47:AI47)=0,AJ36&gt;0),1,0)</f>
        <v>0</v>
      </c>
      <c r="AK47" s="13">
        <f>IF(AND(SUM($I$47:AJ47)=0,AK36&gt;0),1,0)</f>
        <v>0</v>
      </c>
      <c r="AL47" s="13">
        <f>IF(AND(SUM($I$47:AK47)=0,AL36&gt;0),1,0)</f>
        <v>0</v>
      </c>
      <c r="AM47" s="13">
        <f>IF(AND(SUM($I$47:AL47)=0,AM36&gt;0),1,0)</f>
        <v>0</v>
      </c>
      <c r="AN47" s="13">
        <f>IF(AND(SUM($I$47:AM47)=0,AN36&gt;0),1,0)</f>
        <v>0</v>
      </c>
      <c r="AO47" s="13">
        <f>IF(AND(SUM($I$47:AN47)=0,AO36&gt;0),1,0)</f>
        <v>0</v>
      </c>
      <c r="AP47" s="13">
        <f>IF(AND(SUM($I$47:AO47)=0,AP36&gt;0),1,0)</f>
        <v>0</v>
      </c>
      <c r="AQ47" s="13">
        <f>IF(AND(SUM($I$47:AP47)=0,AQ36&gt;0),1,0)</f>
        <v>0</v>
      </c>
      <c r="AR47" s="13">
        <f>IF(AND(SUM($I$47:AQ47)=0,AR36&gt;0),1,0)</f>
        <v>0</v>
      </c>
      <c r="AS47" s="13">
        <f>IF(AND(SUM($I$47:AR47)=0,AS36&gt;0),1,0)</f>
        <v>0</v>
      </c>
      <c r="AT47" s="13">
        <f>IF(AND(SUM($I$47:AS47)=0,AT36&gt;0),1,0)</f>
        <v>0</v>
      </c>
      <c r="AU47" s="13">
        <f>IF(AND(SUM($I$47:AT47)=0,AU36&gt;0),1,0)</f>
        <v>0</v>
      </c>
      <c r="AV47" s="13">
        <f>IF(AND(SUM($I$47:AU47)=0,AV36&gt;0),1,0)</f>
        <v>0</v>
      </c>
      <c r="AW47" s="13">
        <f>IF(AND(SUM($I$47:AV47)=0,AW36&gt;0),1,0)</f>
        <v>0</v>
      </c>
      <c r="AX47" s="13">
        <f>IF(AND(SUM($I$47:AW47)=0,AX36&gt;0),1,0)</f>
        <v>0</v>
      </c>
      <c r="AY47" s="13">
        <f>IF(AND(SUM($I$47:AX47)=0,AY36&gt;0),1,0)</f>
        <v>0</v>
      </c>
      <c r="AZ47" s="13">
        <f>IF(AND(SUM($I$47:AY47)=0,AZ36&gt;0),1,0)</f>
        <v>0</v>
      </c>
      <c r="BA47" s="13">
        <f>IF(AND(SUM($I$47:AZ47)=0,BA36&gt;0),1,0)</f>
        <v>0</v>
      </c>
      <c r="BB47" s="13">
        <f>IF(AND(SUM($I$47:BA47)=0,BB36&gt;0),1,0)</f>
        <v>0</v>
      </c>
      <c r="BC47" s="13">
        <f>IF(AND(SUM($I$47:BB47)=0,BC36&gt;0),1,0)</f>
        <v>0</v>
      </c>
      <c r="BD47" s="13">
        <f>IF(AND(SUM($I$47:BC47)=0,BD36&gt;0),1,0)</f>
        <v>0</v>
      </c>
      <c r="BE47" s="13">
        <f>IF(AND(SUM($I$47:BD47)=0,BE36&gt;0),1,0)</f>
        <v>0</v>
      </c>
      <c r="BF47" s="13">
        <f>IF(AND(SUM($I$47:BE47)=0,BF36&gt;0),1,0)</f>
        <v>0</v>
      </c>
      <c r="BG47" s="13">
        <f>IF(AND(SUM($I$47:BF47)=0,BG36&gt;0),1,0)</f>
        <v>0</v>
      </c>
      <c r="BH47" s="13">
        <f>IF(AND(SUM($I$47:BG47)=0,BH36&gt;0),1,0)</f>
        <v>0</v>
      </c>
      <c r="BI47" s="13">
        <f>IF(AND(SUM($I$47:BH47)=0,BI36&gt;0),1,0)</f>
        <v>0</v>
      </c>
      <c r="BJ47" s="13">
        <f>IF(AND(SUM($I$47:BI47)=0,BJ36&gt;0),1,0)</f>
        <v>0</v>
      </c>
      <c r="BK47" s="13">
        <f>IF(AND(SUM($I$47:BJ47)=0,BK36&gt;0),1,0)</f>
        <v>0</v>
      </c>
      <c r="BL47" s="13">
        <f>IF(AND(SUM($I$47:BK47)=0,BL36&gt;0),1,0)</f>
        <v>0</v>
      </c>
      <c r="BM47" s="13">
        <f>IF(AND(SUM($I$47:BL47)=0,BM36&gt;0),1,0)</f>
        <v>0</v>
      </c>
      <c r="BN47" s="13">
        <f>IF(AND(SUM($I$47:BM47)=0,BN36&gt;0),1,0)</f>
        <v>0</v>
      </c>
      <c r="BO47" s="13">
        <f>IF(AND(SUM($I$47:BN47)=0,BO36&gt;0),1,0)</f>
        <v>0</v>
      </c>
      <c r="BP47" s="13">
        <f>IF(AND(SUM($I$47:BO47)=0,BP36&gt;0),1,0)</f>
        <v>0</v>
      </c>
      <c r="BQ47" s="13">
        <f>IF(AND(SUM($I$47:BP47)=0,BQ36&gt;0),1,0)</f>
        <v>0</v>
      </c>
      <c r="BR47" s="13">
        <f>IF(AND(SUM($I$47:BQ47)=0,BR36&gt;0),1,0)</f>
        <v>0</v>
      </c>
      <c r="BS47" s="13">
        <f>IF(AND(SUM($I$47:BR47)=0,BS36&gt;0),1,0)</f>
        <v>0</v>
      </c>
      <c r="BT47" s="13">
        <f>IF(AND(SUM($I$47:BS47)=0,BT36&gt;0),1,0)</f>
        <v>0</v>
      </c>
      <c r="BU47" s="13">
        <f>IF(AND(SUM($I$47:BT47)=0,BU36&gt;0),1,0)</f>
        <v>0</v>
      </c>
      <c r="BV47" s="13">
        <f>IF(AND(SUM($I$47:BU47)=0,BV36&gt;0),1,0)</f>
        <v>0</v>
      </c>
      <c r="BW47" s="13">
        <f>IF(AND(SUM($I$47:BV47)=0,BW36&gt;0),1,0)</f>
        <v>0</v>
      </c>
      <c r="BX47" s="13">
        <f>IF(AND(SUM($I$47:BW47)=0,BX36&gt;0),1,0)</f>
        <v>0</v>
      </c>
      <c r="BY47" s="13">
        <f>IF(AND(SUM($I$47:BX47)=0,BY36&gt;0),1,0)</f>
        <v>0</v>
      </c>
      <c r="BZ47" s="13">
        <f>IF(AND(SUM($I$47:BY47)=0,BZ36&gt;0),1,0)</f>
        <v>0</v>
      </c>
      <c r="CA47" s="13">
        <f>IF(AND(SUM($I$47:BZ47)=0,CA36&gt;0),1,0)</f>
        <v>0</v>
      </c>
      <c r="CB47" s="13">
        <f>IF(AND(SUM($I$47:CA47)=0,CB36&gt;0),1,0)</f>
        <v>0</v>
      </c>
      <c r="CC47" s="13">
        <f>IF(AND(SUM($I$47:CB47)=0,CC36&gt;0),1,0)</f>
        <v>0</v>
      </c>
      <c r="CD47" s="13">
        <f>IF(AND(SUM($I$47:CC47)=0,CD36&gt;0),1,0)</f>
        <v>0</v>
      </c>
      <c r="CE47" s="13">
        <f>IF(AND(SUM($I$47:CD47)=0,CE36&gt;0),1,0)</f>
        <v>0</v>
      </c>
      <c r="CF47" s="13">
        <f>IF(AND(SUM($I$47:CE47)=0,CF36&gt;0),1,0)</f>
        <v>0</v>
      </c>
      <c r="CG47" s="13">
        <f>IF(AND(SUM($I$47:CF47)=0,CG36&gt;0),1,0)</f>
        <v>0</v>
      </c>
      <c r="CH47" s="13">
        <f>IF(AND(SUM($I$47:CG47)=0,CH36&gt;0),1,0)</f>
        <v>0</v>
      </c>
      <c r="CI47" s="13">
        <f>IF(AND(SUM($I$47:CH47)=0,CI36&gt;0),1,0)</f>
        <v>0</v>
      </c>
      <c r="CJ47" s="13">
        <f>IF(AND(SUM($I$47:CI47)=0,CJ36&gt;0),1,0)</f>
        <v>0</v>
      </c>
      <c r="CK47" s="13">
        <f>IF(AND(SUM($I$47:CJ47)=0,CK36&gt;0),1,0)</f>
        <v>0</v>
      </c>
      <c r="CL47" s="13">
        <f>IF(AND(SUM($I$47:CK47)=0,CL36&gt;0),1,0)</f>
        <v>0</v>
      </c>
      <c r="CM47" s="13">
        <f>IF(AND(SUM($I$47:CL47)=0,CM36&gt;0),1,0)</f>
        <v>0</v>
      </c>
      <c r="CN47" s="13">
        <f>IF(AND(SUM($I$47:CM47)=0,CN36&gt;0),1,0)</f>
        <v>0</v>
      </c>
      <c r="CO47" s="13">
        <f>IF(AND(SUM($I$47:CN47)=0,CO36&gt;0),1,0)</f>
        <v>0</v>
      </c>
      <c r="CP47" s="13">
        <f>IF(AND(SUM($I$47:CO47)=0,CP36&gt;0),1,0)</f>
        <v>0</v>
      </c>
      <c r="CQ47" s="13">
        <f>IF(AND(SUM($I$47:CP47)=0,CQ36&gt;0),1,0)</f>
        <v>0</v>
      </c>
      <c r="CR47" s="13">
        <f>IF(AND(SUM($I$47:CQ47)=0,CR36&gt;0),1,0)</f>
        <v>0</v>
      </c>
      <c r="CS47" s="13">
        <f>IF(AND(SUM($I$47:CR47)=0,CS36&gt;0),1,0)</f>
        <v>0</v>
      </c>
      <c r="CT47" s="13">
        <f>IF(AND(SUM($I$47:CS47)=0,CT36&gt;0),1,0)</f>
        <v>0</v>
      </c>
      <c r="CU47" s="13">
        <f>IF(AND(SUM($I$47:CT47)=0,CU36&gt;0),1,0)</f>
        <v>0</v>
      </c>
      <c r="CV47" s="13">
        <f>IF(AND(SUM($I$47:CU47)=0,CV36&gt;0),1,0)</f>
        <v>0</v>
      </c>
      <c r="CW47" s="13">
        <f>IF(AND(SUM($I$47:CV47)=0,CW36&gt;0),1,0)</f>
        <v>0</v>
      </c>
      <c r="CX47" s="13">
        <f>IF(AND(SUM($I$47:CW47)=0,CX36&gt;0),1,0)</f>
        <v>0</v>
      </c>
      <c r="CY47" s="13">
        <f>IF(AND(SUM($I$47:CX47)=0,CY36&gt;0),1,0)</f>
        <v>0</v>
      </c>
      <c r="CZ47" s="13">
        <f>IF(AND(SUM($I$47:CY47)=0,CZ36&gt;0),1,0)</f>
        <v>0</v>
      </c>
      <c r="DA47" s="13">
        <f>IF(AND(SUM($I$47:CZ47)=0,DA36&gt;0),1,0)</f>
        <v>0</v>
      </c>
      <c r="DB47" s="13">
        <f>IF(AND(SUM($I$47:DA47)=0,DB36&gt;0),1,0)</f>
        <v>0</v>
      </c>
      <c r="DC47" s="13">
        <f>IF(AND(SUM($I$47:DB47)=0,DC36&gt;0),1,0)</f>
        <v>0</v>
      </c>
      <c r="DD47" s="13">
        <f>IF(AND(SUM($I$47:DC47)=0,DD36&gt;0),1,0)</f>
        <v>0</v>
      </c>
      <c r="DE47" s="13">
        <f>IF(AND(SUM($I$47:DD47)=0,DE36&gt;0),1,0)</f>
        <v>0</v>
      </c>
      <c r="DF47" s="13">
        <f>IF(AND(SUM($I$47:DE47)=0,DF36&gt;0),1,0)</f>
        <v>0</v>
      </c>
      <c r="DG47" s="13">
        <f>IF(AND(SUM($I$47:DF47)=0,DG36&gt;0),1,0)</f>
        <v>0</v>
      </c>
      <c r="DH47" s="13">
        <f>IF(AND(SUM($I$47:DG47)=0,DH36&gt;0),1,0)</f>
        <v>0</v>
      </c>
      <c r="DI47" s="13">
        <f>IF(AND(SUM($I$47:DH47)=0,DI36&gt;0),1,0)</f>
        <v>0</v>
      </c>
      <c r="DJ47" s="13">
        <f>IF(AND(SUM($I$47:DI47)=0,DJ36&gt;0),1,0)</f>
        <v>0</v>
      </c>
      <c r="DK47" s="13">
        <f>IF(AND(SUM($I$47:DJ47)=0,DK36&gt;0),1,0)</f>
        <v>0</v>
      </c>
      <c r="DL47" s="13">
        <f>IF(AND(SUM($I$47:DK47)=0,DL36&gt;0),1,0)</f>
        <v>0</v>
      </c>
      <c r="DM47" s="13">
        <f>IF(AND(SUM($I$47:DL47)=0,DM36&gt;0),1,0)</f>
        <v>0</v>
      </c>
    </row>
    <row r="48" spans="3:117" outlineLevel="1" x14ac:dyDescent="0.15">
      <c r="C48" t="s">
        <v>115</v>
      </c>
      <c r="D48" s="5" t="s">
        <v>22</v>
      </c>
      <c r="J48" s="13">
        <f>1-SUM($I$47:I47)</f>
        <v>1</v>
      </c>
      <c r="K48" s="13">
        <f>1-SUM($I$47:J47)</f>
        <v>1</v>
      </c>
      <c r="L48" s="13">
        <f>1-SUM($I$47:K47)</f>
        <v>1</v>
      </c>
      <c r="M48" s="13">
        <f>1-SUM($I$47:L47)</f>
        <v>1</v>
      </c>
      <c r="N48" s="13">
        <f>1-SUM($I$47:M47)</f>
        <v>1</v>
      </c>
      <c r="O48" s="13">
        <f>1-SUM($I$47:N47)</f>
        <v>1</v>
      </c>
      <c r="P48" s="13">
        <f>1-SUM($I$47:O47)</f>
        <v>0</v>
      </c>
      <c r="Q48" s="13">
        <f>1-SUM($I$47:P47)</f>
        <v>0</v>
      </c>
      <c r="R48" s="13">
        <f>1-SUM($I$47:Q47)</f>
        <v>0</v>
      </c>
      <c r="S48" s="13">
        <f>1-SUM($I$47:R47)</f>
        <v>0</v>
      </c>
      <c r="T48" s="13">
        <f>1-SUM($I$47:S47)</f>
        <v>0</v>
      </c>
      <c r="U48" s="13">
        <f>1-SUM($I$47:T47)</f>
        <v>0</v>
      </c>
      <c r="V48" s="13">
        <f>1-SUM($I$47:U47)</f>
        <v>0</v>
      </c>
      <c r="W48" s="13">
        <f>1-SUM($I$47:V47)</f>
        <v>0</v>
      </c>
      <c r="X48" s="13">
        <f>1-SUM($I$47:W47)</f>
        <v>0</v>
      </c>
      <c r="Y48" s="13">
        <f>1-SUM($I$47:X47)</f>
        <v>0</v>
      </c>
      <c r="Z48" s="13">
        <f>1-SUM($I$47:Y47)</f>
        <v>0</v>
      </c>
      <c r="AA48" s="13">
        <f>1-SUM($I$47:Z47)</f>
        <v>0</v>
      </c>
      <c r="AB48" s="13">
        <f>1-SUM($I$47:AA47)</f>
        <v>0</v>
      </c>
      <c r="AC48" s="13">
        <f>1-SUM($I$47:AB47)</f>
        <v>0</v>
      </c>
      <c r="AD48" s="13">
        <f>1-SUM($I$47:AC47)</f>
        <v>0</v>
      </c>
      <c r="AE48" s="13">
        <f>1-SUM($I$47:AD47)</f>
        <v>0</v>
      </c>
      <c r="AF48" s="13">
        <f>1-SUM($I$47:AE47)</f>
        <v>0</v>
      </c>
      <c r="AG48" s="13">
        <f>1-SUM($I$47:AF47)</f>
        <v>0</v>
      </c>
      <c r="AH48" s="13">
        <f>1-SUM($I$47:AG47)</f>
        <v>0</v>
      </c>
      <c r="AI48" s="13">
        <f>1-SUM($I$47:AH47)</f>
        <v>0</v>
      </c>
      <c r="AJ48" s="13">
        <f>1-SUM($I$47:AI47)</f>
        <v>0</v>
      </c>
      <c r="AK48" s="13">
        <f>1-SUM($I$47:AJ47)</f>
        <v>0</v>
      </c>
      <c r="AL48" s="13">
        <f>1-SUM($I$47:AK47)</f>
        <v>0</v>
      </c>
      <c r="AM48" s="13">
        <f>1-SUM($I$47:AL47)</f>
        <v>0</v>
      </c>
      <c r="AN48" s="13">
        <f>1-SUM($I$47:AM47)</f>
        <v>0</v>
      </c>
      <c r="AO48" s="13">
        <f>1-SUM($I$47:AN47)</f>
        <v>0</v>
      </c>
      <c r="AP48" s="13">
        <f>1-SUM($I$47:AO47)</f>
        <v>0</v>
      </c>
      <c r="AQ48" s="13">
        <f>1-SUM($I$47:AP47)</f>
        <v>0</v>
      </c>
      <c r="AR48" s="13">
        <f>1-SUM($I$47:AQ47)</f>
        <v>0</v>
      </c>
      <c r="AS48" s="13">
        <f>1-SUM($I$47:AR47)</f>
        <v>0</v>
      </c>
      <c r="AT48" s="13">
        <f>1-SUM($I$47:AS47)</f>
        <v>0</v>
      </c>
      <c r="AU48" s="13">
        <f>1-SUM($I$47:AT47)</f>
        <v>0</v>
      </c>
      <c r="AV48" s="13">
        <f>1-SUM($I$47:AU47)</f>
        <v>0</v>
      </c>
      <c r="AW48" s="13">
        <f>1-SUM($I$47:AV47)</f>
        <v>0</v>
      </c>
      <c r="AX48" s="13">
        <f>1-SUM($I$47:AW47)</f>
        <v>0</v>
      </c>
      <c r="AY48" s="13">
        <f>1-SUM($I$47:AX47)</f>
        <v>0</v>
      </c>
      <c r="AZ48" s="13">
        <f>1-SUM($I$47:AY47)</f>
        <v>0</v>
      </c>
      <c r="BA48" s="13">
        <f>1-SUM($I$47:AZ47)</f>
        <v>0</v>
      </c>
      <c r="BB48" s="13">
        <f>1-SUM($I$47:BA47)</f>
        <v>0</v>
      </c>
      <c r="BC48" s="13">
        <f>1-SUM($I$47:BB47)</f>
        <v>0</v>
      </c>
      <c r="BD48" s="13">
        <f>1-SUM($I$47:BC47)</f>
        <v>0</v>
      </c>
      <c r="BE48" s="13">
        <f>1-SUM($I$47:BD47)</f>
        <v>0</v>
      </c>
      <c r="BF48" s="13">
        <f>1-SUM($I$47:BE47)</f>
        <v>0</v>
      </c>
      <c r="BG48" s="13">
        <f>1-SUM($I$47:BF47)</f>
        <v>0</v>
      </c>
      <c r="BH48" s="13">
        <f>1-SUM($I$47:BG47)</f>
        <v>0</v>
      </c>
      <c r="BI48" s="13">
        <f>1-SUM($I$47:BH47)</f>
        <v>0</v>
      </c>
      <c r="BJ48" s="13">
        <f>1-SUM($I$47:BI47)</f>
        <v>0</v>
      </c>
      <c r="BK48" s="13">
        <f>1-SUM($I$47:BJ47)</f>
        <v>0</v>
      </c>
      <c r="BL48" s="13">
        <f>1-SUM($I$47:BK47)</f>
        <v>0</v>
      </c>
      <c r="BM48" s="13">
        <f>1-SUM($I$47:BL47)</f>
        <v>0</v>
      </c>
      <c r="BN48" s="13">
        <f>1-SUM($I$47:BM47)</f>
        <v>0</v>
      </c>
      <c r="BO48" s="13">
        <f>1-SUM($I$47:BN47)</f>
        <v>0</v>
      </c>
      <c r="BP48" s="13">
        <f>1-SUM($I$47:BO47)</f>
        <v>0</v>
      </c>
      <c r="BQ48" s="13">
        <f>1-SUM($I$47:BP47)</f>
        <v>0</v>
      </c>
      <c r="BR48" s="13">
        <f>1-SUM($I$47:BQ47)</f>
        <v>0</v>
      </c>
      <c r="BS48" s="13">
        <f>1-SUM($I$47:BR47)</f>
        <v>0</v>
      </c>
      <c r="BT48" s="13">
        <f>1-SUM($I$47:BS47)</f>
        <v>0</v>
      </c>
      <c r="BU48" s="13">
        <f>1-SUM($I$47:BT47)</f>
        <v>0</v>
      </c>
      <c r="BV48" s="13">
        <f>1-SUM($I$47:BU47)</f>
        <v>0</v>
      </c>
      <c r="BW48" s="13">
        <f>1-SUM($I$47:BV47)</f>
        <v>0</v>
      </c>
      <c r="BX48" s="13">
        <f>1-SUM($I$47:BW47)</f>
        <v>0</v>
      </c>
      <c r="BY48" s="13">
        <f>1-SUM($I$47:BX47)</f>
        <v>0</v>
      </c>
      <c r="BZ48" s="13">
        <f>1-SUM($I$47:BY47)</f>
        <v>0</v>
      </c>
      <c r="CA48" s="13">
        <f>1-SUM($I$47:BZ47)</f>
        <v>0</v>
      </c>
      <c r="CB48" s="13">
        <f>1-SUM($I$47:CA47)</f>
        <v>0</v>
      </c>
      <c r="CC48" s="13">
        <f>1-SUM($I$47:CB47)</f>
        <v>0</v>
      </c>
      <c r="CD48" s="13">
        <f>1-SUM($I$47:CC47)</f>
        <v>0</v>
      </c>
      <c r="CE48" s="13">
        <f>1-SUM($I$47:CD47)</f>
        <v>0</v>
      </c>
      <c r="CF48" s="13">
        <f>1-SUM($I$47:CE47)</f>
        <v>0</v>
      </c>
      <c r="CG48" s="13">
        <f>1-SUM($I$47:CF47)</f>
        <v>0</v>
      </c>
      <c r="CH48" s="13">
        <f>1-SUM($I$47:CG47)</f>
        <v>0</v>
      </c>
      <c r="CI48" s="13">
        <f>1-SUM($I$47:CH47)</f>
        <v>0</v>
      </c>
      <c r="CJ48" s="13">
        <f>1-SUM($I$47:CI47)</f>
        <v>0</v>
      </c>
      <c r="CK48" s="13">
        <f>1-SUM($I$47:CJ47)</f>
        <v>0</v>
      </c>
      <c r="CL48" s="13">
        <f>1-SUM($I$47:CK47)</f>
        <v>0</v>
      </c>
      <c r="CM48" s="13">
        <f>1-SUM($I$47:CL47)</f>
        <v>0</v>
      </c>
      <c r="CN48" s="13">
        <f>1-SUM($I$47:CM47)</f>
        <v>0</v>
      </c>
      <c r="CO48" s="13">
        <f>1-SUM($I$47:CN47)</f>
        <v>0</v>
      </c>
      <c r="CP48" s="13">
        <f>1-SUM($I$47:CO47)</f>
        <v>0</v>
      </c>
      <c r="CQ48" s="13">
        <f>1-SUM($I$47:CP47)</f>
        <v>0</v>
      </c>
      <c r="CR48" s="13">
        <f>1-SUM($I$47:CQ47)</f>
        <v>0</v>
      </c>
      <c r="CS48" s="13">
        <f>1-SUM($I$47:CR47)</f>
        <v>0</v>
      </c>
      <c r="CT48" s="13">
        <f>1-SUM($I$47:CS47)</f>
        <v>0</v>
      </c>
      <c r="CU48" s="13">
        <f>1-SUM($I$47:CT47)</f>
        <v>0</v>
      </c>
      <c r="CV48" s="13">
        <f>1-SUM($I$47:CU47)</f>
        <v>0</v>
      </c>
      <c r="CW48" s="13">
        <f>1-SUM($I$47:CV47)</f>
        <v>0</v>
      </c>
      <c r="CX48" s="13">
        <f>1-SUM($I$47:CW47)</f>
        <v>0</v>
      </c>
      <c r="CY48" s="13">
        <f>1-SUM($I$47:CX47)</f>
        <v>0</v>
      </c>
      <c r="CZ48" s="13">
        <f>1-SUM($I$47:CY47)</f>
        <v>0</v>
      </c>
      <c r="DA48" s="13">
        <f>1-SUM($I$47:CZ47)</f>
        <v>0</v>
      </c>
      <c r="DB48" s="13">
        <f>1-SUM($I$47:DA47)</f>
        <v>0</v>
      </c>
      <c r="DC48" s="13">
        <f>1-SUM($I$47:DB47)</f>
        <v>0</v>
      </c>
      <c r="DD48" s="13">
        <f>1-SUM($I$47:DC47)</f>
        <v>0</v>
      </c>
      <c r="DE48" s="13">
        <f>1-SUM($I$47:DD47)</f>
        <v>0</v>
      </c>
      <c r="DF48" s="13">
        <f>1-SUM($I$47:DE47)</f>
        <v>0</v>
      </c>
      <c r="DG48" s="13">
        <f>1-SUM($I$47:DF47)</f>
        <v>0</v>
      </c>
      <c r="DH48" s="13">
        <f>1-SUM($I$47:DG47)</f>
        <v>0</v>
      </c>
      <c r="DI48" s="13">
        <f>1-SUM($I$47:DH47)</f>
        <v>0</v>
      </c>
      <c r="DJ48" s="13">
        <f>1-SUM($I$47:DI47)</f>
        <v>0</v>
      </c>
      <c r="DK48" s="13">
        <f>1-SUM($I$47:DJ47)</f>
        <v>0</v>
      </c>
      <c r="DL48" s="13">
        <f>1-SUM($I$47:DK47)</f>
        <v>0</v>
      </c>
      <c r="DM48" s="13">
        <f>1-SUM($I$47:DL47)</f>
        <v>0</v>
      </c>
    </row>
    <row r="49" spans="3:117" outlineLevel="1" x14ac:dyDescent="0.15"/>
    <row r="50" spans="3:117" outlineLevel="1" x14ac:dyDescent="0.15">
      <c r="C50" t="s">
        <v>116</v>
      </c>
      <c r="D50" s="5" t="s">
        <v>108</v>
      </c>
      <c r="J50" s="18">
        <f>SUM(J48:DM48)-E5</f>
        <v>2</v>
      </c>
    </row>
    <row r="51" spans="3:117" outlineLevel="1" x14ac:dyDescent="0.15">
      <c r="D51" s="5"/>
    </row>
    <row r="52" spans="3:117" ht="14" outlineLevel="1" x14ac:dyDescent="0.15">
      <c r="C52" s="2" t="s">
        <v>119</v>
      </c>
      <c r="D52" s="5"/>
    </row>
    <row r="53" spans="3:117" outlineLevel="1" x14ac:dyDescent="0.15">
      <c r="C53" t="s">
        <v>120</v>
      </c>
      <c r="D53" s="5" t="s">
        <v>0</v>
      </c>
      <c r="I53" s="35">
        <f t="shared" ref="I53" si="30">SUM(J53:DM53)</f>
        <v>12963765715.625002</v>
      </c>
      <c r="J53" s="37">
        <f>J33-(J28+J30)*Operations!J9</f>
        <v>-174221665.5368098</v>
      </c>
      <c r="K53" s="37">
        <f>K33-(K28+K30)*Operations!K9</f>
        <v>-383580473.7028923</v>
      </c>
      <c r="L53" s="37">
        <f>L33-(L28+L30)*Operations!L9</f>
        <v>-714455233.46187568</v>
      </c>
      <c r="M53" s="37">
        <f>M33-(M28+M30)*Operations!M9</f>
        <v>-398220949.79842246</v>
      </c>
      <c r="N53" s="37">
        <f>N33-(N28+N30)*Operations!N9</f>
        <v>1658774752.6513131</v>
      </c>
      <c r="O53" s="37">
        <f>O33-(O28+O30)*Operations!O9</f>
        <v>1845523694.6436028</v>
      </c>
      <c r="P53" s="37">
        <f>P33-(P28+P30)*Operations!P9</f>
        <v>1912652156.2312527</v>
      </c>
      <c r="Q53" s="37">
        <f>Q33-(Q28+Q30)*Operations!Q9</f>
        <v>1930117997.1613245</v>
      </c>
      <c r="R53" s="37">
        <f>R33-(R28+R30)*Operations!R9</f>
        <v>1950179963.4737325</v>
      </c>
      <c r="S53" s="37">
        <f>S33-(S28+S30)*Operations!S9</f>
        <v>931686553.74133277</v>
      </c>
      <c r="T53" s="37">
        <f>T33-(T28+T30)*Operations!T9</f>
        <v>1027012479.2114084</v>
      </c>
      <c r="U53" s="37">
        <f>U33-(U28+U30)*Operations!U9</f>
        <v>1137859593.3489165</v>
      </c>
      <c r="V53" s="37">
        <f>V33-(V28+V30)*Operations!V9</f>
        <v>936954185.7439971</v>
      </c>
      <c r="W53" s="37">
        <f>W33-(W28+W30)*Operations!W9</f>
        <v>975234318.03897345</v>
      </c>
      <c r="X53" s="37">
        <f>X33-(X28+X30)*Operations!X9</f>
        <v>380718343.87914574</v>
      </c>
      <c r="Y53" s="37">
        <f>Y33-(Y28+Y30)*Operations!Y9</f>
        <v>-52470000</v>
      </c>
      <c r="Z53" s="37">
        <f>Z33-(Z28+Z30)*Operations!Z9</f>
        <v>0</v>
      </c>
      <c r="AA53" s="37">
        <f>AA33-(AA28+AA30)*Operations!AA9</f>
        <v>0</v>
      </c>
      <c r="AB53" s="37">
        <f>AB33-(AB28+AB30)*Operations!AB9</f>
        <v>0</v>
      </c>
      <c r="AC53" s="37">
        <f>AC33-(AC28+AC30)*Operations!AC9</f>
        <v>0</v>
      </c>
      <c r="AD53" s="37">
        <f>AD33-(AD28+AD30)*Operations!AD9</f>
        <v>0</v>
      </c>
      <c r="AE53" s="37">
        <f>AE33-(AE28+AE30)*Operations!AE9</f>
        <v>0</v>
      </c>
      <c r="AF53" s="37">
        <f>AF33-(AF28+AF30)*Operations!AF9</f>
        <v>0</v>
      </c>
      <c r="AG53" s="37">
        <f>AG33-(AG28+AG30)*Operations!AG9</f>
        <v>0</v>
      </c>
      <c r="AH53" s="37">
        <f>AH33-(AH28+AH30)*Operations!AH9</f>
        <v>0</v>
      </c>
      <c r="AI53" s="37">
        <f>AI33-(AI28+AI30)*Operations!AI9</f>
        <v>0</v>
      </c>
      <c r="AJ53" s="37">
        <f>AJ33-(AJ28+AJ30)*Operations!AJ9</f>
        <v>0</v>
      </c>
      <c r="AK53" s="37">
        <f>AK33-(AK28+AK30)*Operations!AK9</f>
        <v>0</v>
      </c>
      <c r="AL53" s="37">
        <f>AL33-(AL28+AL30)*Operations!AL9</f>
        <v>0</v>
      </c>
      <c r="AM53" s="37">
        <f>AM33-(AM28+AM30)*Operations!AM9</f>
        <v>0</v>
      </c>
      <c r="AN53" s="37">
        <f>AN33-(AN28+AN30)*Operations!AN9</f>
        <v>0</v>
      </c>
      <c r="AO53" s="37">
        <f>AO33-(AO28+AO30)*Operations!AO9</f>
        <v>0</v>
      </c>
      <c r="AP53" s="37">
        <f>AP33-(AP28+AP30)*Operations!AP9</f>
        <v>0</v>
      </c>
      <c r="AQ53" s="37">
        <f>AQ33-(AQ28+AQ30)*Operations!AQ9</f>
        <v>0</v>
      </c>
      <c r="AR53" s="37">
        <f>AR33-(AR28+AR30)*Operations!AR9</f>
        <v>0</v>
      </c>
      <c r="AS53" s="37">
        <f>AS33-(AS28+AS30)*Operations!AS9</f>
        <v>0</v>
      </c>
      <c r="AT53" s="37">
        <f>AT33-(AT28+AT30)*Operations!AT9</f>
        <v>0</v>
      </c>
      <c r="AU53" s="37">
        <f>AU33-(AU28+AU30)*Operations!AU9</f>
        <v>0</v>
      </c>
      <c r="AV53" s="37">
        <f>AV33-(AV28+AV30)*Operations!AV9</f>
        <v>0</v>
      </c>
      <c r="AW53" s="37">
        <f>AW33-(AW28+AW30)*Operations!AW9</f>
        <v>0</v>
      </c>
      <c r="AX53" s="37">
        <f>AX33-(AX28+AX30)*Operations!AX9</f>
        <v>0</v>
      </c>
      <c r="AY53" s="37">
        <f>AY33-(AY28+AY30)*Operations!AY9</f>
        <v>0</v>
      </c>
      <c r="AZ53" s="37">
        <f>AZ33-(AZ28+AZ30)*Operations!AZ9</f>
        <v>0</v>
      </c>
      <c r="BA53" s="37">
        <f>BA33-(BA28+BA30)*Operations!BA9</f>
        <v>0</v>
      </c>
      <c r="BB53" s="37">
        <f>BB33-(BB28+BB30)*Operations!BB9</f>
        <v>0</v>
      </c>
      <c r="BC53" s="37">
        <f>BC33-(BC28+BC30)*Operations!BC9</f>
        <v>0</v>
      </c>
      <c r="BD53" s="37">
        <f>BD33-(BD28+BD30)*Operations!BD9</f>
        <v>0</v>
      </c>
      <c r="BE53" s="37">
        <f>BE33-(BE28+BE30)*Operations!BE9</f>
        <v>0</v>
      </c>
      <c r="BF53" s="37">
        <f>BF33-(BF28+BF30)*Operations!BF9</f>
        <v>0</v>
      </c>
      <c r="BG53" s="37">
        <f>BG33-(BG28+BG30)*Operations!BG9</f>
        <v>0</v>
      </c>
      <c r="BH53" s="37">
        <f>BH33-(BH28+BH30)*Operations!BH9</f>
        <v>0</v>
      </c>
      <c r="BI53" s="37">
        <f>BI33-(BI28+BI30)*Operations!BI9</f>
        <v>0</v>
      </c>
      <c r="BJ53" s="37">
        <f>BJ33-(BJ28+BJ30)*Operations!BJ9</f>
        <v>0</v>
      </c>
      <c r="BK53" s="37">
        <f>BK33-(BK28+BK30)*Operations!BK9</f>
        <v>0</v>
      </c>
      <c r="BL53" s="37">
        <f>BL33-(BL28+BL30)*Operations!BL9</f>
        <v>0</v>
      </c>
      <c r="BM53" s="37">
        <f>BM33-(BM28+BM30)*Operations!BM9</f>
        <v>0</v>
      </c>
      <c r="BN53" s="37">
        <f>BN33-(BN28+BN30)*Operations!BN9</f>
        <v>0</v>
      </c>
      <c r="BO53" s="37">
        <f>BO33-(BO28+BO30)*Operations!BO9</f>
        <v>0</v>
      </c>
      <c r="BP53" s="37">
        <f>BP33-(BP28+BP30)*Operations!BP9</f>
        <v>0</v>
      </c>
      <c r="BQ53" s="37">
        <f>BQ33-(BQ28+BQ30)*Operations!BQ9</f>
        <v>0</v>
      </c>
      <c r="BR53" s="37">
        <f>BR33-(BR28+BR30)*Operations!BR9</f>
        <v>0</v>
      </c>
      <c r="BS53" s="37">
        <f>BS33-(BS28+BS30)*Operations!BS9</f>
        <v>0</v>
      </c>
      <c r="BT53" s="37">
        <f>BT33-(BT28+BT30)*Operations!BT9</f>
        <v>0</v>
      </c>
      <c r="BU53" s="37">
        <f>BU33-(BU28+BU30)*Operations!BU9</f>
        <v>0</v>
      </c>
      <c r="BV53" s="37">
        <f>BV33-(BV28+BV30)*Operations!BV9</f>
        <v>0</v>
      </c>
      <c r="BW53" s="37">
        <f>BW33-(BW28+BW30)*Operations!BW9</f>
        <v>0</v>
      </c>
      <c r="BX53" s="37">
        <f>BX33-(BX28+BX30)*Operations!BX9</f>
        <v>0</v>
      </c>
      <c r="BY53" s="37">
        <f>BY33-(BY28+BY30)*Operations!BY9</f>
        <v>0</v>
      </c>
      <c r="BZ53" s="37">
        <f>BZ33-(BZ28+BZ30)*Operations!BZ9</f>
        <v>0</v>
      </c>
      <c r="CA53" s="37">
        <f>CA33-(CA28+CA30)*Operations!CA9</f>
        <v>0</v>
      </c>
      <c r="CB53" s="37">
        <f>CB33-(CB28+CB30)*Operations!CB9</f>
        <v>0</v>
      </c>
      <c r="CC53" s="37">
        <f>CC33-(CC28+CC30)*Operations!CC9</f>
        <v>0</v>
      </c>
      <c r="CD53" s="37">
        <f>CD33-(CD28+CD30)*Operations!CD9</f>
        <v>0</v>
      </c>
      <c r="CE53" s="37">
        <f>CE33-(CE28+CE30)*Operations!CE9</f>
        <v>0</v>
      </c>
      <c r="CF53" s="37">
        <f>CF33-(CF28+CF30)*Operations!CF9</f>
        <v>0</v>
      </c>
      <c r="CG53" s="37">
        <f>CG33-(CG28+CG30)*Operations!CG9</f>
        <v>0</v>
      </c>
      <c r="CH53" s="37">
        <f>CH33-(CH28+CH30)*Operations!CH9</f>
        <v>0</v>
      </c>
      <c r="CI53" s="37">
        <f>CI33-(CI28+CI30)*Operations!CI9</f>
        <v>0</v>
      </c>
      <c r="CJ53" s="37">
        <f>CJ33-(CJ28+CJ30)*Operations!CJ9</f>
        <v>0</v>
      </c>
      <c r="CK53" s="37">
        <f>CK33-(CK28+CK30)*Operations!CK9</f>
        <v>0</v>
      </c>
      <c r="CL53" s="37">
        <f>CL33-(CL28+CL30)*Operations!CL9</f>
        <v>0</v>
      </c>
      <c r="CM53" s="37">
        <f>CM33-(CM28+CM30)*Operations!CM9</f>
        <v>0</v>
      </c>
      <c r="CN53" s="37">
        <f>CN33-(CN28+CN30)*Operations!CN9</f>
        <v>0</v>
      </c>
      <c r="CO53" s="37">
        <f>CO33-(CO28+CO30)*Operations!CO9</f>
        <v>0</v>
      </c>
      <c r="CP53" s="37">
        <f>CP33-(CP28+CP30)*Operations!CP9</f>
        <v>0</v>
      </c>
      <c r="CQ53" s="37">
        <f>CQ33-(CQ28+CQ30)*Operations!CQ9</f>
        <v>0</v>
      </c>
      <c r="CR53" s="37">
        <f>CR33-(CR28+CR30)*Operations!CR9</f>
        <v>0</v>
      </c>
      <c r="CS53" s="37">
        <f>CS33-(CS28+CS30)*Operations!CS9</f>
        <v>0</v>
      </c>
      <c r="CT53" s="37">
        <f>CT33-(CT28+CT30)*Operations!CT9</f>
        <v>0</v>
      </c>
      <c r="CU53" s="37">
        <f>CU33-(CU28+CU30)*Operations!CU9</f>
        <v>0</v>
      </c>
      <c r="CV53" s="37">
        <f>CV33-(CV28+CV30)*Operations!CV9</f>
        <v>0</v>
      </c>
      <c r="CW53" s="37">
        <f>CW33-(CW28+CW30)*Operations!CW9</f>
        <v>0</v>
      </c>
      <c r="CX53" s="37">
        <f>CX33-(CX28+CX30)*Operations!CX9</f>
        <v>0</v>
      </c>
      <c r="CY53" s="37">
        <f>CY33-(CY28+CY30)*Operations!CY9</f>
        <v>0</v>
      </c>
      <c r="CZ53" s="37">
        <f>CZ33-(CZ28+CZ30)*Operations!CZ9</f>
        <v>0</v>
      </c>
      <c r="DA53" s="37">
        <f>DA33-(DA28+DA30)*Operations!DA9</f>
        <v>0</v>
      </c>
      <c r="DB53" s="37">
        <f>DB33-(DB28+DB30)*Operations!DB9</f>
        <v>0</v>
      </c>
      <c r="DC53" s="37">
        <f>DC33-(DC28+DC30)*Operations!DC9</f>
        <v>0</v>
      </c>
      <c r="DD53" s="37">
        <f>DD33-(DD28+DD30)*Operations!DD9</f>
        <v>0</v>
      </c>
      <c r="DE53" s="37">
        <f>DE33-(DE28+DE30)*Operations!DE9</f>
        <v>0</v>
      </c>
      <c r="DF53" s="37">
        <f>DF33-(DF28+DF30)*Operations!DF9</f>
        <v>0</v>
      </c>
      <c r="DG53" s="37">
        <f>DG33-(DG28+DG30)*Operations!DG9</f>
        <v>0</v>
      </c>
      <c r="DH53" s="37">
        <f>DH33-(DH28+DH30)*Operations!DH9</f>
        <v>0</v>
      </c>
      <c r="DI53" s="37">
        <f>DI33-(DI28+DI30)*Operations!DI9</f>
        <v>0</v>
      </c>
      <c r="DJ53" s="37">
        <f>DJ33-(DJ28+DJ30)*Operations!DJ9</f>
        <v>0</v>
      </c>
      <c r="DK53" s="37">
        <f>DK33-(DK28+DK30)*Operations!DK9</f>
        <v>0</v>
      </c>
      <c r="DL53" s="37">
        <f>DL33-(DL28+DL30)*Operations!DL9</f>
        <v>0</v>
      </c>
      <c r="DM53" s="37">
        <f>DM33-(DM28+DM30)*Operations!DM9</f>
        <v>0</v>
      </c>
    </row>
    <row r="54" spans="3:117" ht="14.25" customHeight="1" outlineLevel="1" x14ac:dyDescent="0.15">
      <c r="D54" s="5"/>
      <c r="E54" s="17" t="s">
        <v>57</v>
      </c>
    </row>
    <row r="55" spans="3:117" outlineLevel="1" x14ac:dyDescent="0.15">
      <c r="C55" s="56" t="str">
        <f>_xlfn.CONCAT("NPV @ ",E55*100,"%")</f>
        <v>NPV @ 5%</v>
      </c>
      <c r="D55" s="5" t="s">
        <v>0</v>
      </c>
      <c r="E55" s="58">
        <f>E40</f>
        <v>0.05</v>
      </c>
      <c r="J55" s="19">
        <f>NPV($E55,J53:$DM53)</f>
        <v>8095577956.2743816</v>
      </c>
      <c r="K55" s="19">
        <f>NPV($E55,K53:$DM53)</f>
        <v>8674578519.6249123</v>
      </c>
      <c r="L55" s="19">
        <f>NPV($E55,L53:$DM53)</f>
        <v>9491887919.3090496</v>
      </c>
      <c r="M55" s="19">
        <f>NPV($E55,M53:$DM53)</f>
        <v>10680937548.736378</v>
      </c>
      <c r="N55" s="19">
        <f>NPV($E55,N53:$DM53)</f>
        <v>11613205375.971621</v>
      </c>
      <c r="O55" s="19">
        <f>NPV($E55,O53:$DM53)</f>
        <v>10535090892.118889</v>
      </c>
      <c r="P55" s="19">
        <f>NPV($E55,P53:$DM53)</f>
        <v>9216321742.0812321</v>
      </c>
      <c r="Q55" s="19">
        <f>NPV($E55,Q53:$DM53)</f>
        <v>7764485672.9540405</v>
      </c>
      <c r="R55" s="19">
        <f>NPV($E55,R53:$DM53)</f>
        <v>6222591959.4404173</v>
      </c>
      <c r="S55" s="19">
        <f>NPV($E55,S53:$DM53)</f>
        <v>4583541593.9387074</v>
      </c>
      <c r="T55" s="19">
        <f>NPV($E55,T53:$DM53)</f>
        <v>3881032119.89431</v>
      </c>
      <c r="U55" s="19">
        <f>NPV($E55,U53:$DM53)</f>
        <v>3048071246.6776175</v>
      </c>
      <c r="V55" s="19">
        <f>NPV($E55,V53:$DM53)</f>
        <v>2062615215.6625814</v>
      </c>
      <c r="W55" s="19">
        <f>NPV($E55,W53:$DM53)</f>
        <v>1228791790.7017138</v>
      </c>
      <c r="X55" s="19">
        <f>NPV($E55,X53:$DM53)</f>
        <v>314997062.19782591</v>
      </c>
      <c r="Y55" s="19">
        <f>NPV($E55,Y53:$DM53)</f>
        <v>-49971428.571428567</v>
      </c>
      <c r="Z55" s="19">
        <f>NPV($E55,Z53:$DM53)</f>
        <v>0</v>
      </c>
      <c r="AA55" s="19">
        <f>NPV($E55,AA53:$DM53)</f>
        <v>0</v>
      </c>
      <c r="AB55" s="19">
        <f>NPV($E55,AB53:$DM53)</f>
        <v>0</v>
      </c>
      <c r="AC55" s="19">
        <f>NPV($E55,AC53:$DM53)</f>
        <v>0</v>
      </c>
      <c r="AD55" s="19">
        <f>NPV($E55,AD53:$DM53)</f>
        <v>0</v>
      </c>
      <c r="AE55" s="19">
        <f>NPV($E55,AE53:$DM53)</f>
        <v>0</v>
      </c>
      <c r="AF55" s="19">
        <f>NPV($E55,AF53:$DM53)</f>
        <v>0</v>
      </c>
      <c r="AG55" s="19">
        <f>NPV($E55,AG53:$DM53)</f>
        <v>0</v>
      </c>
      <c r="AH55" s="19">
        <f>NPV($E55,AH53:$DM53)</f>
        <v>0</v>
      </c>
      <c r="AI55" s="19">
        <f>NPV($E55,AI53:$DM53)</f>
        <v>0</v>
      </c>
      <c r="AJ55" s="19">
        <f>NPV($E55,AJ53:$DM53)</f>
        <v>0</v>
      </c>
      <c r="AK55" s="19">
        <f>NPV($E55,AK53:$DM53)</f>
        <v>0</v>
      </c>
      <c r="AL55" s="19">
        <f>NPV($E55,AL53:$DM53)</f>
        <v>0</v>
      </c>
      <c r="AM55" s="19">
        <f>NPV($E55,AM53:$DM53)</f>
        <v>0</v>
      </c>
      <c r="AN55" s="19">
        <f>NPV($E55,AN53:$DM53)</f>
        <v>0</v>
      </c>
      <c r="AO55" s="19">
        <f>NPV($E55,AO53:$DM53)</f>
        <v>0</v>
      </c>
      <c r="AP55" s="19">
        <f>NPV($E55,AP53:$DM53)</f>
        <v>0</v>
      </c>
      <c r="AQ55" s="19">
        <f>NPV($E55,AQ53:$DM53)</f>
        <v>0</v>
      </c>
      <c r="AR55" s="19">
        <f>NPV($E55,AR53:$DM53)</f>
        <v>0</v>
      </c>
      <c r="AS55" s="19">
        <f>NPV($E55,AS53:$DM53)</f>
        <v>0</v>
      </c>
      <c r="AT55" s="19">
        <f>NPV($E55,AT53:$DM53)</f>
        <v>0</v>
      </c>
      <c r="AU55" s="19">
        <f>NPV($E55,AU53:$DM53)</f>
        <v>0</v>
      </c>
      <c r="AV55" s="19">
        <f>NPV($E55,AV53:$DM53)</f>
        <v>0</v>
      </c>
      <c r="AW55" s="19">
        <f>NPV($E55,AW53:$DM53)</f>
        <v>0</v>
      </c>
      <c r="AX55" s="19">
        <f>NPV($E55,AX53:$DM53)</f>
        <v>0</v>
      </c>
      <c r="AY55" s="19">
        <f>NPV($E55,AY53:$DM53)</f>
        <v>0</v>
      </c>
      <c r="AZ55" s="19">
        <f>NPV($E55,AZ53:$DM53)</f>
        <v>0</v>
      </c>
      <c r="BA55" s="19">
        <f>NPV($E55,BA53:$DM53)</f>
        <v>0</v>
      </c>
      <c r="BB55" s="19">
        <f>NPV($E55,BB53:$DM53)</f>
        <v>0</v>
      </c>
      <c r="BC55" s="19">
        <f>NPV($E55,BC53:$DM53)</f>
        <v>0</v>
      </c>
      <c r="BD55" s="19">
        <f>NPV($E55,BD53:$DM53)</f>
        <v>0</v>
      </c>
      <c r="BE55" s="19">
        <f>NPV($E55,BE53:$DM53)</f>
        <v>0</v>
      </c>
      <c r="BF55" s="19">
        <f>NPV($E55,BF53:$DM53)</f>
        <v>0</v>
      </c>
      <c r="BG55" s="19">
        <f>NPV($E55,BG53:$DM53)</f>
        <v>0</v>
      </c>
      <c r="BH55" s="19">
        <f>NPV($E55,BH53:$DM53)</f>
        <v>0</v>
      </c>
      <c r="BI55" s="19">
        <f>NPV($E55,BI53:$DM53)</f>
        <v>0</v>
      </c>
      <c r="BJ55" s="19">
        <f>NPV($E55,BJ53:$DM53)</f>
        <v>0</v>
      </c>
      <c r="BK55" s="19">
        <f>NPV($E55,BK53:$DM53)</f>
        <v>0</v>
      </c>
      <c r="BL55" s="19">
        <f>NPV($E55,BL53:$DM53)</f>
        <v>0</v>
      </c>
      <c r="BM55" s="19">
        <f>NPV($E55,BM53:$DM53)</f>
        <v>0</v>
      </c>
      <c r="BN55" s="19">
        <f>NPV($E55,BN53:$DM53)</f>
        <v>0</v>
      </c>
      <c r="BO55" s="19">
        <f>NPV($E55,BO53:$DM53)</f>
        <v>0</v>
      </c>
      <c r="BP55" s="19">
        <f>NPV($E55,BP53:$DM53)</f>
        <v>0</v>
      </c>
      <c r="BQ55" s="19">
        <f>NPV($E55,BQ53:$DM53)</f>
        <v>0</v>
      </c>
      <c r="BR55" s="19">
        <f>NPV($E55,BR53:$DM53)</f>
        <v>0</v>
      </c>
      <c r="BS55" s="19">
        <f>NPV($E55,BS53:$DM53)</f>
        <v>0</v>
      </c>
      <c r="BT55" s="19">
        <f>NPV($E55,BT53:$DM53)</f>
        <v>0</v>
      </c>
      <c r="BU55" s="19">
        <f>NPV($E55,BU53:$DM53)</f>
        <v>0</v>
      </c>
      <c r="BV55" s="19">
        <f>NPV($E55,BV53:$DM53)</f>
        <v>0</v>
      </c>
      <c r="BW55" s="19">
        <f>NPV($E55,BW53:$DM53)</f>
        <v>0</v>
      </c>
      <c r="BX55" s="19">
        <f>NPV($E55,BX53:$DM53)</f>
        <v>0</v>
      </c>
      <c r="BY55" s="19">
        <f>NPV($E55,BY53:$DM53)</f>
        <v>0</v>
      </c>
      <c r="BZ55" s="19">
        <f>NPV($E55,BZ53:$DM53)</f>
        <v>0</v>
      </c>
      <c r="CA55" s="19">
        <f>NPV($E55,CA53:$DM53)</f>
        <v>0</v>
      </c>
      <c r="CB55" s="19">
        <f>NPV($E55,CB53:$DM53)</f>
        <v>0</v>
      </c>
      <c r="CC55" s="19">
        <f>NPV($E55,CC53:$DM53)</f>
        <v>0</v>
      </c>
      <c r="CD55" s="19">
        <f>NPV($E55,CD53:$DM53)</f>
        <v>0</v>
      </c>
      <c r="CE55" s="19">
        <f>NPV($E55,CE53:$DM53)</f>
        <v>0</v>
      </c>
      <c r="CF55" s="19">
        <f>NPV($E55,CF53:$DM53)</f>
        <v>0</v>
      </c>
      <c r="CG55" s="19">
        <f>NPV($E55,CG53:$DM53)</f>
        <v>0</v>
      </c>
      <c r="CH55" s="19">
        <f>NPV($E55,CH53:$DM53)</f>
        <v>0</v>
      </c>
      <c r="CI55" s="19">
        <f>NPV($E55,CI53:$DM53)</f>
        <v>0</v>
      </c>
      <c r="CJ55" s="19">
        <f>NPV($E55,CJ53:$DM53)</f>
        <v>0</v>
      </c>
      <c r="CK55" s="19">
        <f>NPV($E55,CK53:$DM53)</f>
        <v>0</v>
      </c>
      <c r="CL55" s="19">
        <f>NPV($E55,CL53:$DM53)</f>
        <v>0</v>
      </c>
      <c r="CM55" s="19">
        <f>NPV($E55,CM53:$DM53)</f>
        <v>0</v>
      </c>
      <c r="CN55" s="19">
        <f>NPV($E55,CN53:$DM53)</f>
        <v>0</v>
      </c>
      <c r="CO55" s="19">
        <f>NPV($E55,CO53:$DM53)</f>
        <v>0</v>
      </c>
      <c r="CP55" s="19">
        <f>NPV($E55,CP53:$DM53)</f>
        <v>0</v>
      </c>
      <c r="CQ55" s="19">
        <f>NPV($E55,CQ53:$DM53)</f>
        <v>0</v>
      </c>
      <c r="CR55" s="19">
        <f>NPV($E55,CR53:$DM53)</f>
        <v>0</v>
      </c>
      <c r="CS55" s="19">
        <f>NPV($E55,CS53:$DM53)</f>
        <v>0</v>
      </c>
      <c r="CT55" s="19">
        <f>NPV($E55,CT53:$DM53)</f>
        <v>0</v>
      </c>
      <c r="CU55" s="19">
        <f>NPV($E55,CU53:$DM53)</f>
        <v>0</v>
      </c>
      <c r="CV55" s="19">
        <f>NPV($E55,CV53:$DM53)</f>
        <v>0</v>
      </c>
      <c r="CW55" s="19">
        <f>NPV($E55,CW53:$DM53)</f>
        <v>0</v>
      </c>
      <c r="CX55" s="19">
        <f>NPV($E55,CX53:$DM53)</f>
        <v>0</v>
      </c>
      <c r="CY55" s="19">
        <f>NPV($E55,CY53:$DM53)</f>
        <v>0</v>
      </c>
      <c r="CZ55" s="19">
        <f>NPV($E55,CZ53:$DM53)</f>
        <v>0</v>
      </c>
      <c r="DA55" s="19">
        <f>NPV($E55,DA53:$DM53)</f>
        <v>0</v>
      </c>
      <c r="DB55" s="19">
        <f>NPV($E55,DB53:$DM53)</f>
        <v>0</v>
      </c>
      <c r="DC55" s="19">
        <f>NPV($E55,DC53:$DM53)</f>
        <v>0</v>
      </c>
      <c r="DD55" s="19">
        <f>NPV($E55,DD53:$DM53)</f>
        <v>0</v>
      </c>
      <c r="DE55" s="19">
        <f>NPV($E55,DE53:$DM53)</f>
        <v>0</v>
      </c>
      <c r="DF55" s="19">
        <f>NPV($E55,DF53:$DM53)</f>
        <v>0</v>
      </c>
      <c r="DG55" s="19">
        <f>NPV($E55,DG53:$DM53)</f>
        <v>0</v>
      </c>
      <c r="DH55" s="19">
        <f>NPV($E55,DH53:$DM53)</f>
        <v>0</v>
      </c>
      <c r="DI55" s="19">
        <f>NPV($E55,DI53:$DM53)</f>
        <v>0</v>
      </c>
      <c r="DJ55" s="19">
        <f>NPV($E55,DJ53:$DM53)</f>
        <v>0</v>
      </c>
      <c r="DK55" s="19">
        <f>NPV($E55,DK53:$DM53)</f>
        <v>0</v>
      </c>
      <c r="DL55" s="19">
        <f>NPV($E55,DL53:$DM53)</f>
        <v>0</v>
      </c>
      <c r="DM55" s="19">
        <f>NPV($E55,DM53:$DM53)</f>
        <v>0</v>
      </c>
    </row>
    <row r="56" spans="3:117" outlineLevel="1" x14ac:dyDescent="0.15">
      <c r="C56" s="56" t="str">
        <f t="shared" ref="C56:C57" si="31">_xlfn.CONCAT("NPV @ ",E56*100,"%")</f>
        <v>NPV @ 8%</v>
      </c>
      <c r="D56" s="5" t="s">
        <v>0</v>
      </c>
      <c r="E56" s="58">
        <f t="shared" ref="E56:E57" si="32">E41</f>
        <v>0.08</v>
      </c>
      <c r="J56" s="19">
        <f>NPV($E56,J53:$DM53)</f>
        <v>6181390003.0755539</v>
      </c>
      <c r="K56" s="19">
        <f>NPV($E56,K53:$DM53)</f>
        <v>6850122868.8584089</v>
      </c>
      <c r="L56" s="19">
        <f>NPV($E56,L53:$DM53)</f>
        <v>7781713172.0699768</v>
      </c>
      <c r="M56" s="19">
        <f>NPV($E56,M53:$DM53)</f>
        <v>9118705459.2974491</v>
      </c>
      <c r="N56" s="19">
        <f>NPV($E56,N53:$DM53)</f>
        <v>10246422845.839668</v>
      </c>
      <c r="O56" s="19">
        <f>NPV($E56,O53:$DM53)</f>
        <v>9407361920.8555298</v>
      </c>
      <c r="P56" s="19">
        <f>NPV($E56,P53:$DM53)</f>
        <v>8314427179.8803692</v>
      </c>
      <c r="Q56" s="19">
        <f>NPV($E56,Q53:$DM53)</f>
        <v>7066929198.039546</v>
      </c>
      <c r="R56" s="19">
        <f>NPV($E56,R53:$DM53)</f>
        <v>5702165536.721385</v>
      </c>
      <c r="S56" s="19">
        <f>NPV($E56,S53:$DM53)</f>
        <v>4208158816.1853647</v>
      </c>
      <c r="T56" s="19">
        <f>NPV($E56,T53:$DM53)</f>
        <v>3613124967.7388611</v>
      </c>
      <c r="U56" s="19">
        <f>NPV($E56,U53:$DM53)</f>
        <v>2875162485.9465609</v>
      </c>
      <c r="V56" s="19">
        <f>NPV($E56,V53:$DM53)</f>
        <v>1967315891.4733696</v>
      </c>
      <c r="W56" s="19">
        <f>NPV($E56,W53:$DM53)</f>
        <v>1187746977.0472424</v>
      </c>
      <c r="X56" s="19">
        <f>NPV($E56,X53:$DM53)</f>
        <v>307532417.17204851</v>
      </c>
      <c r="Y56" s="19">
        <f>NPV($E56,Y53:$DM53)</f>
        <v>-48583333.333333328</v>
      </c>
      <c r="Z56" s="19">
        <f>NPV($E56,Z53:$DM53)</f>
        <v>0</v>
      </c>
      <c r="AA56" s="19">
        <f>NPV($E56,AA53:$DM53)</f>
        <v>0</v>
      </c>
      <c r="AB56" s="19">
        <f>NPV($E56,AB53:$DM53)</f>
        <v>0</v>
      </c>
      <c r="AC56" s="19">
        <f>NPV($E56,AC53:$DM53)</f>
        <v>0</v>
      </c>
      <c r="AD56" s="19">
        <f>NPV($E56,AD53:$DM53)</f>
        <v>0</v>
      </c>
      <c r="AE56" s="19">
        <f>NPV($E56,AE53:$DM53)</f>
        <v>0</v>
      </c>
      <c r="AF56" s="19">
        <f>NPV($E56,AF53:$DM53)</f>
        <v>0</v>
      </c>
      <c r="AG56" s="19">
        <f>NPV($E56,AG53:$DM53)</f>
        <v>0</v>
      </c>
      <c r="AH56" s="19">
        <f>NPV($E56,AH53:$DM53)</f>
        <v>0</v>
      </c>
      <c r="AI56" s="19">
        <f>NPV($E56,AI53:$DM53)</f>
        <v>0</v>
      </c>
      <c r="AJ56" s="19">
        <f>NPV($E56,AJ53:$DM53)</f>
        <v>0</v>
      </c>
      <c r="AK56" s="19">
        <f>NPV($E56,AK53:$DM53)</f>
        <v>0</v>
      </c>
      <c r="AL56" s="19">
        <f>NPV($E56,AL53:$DM53)</f>
        <v>0</v>
      </c>
      <c r="AM56" s="19">
        <f>NPV($E56,AM53:$DM53)</f>
        <v>0</v>
      </c>
      <c r="AN56" s="19">
        <f>NPV($E56,AN53:$DM53)</f>
        <v>0</v>
      </c>
      <c r="AO56" s="19">
        <f>NPV($E56,AO53:$DM53)</f>
        <v>0</v>
      </c>
      <c r="AP56" s="19">
        <f>NPV($E56,AP53:$DM53)</f>
        <v>0</v>
      </c>
      <c r="AQ56" s="19">
        <f>NPV($E56,AQ53:$DM53)</f>
        <v>0</v>
      </c>
      <c r="AR56" s="19">
        <f>NPV($E56,AR53:$DM53)</f>
        <v>0</v>
      </c>
      <c r="AS56" s="19">
        <f>NPV($E56,AS53:$DM53)</f>
        <v>0</v>
      </c>
      <c r="AT56" s="19">
        <f>NPV($E56,AT53:$DM53)</f>
        <v>0</v>
      </c>
      <c r="AU56" s="19">
        <f>NPV($E56,AU53:$DM53)</f>
        <v>0</v>
      </c>
      <c r="AV56" s="19">
        <f>NPV($E56,AV53:$DM53)</f>
        <v>0</v>
      </c>
      <c r="AW56" s="19">
        <f>NPV($E56,AW53:$DM53)</f>
        <v>0</v>
      </c>
      <c r="AX56" s="19">
        <f>NPV($E56,AX53:$DM53)</f>
        <v>0</v>
      </c>
      <c r="AY56" s="19">
        <f>NPV($E56,AY53:$DM53)</f>
        <v>0</v>
      </c>
      <c r="AZ56" s="19">
        <f>NPV($E56,AZ53:$DM53)</f>
        <v>0</v>
      </c>
      <c r="BA56" s="19">
        <f>NPV($E56,BA53:$DM53)</f>
        <v>0</v>
      </c>
      <c r="BB56" s="19">
        <f>NPV($E56,BB53:$DM53)</f>
        <v>0</v>
      </c>
      <c r="BC56" s="19">
        <f>NPV($E56,BC53:$DM53)</f>
        <v>0</v>
      </c>
      <c r="BD56" s="19">
        <f>NPV($E56,BD53:$DM53)</f>
        <v>0</v>
      </c>
      <c r="BE56" s="19">
        <f>NPV($E56,BE53:$DM53)</f>
        <v>0</v>
      </c>
      <c r="BF56" s="19">
        <f>NPV($E56,BF53:$DM53)</f>
        <v>0</v>
      </c>
      <c r="BG56" s="19">
        <f>NPV($E56,BG53:$DM53)</f>
        <v>0</v>
      </c>
      <c r="BH56" s="19">
        <f>NPV($E56,BH53:$DM53)</f>
        <v>0</v>
      </c>
      <c r="BI56" s="19">
        <f>NPV($E56,BI53:$DM53)</f>
        <v>0</v>
      </c>
      <c r="BJ56" s="19">
        <f>NPV($E56,BJ53:$DM53)</f>
        <v>0</v>
      </c>
      <c r="BK56" s="19">
        <f>NPV($E56,BK53:$DM53)</f>
        <v>0</v>
      </c>
      <c r="BL56" s="19">
        <f>NPV($E56,BL53:$DM53)</f>
        <v>0</v>
      </c>
      <c r="BM56" s="19">
        <f>NPV($E56,BM53:$DM53)</f>
        <v>0</v>
      </c>
      <c r="BN56" s="19">
        <f>NPV($E56,BN53:$DM53)</f>
        <v>0</v>
      </c>
      <c r="BO56" s="19">
        <f>NPV($E56,BO53:$DM53)</f>
        <v>0</v>
      </c>
      <c r="BP56" s="19">
        <f>NPV($E56,BP53:$DM53)</f>
        <v>0</v>
      </c>
      <c r="BQ56" s="19">
        <f>NPV($E56,BQ53:$DM53)</f>
        <v>0</v>
      </c>
      <c r="BR56" s="19">
        <f>NPV($E56,BR53:$DM53)</f>
        <v>0</v>
      </c>
      <c r="BS56" s="19">
        <f>NPV($E56,BS53:$DM53)</f>
        <v>0</v>
      </c>
      <c r="BT56" s="19">
        <f>NPV($E56,BT53:$DM53)</f>
        <v>0</v>
      </c>
      <c r="BU56" s="19">
        <f>NPV($E56,BU53:$DM53)</f>
        <v>0</v>
      </c>
      <c r="BV56" s="19">
        <f>NPV($E56,BV53:$DM53)</f>
        <v>0</v>
      </c>
      <c r="BW56" s="19">
        <f>NPV($E56,BW53:$DM53)</f>
        <v>0</v>
      </c>
      <c r="BX56" s="19">
        <f>NPV($E56,BX53:$DM53)</f>
        <v>0</v>
      </c>
      <c r="BY56" s="19">
        <f>NPV($E56,BY53:$DM53)</f>
        <v>0</v>
      </c>
      <c r="BZ56" s="19">
        <f>NPV($E56,BZ53:$DM53)</f>
        <v>0</v>
      </c>
      <c r="CA56" s="19">
        <f>NPV($E56,CA53:$DM53)</f>
        <v>0</v>
      </c>
      <c r="CB56" s="19">
        <f>NPV($E56,CB53:$DM53)</f>
        <v>0</v>
      </c>
      <c r="CC56" s="19">
        <f>NPV($E56,CC53:$DM53)</f>
        <v>0</v>
      </c>
      <c r="CD56" s="19">
        <f>NPV($E56,CD53:$DM53)</f>
        <v>0</v>
      </c>
      <c r="CE56" s="19">
        <f>NPV($E56,CE53:$DM53)</f>
        <v>0</v>
      </c>
      <c r="CF56" s="19">
        <f>NPV($E56,CF53:$DM53)</f>
        <v>0</v>
      </c>
      <c r="CG56" s="19">
        <f>NPV($E56,CG53:$DM53)</f>
        <v>0</v>
      </c>
      <c r="CH56" s="19">
        <f>NPV($E56,CH53:$DM53)</f>
        <v>0</v>
      </c>
      <c r="CI56" s="19">
        <f>NPV($E56,CI53:$DM53)</f>
        <v>0</v>
      </c>
      <c r="CJ56" s="19">
        <f>NPV($E56,CJ53:$DM53)</f>
        <v>0</v>
      </c>
      <c r="CK56" s="19">
        <f>NPV($E56,CK53:$DM53)</f>
        <v>0</v>
      </c>
      <c r="CL56" s="19">
        <f>NPV($E56,CL53:$DM53)</f>
        <v>0</v>
      </c>
      <c r="CM56" s="19">
        <f>NPV($E56,CM53:$DM53)</f>
        <v>0</v>
      </c>
      <c r="CN56" s="19">
        <f>NPV($E56,CN53:$DM53)</f>
        <v>0</v>
      </c>
      <c r="CO56" s="19">
        <f>NPV($E56,CO53:$DM53)</f>
        <v>0</v>
      </c>
      <c r="CP56" s="19">
        <f>NPV($E56,CP53:$DM53)</f>
        <v>0</v>
      </c>
      <c r="CQ56" s="19">
        <f>NPV($E56,CQ53:$DM53)</f>
        <v>0</v>
      </c>
      <c r="CR56" s="19">
        <f>NPV($E56,CR53:$DM53)</f>
        <v>0</v>
      </c>
      <c r="CS56" s="19">
        <f>NPV($E56,CS53:$DM53)</f>
        <v>0</v>
      </c>
      <c r="CT56" s="19">
        <f>NPV($E56,CT53:$DM53)</f>
        <v>0</v>
      </c>
      <c r="CU56" s="19">
        <f>NPV($E56,CU53:$DM53)</f>
        <v>0</v>
      </c>
      <c r="CV56" s="19">
        <f>NPV($E56,CV53:$DM53)</f>
        <v>0</v>
      </c>
      <c r="CW56" s="19">
        <f>NPV($E56,CW53:$DM53)</f>
        <v>0</v>
      </c>
      <c r="CX56" s="19">
        <f>NPV($E56,CX53:$DM53)</f>
        <v>0</v>
      </c>
      <c r="CY56" s="19">
        <f>NPV($E56,CY53:$DM53)</f>
        <v>0</v>
      </c>
      <c r="CZ56" s="19">
        <f>NPV($E56,CZ53:$DM53)</f>
        <v>0</v>
      </c>
      <c r="DA56" s="19">
        <f>NPV($E56,DA53:$DM53)</f>
        <v>0</v>
      </c>
      <c r="DB56" s="19">
        <f>NPV($E56,DB53:$DM53)</f>
        <v>0</v>
      </c>
      <c r="DC56" s="19">
        <f>NPV($E56,DC53:$DM53)</f>
        <v>0</v>
      </c>
      <c r="DD56" s="19">
        <f>NPV($E56,DD53:$DM53)</f>
        <v>0</v>
      </c>
      <c r="DE56" s="19">
        <f>NPV($E56,DE53:$DM53)</f>
        <v>0</v>
      </c>
      <c r="DF56" s="19">
        <f>NPV($E56,DF53:$DM53)</f>
        <v>0</v>
      </c>
      <c r="DG56" s="19">
        <f>NPV($E56,DG53:$DM53)</f>
        <v>0</v>
      </c>
      <c r="DH56" s="19">
        <f>NPV($E56,DH53:$DM53)</f>
        <v>0</v>
      </c>
      <c r="DI56" s="19">
        <f>NPV($E56,DI53:$DM53)</f>
        <v>0</v>
      </c>
      <c r="DJ56" s="19">
        <f>NPV($E56,DJ53:$DM53)</f>
        <v>0</v>
      </c>
      <c r="DK56" s="19">
        <f>NPV($E56,DK53:$DM53)</f>
        <v>0</v>
      </c>
      <c r="DL56" s="19">
        <f>NPV($E56,DL53:$DM53)</f>
        <v>0</v>
      </c>
      <c r="DM56" s="19">
        <f>NPV($E56,DM53:$DM53)</f>
        <v>0</v>
      </c>
    </row>
    <row r="57" spans="3:117" outlineLevel="1" x14ac:dyDescent="0.15">
      <c r="C57" s="56" t="str">
        <f t="shared" si="31"/>
        <v>NPV @ 10%</v>
      </c>
      <c r="D57" s="5" t="s">
        <v>0</v>
      </c>
      <c r="E57" s="58">
        <f t="shared" si="32"/>
        <v>0.1</v>
      </c>
      <c r="J57" s="19">
        <f>NPV($E57,J53:$DM53)</f>
        <v>5186187642.9704247</v>
      </c>
      <c r="K57" s="19">
        <f>NPV($E57,K53:$DM53)</f>
        <v>5879028072.8042774</v>
      </c>
      <c r="L57" s="19">
        <f>NPV($E57,L53:$DM53)</f>
        <v>6850511353.7875986</v>
      </c>
      <c r="M57" s="19">
        <f>NPV($E57,M53:$DM53)</f>
        <v>8250017722.6282339</v>
      </c>
      <c r="N57" s="19">
        <f>NPV($E57,N53:$DM53)</f>
        <v>9473240444.6894817</v>
      </c>
      <c r="O57" s="19">
        <f>NPV($E57,O53:$DM53)</f>
        <v>8761789736.5071163</v>
      </c>
      <c r="P57" s="19">
        <f>NPV($E57,P53:$DM53)</f>
        <v>7792445015.5142269</v>
      </c>
      <c r="Q57" s="19">
        <f>NPV($E57,Q53:$DM53)</f>
        <v>6659037360.8343973</v>
      </c>
      <c r="R57" s="19">
        <f>NPV($E57,R53:$DM53)</f>
        <v>5394823099.7565136</v>
      </c>
      <c r="S57" s="19">
        <f>NPV($E57,S53:$DM53)</f>
        <v>3984125446.2584338</v>
      </c>
      <c r="T57" s="19">
        <f>NPV($E57,T53:$DM53)</f>
        <v>3450851437.1429439</v>
      </c>
      <c r="U57" s="19">
        <f>NPV($E57,U53:$DM53)</f>
        <v>2768924101.6458306</v>
      </c>
      <c r="V57" s="19">
        <f>NPV($E57,V53:$DM53)</f>
        <v>1907956918.4614968</v>
      </c>
      <c r="W57" s="19">
        <f>NPV($E57,W53:$DM53)</f>
        <v>1161798424.5636499</v>
      </c>
      <c r="X57" s="19">
        <f>NPV($E57,X53:$DM53)</f>
        <v>302743948.98104155</v>
      </c>
      <c r="Y57" s="19">
        <f>NPV($E57,Y53:$DM53)</f>
        <v>-47699999.999999993</v>
      </c>
      <c r="Z57" s="19">
        <f>NPV($E57,Z53:$DM53)</f>
        <v>0</v>
      </c>
      <c r="AA57" s="19">
        <f>NPV($E57,AA53:$DM53)</f>
        <v>0</v>
      </c>
      <c r="AB57" s="19">
        <f>NPV($E57,AB53:$DM53)</f>
        <v>0</v>
      </c>
      <c r="AC57" s="19">
        <f>NPV($E57,AC53:$DM53)</f>
        <v>0</v>
      </c>
      <c r="AD57" s="19">
        <f>NPV($E57,AD53:$DM53)</f>
        <v>0</v>
      </c>
      <c r="AE57" s="19">
        <f>NPV($E57,AE53:$DM53)</f>
        <v>0</v>
      </c>
      <c r="AF57" s="19">
        <f>NPV($E57,AF53:$DM53)</f>
        <v>0</v>
      </c>
      <c r="AG57" s="19">
        <f>NPV($E57,AG53:$DM53)</f>
        <v>0</v>
      </c>
      <c r="AH57" s="19">
        <f>NPV($E57,AH53:$DM53)</f>
        <v>0</v>
      </c>
      <c r="AI57" s="19">
        <f>NPV($E57,AI53:$DM53)</f>
        <v>0</v>
      </c>
      <c r="AJ57" s="19">
        <f>NPV($E57,AJ53:$DM53)</f>
        <v>0</v>
      </c>
      <c r="AK57" s="19">
        <f>NPV($E57,AK53:$DM53)</f>
        <v>0</v>
      </c>
      <c r="AL57" s="19">
        <f>NPV($E57,AL53:$DM53)</f>
        <v>0</v>
      </c>
      <c r="AM57" s="19">
        <f>NPV($E57,AM53:$DM53)</f>
        <v>0</v>
      </c>
      <c r="AN57" s="19">
        <f>NPV($E57,AN53:$DM53)</f>
        <v>0</v>
      </c>
      <c r="AO57" s="19">
        <f>NPV($E57,AO53:$DM53)</f>
        <v>0</v>
      </c>
      <c r="AP57" s="19">
        <f>NPV($E57,AP53:$DM53)</f>
        <v>0</v>
      </c>
      <c r="AQ57" s="19">
        <f>NPV($E57,AQ53:$DM53)</f>
        <v>0</v>
      </c>
      <c r="AR57" s="19">
        <f>NPV($E57,AR53:$DM53)</f>
        <v>0</v>
      </c>
      <c r="AS57" s="19">
        <f>NPV($E57,AS53:$DM53)</f>
        <v>0</v>
      </c>
      <c r="AT57" s="19">
        <f>NPV($E57,AT53:$DM53)</f>
        <v>0</v>
      </c>
      <c r="AU57" s="19">
        <f>NPV($E57,AU53:$DM53)</f>
        <v>0</v>
      </c>
      <c r="AV57" s="19">
        <f>NPV($E57,AV53:$DM53)</f>
        <v>0</v>
      </c>
      <c r="AW57" s="19">
        <f>NPV($E57,AW53:$DM53)</f>
        <v>0</v>
      </c>
      <c r="AX57" s="19">
        <f>NPV($E57,AX53:$DM53)</f>
        <v>0</v>
      </c>
      <c r="AY57" s="19">
        <f>NPV($E57,AY53:$DM53)</f>
        <v>0</v>
      </c>
      <c r="AZ57" s="19">
        <f>NPV($E57,AZ53:$DM53)</f>
        <v>0</v>
      </c>
      <c r="BA57" s="19">
        <f>NPV($E57,BA53:$DM53)</f>
        <v>0</v>
      </c>
      <c r="BB57" s="19">
        <f>NPV($E57,BB53:$DM53)</f>
        <v>0</v>
      </c>
      <c r="BC57" s="19">
        <f>NPV($E57,BC53:$DM53)</f>
        <v>0</v>
      </c>
      <c r="BD57" s="19">
        <f>NPV($E57,BD53:$DM53)</f>
        <v>0</v>
      </c>
      <c r="BE57" s="19">
        <f>NPV($E57,BE53:$DM53)</f>
        <v>0</v>
      </c>
      <c r="BF57" s="19">
        <f>NPV($E57,BF53:$DM53)</f>
        <v>0</v>
      </c>
      <c r="BG57" s="19">
        <f>NPV($E57,BG53:$DM53)</f>
        <v>0</v>
      </c>
      <c r="BH57" s="19">
        <f>NPV($E57,BH53:$DM53)</f>
        <v>0</v>
      </c>
      <c r="BI57" s="19">
        <f>NPV($E57,BI53:$DM53)</f>
        <v>0</v>
      </c>
      <c r="BJ57" s="19">
        <f>NPV($E57,BJ53:$DM53)</f>
        <v>0</v>
      </c>
      <c r="BK57" s="19">
        <f>NPV($E57,BK53:$DM53)</f>
        <v>0</v>
      </c>
      <c r="BL57" s="19">
        <f>NPV($E57,BL53:$DM53)</f>
        <v>0</v>
      </c>
      <c r="BM57" s="19">
        <f>NPV($E57,BM53:$DM53)</f>
        <v>0</v>
      </c>
      <c r="BN57" s="19">
        <f>NPV($E57,BN53:$DM53)</f>
        <v>0</v>
      </c>
      <c r="BO57" s="19">
        <f>NPV($E57,BO53:$DM53)</f>
        <v>0</v>
      </c>
      <c r="BP57" s="19">
        <f>NPV($E57,BP53:$DM53)</f>
        <v>0</v>
      </c>
      <c r="BQ57" s="19">
        <f>NPV($E57,BQ53:$DM53)</f>
        <v>0</v>
      </c>
      <c r="BR57" s="19">
        <f>NPV($E57,BR53:$DM53)</f>
        <v>0</v>
      </c>
      <c r="BS57" s="19">
        <f>NPV($E57,BS53:$DM53)</f>
        <v>0</v>
      </c>
      <c r="BT57" s="19">
        <f>NPV($E57,BT53:$DM53)</f>
        <v>0</v>
      </c>
      <c r="BU57" s="19">
        <f>NPV($E57,BU53:$DM53)</f>
        <v>0</v>
      </c>
      <c r="BV57" s="19">
        <f>NPV($E57,BV53:$DM53)</f>
        <v>0</v>
      </c>
      <c r="BW57" s="19">
        <f>NPV($E57,BW53:$DM53)</f>
        <v>0</v>
      </c>
      <c r="BX57" s="19">
        <f>NPV($E57,BX53:$DM53)</f>
        <v>0</v>
      </c>
      <c r="BY57" s="19">
        <f>NPV($E57,BY53:$DM53)</f>
        <v>0</v>
      </c>
      <c r="BZ57" s="19">
        <f>NPV($E57,BZ53:$DM53)</f>
        <v>0</v>
      </c>
      <c r="CA57" s="19">
        <f>NPV($E57,CA53:$DM53)</f>
        <v>0</v>
      </c>
      <c r="CB57" s="19">
        <f>NPV($E57,CB53:$DM53)</f>
        <v>0</v>
      </c>
      <c r="CC57" s="19">
        <f>NPV($E57,CC53:$DM53)</f>
        <v>0</v>
      </c>
      <c r="CD57" s="19">
        <f>NPV($E57,CD53:$DM53)</f>
        <v>0</v>
      </c>
      <c r="CE57" s="19">
        <f>NPV($E57,CE53:$DM53)</f>
        <v>0</v>
      </c>
      <c r="CF57" s="19">
        <f>NPV($E57,CF53:$DM53)</f>
        <v>0</v>
      </c>
      <c r="CG57" s="19">
        <f>NPV($E57,CG53:$DM53)</f>
        <v>0</v>
      </c>
      <c r="CH57" s="19">
        <f>NPV($E57,CH53:$DM53)</f>
        <v>0</v>
      </c>
      <c r="CI57" s="19">
        <f>NPV($E57,CI53:$DM53)</f>
        <v>0</v>
      </c>
      <c r="CJ57" s="19">
        <f>NPV($E57,CJ53:$DM53)</f>
        <v>0</v>
      </c>
      <c r="CK57" s="19">
        <f>NPV($E57,CK53:$DM53)</f>
        <v>0</v>
      </c>
      <c r="CL57" s="19">
        <f>NPV($E57,CL53:$DM53)</f>
        <v>0</v>
      </c>
      <c r="CM57" s="19">
        <f>NPV($E57,CM53:$DM53)</f>
        <v>0</v>
      </c>
      <c r="CN57" s="19">
        <f>NPV($E57,CN53:$DM53)</f>
        <v>0</v>
      </c>
      <c r="CO57" s="19">
        <f>NPV($E57,CO53:$DM53)</f>
        <v>0</v>
      </c>
      <c r="CP57" s="19">
        <f>NPV($E57,CP53:$DM53)</f>
        <v>0</v>
      </c>
      <c r="CQ57" s="19">
        <f>NPV($E57,CQ53:$DM53)</f>
        <v>0</v>
      </c>
      <c r="CR57" s="19">
        <f>NPV($E57,CR53:$DM53)</f>
        <v>0</v>
      </c>
      <c r="CS57" s="19">
        <f>NPV($E57,CS53:$DM53)</f>
        <v>0</v>
      </c>
      <c r="CT57" s="19">
        <f>NPV($E57,CT53:$DM53)</f>
        <v>0</v>
      </c>
      <c r="CU57" s="19">
        <f>NPV($E57,CU53:$DM53)</f>
        <v>0</v>
      </c>
      <c r="CV57" s="19">
        <f>NPV($E57,CV53:$DM53)</f>
        <v>0</v>
      </c>
      <c r="CW57" s="19">
        <f>NPV($E57,CW53:$DM53)</f>
        <v>0</v>
      </c>
      <c r="CX57" s="19">
        <f>NPV($E57,CX53:$DM53)</f>
        <v>0</v>
      </c>
      <c r="CY57" s="19">
        <f>NPV($E57,CY53:$DM53)</f>
        <v>0</v>
      </c>
      <c r="CZ57" s="19">
        <f>NPV($E57,CZ53:$DM53)</f>
        <v>0</v>
      </c>
      <c r="DA57" s="19">
        <f>NPV($E57,DA53:$DM53)</f>
        <v>0</v>
      </c>
      <c r="DB57" s="19">
        <f>NPV($E57,DB53:$DM53)</f>
        <v>0</v>
      </c>
      <c r="DC57" s="19">
        <f>NPV($E57,DC53:$DM53)</f>
        <v>0</v>
      </c>
      <c r="DD57" s="19">
        <f>NPV($E57,DD53:$DM53)</f>
        <v>0</v>
      </c>
      <c r="DE57" s="19">
        <f>NPV($E57,DE53:$DM53)</f>
        <v>0</v>
      </c>
      <c r="DF57" s="19">
        <f>NPV($E57,DF53:$DM53)</f>
        <v>0</v>
      </c>
      <c r="DG57" s="19">
        <f>NPV($E57,DG53:$DM53)</f>
        <v>0</v>
      </c>
      <c r="DH57" s="19">
        <f>NPV($E57,DH53:$DM53)</f>
        <v>0</v>
      </c>
      <c r="DI57" s="19">
        <f>NPV($E57,DI53:$DM53)</f>
        <v>0</v>
      </c>
      <c r="DJ57" s="19">
        <f>NPV($E57,DJ53:$DM53)</f>
        <v>0</v>
      </c>
      <c r="DK57" s="19">
        <f>NPV($E57,DK53:$DM53)</f>
        <v>0</v>
      </c>
      <c r="DL57" s="19">
        <f>NPV($E57,DL53:$DM53)</f>
        <v>0</v>
      </c>
      <c r="DM57" s="19">
        <f>NPV($E57,DM53:$DM53)</f>
        <v>0</v>
      </c>
    </row>
    <row r="58" spans="3:117" outlineLevel="1" x14ac:dyDescent="0.15">
      <c r="D58" s="5"/>
    </row>
    <row r="59" spans="3:117" outlineLevel="1" x14ac:dyDescent="0.15">
      <c r="C59" t="s">
        <v>44</v>
      </c>
      <c r="D59" s="5" t="s">
        <v>18</v>
      </c>
      <c r="J59" s="52">
        <f>IRR(J53:DM53)</f>
        <v>0.55128786493443349</v>
      </c>
    </row>
    <row r="60" spans="3:117" outlineLevel="1" x14ac:dyDescent="0.15">
      <c r="D60" s="5"/>
    </row>
    <row r="61" spans="3:117" ht="14" outlineLevel="1" x14ac:dyDescent="0.15">
      <c r="C61" s="2" t="s">
        <v>122</v>
      </c>
      <c r="D61" s="5"/>
    </row>
    <row r="62" spans="3:117" outlineLevel="1" x14ac:dyDescent="0.15">
      <c r="C62" t="s">
        <v>174</v>
      </c>
      <c r="D62" s="5" t="s">
        <v>131</v>
      </c>
      <c r="I62" s="35">
        <f t="shared" ref="I62:I63" si="33">SUM(J62:DM62)</f>
        <v>233597000</v>
      </c>
      <c r="J62" s="19">
        <f>Operations!J55</f>
        <v>0</v>
      </c>
      <c r="K62" s="19">
        <f>Operations!K55</f>
        <v>0</v>
      </c>
      <c r="L62" s="19">
        <f>Operations!L55</f>
        <v>0</v>
      </c>
      <c r="M62" s="19">
        <f>Operations!M55</f>
        <v>0</v>
      </c>
      <c r="N62" s="19">
        <f>Operations!N55</f>
        <v>26103000</v>
      </c>
      <c r="O62" s="19">
        <f>Operations!O55</f>
        <v>29059000</v>
      </c>
      <c r="P62" s="19">
        <f>Operations!P55</f>
        <v>29713000</v>
      </c>
      <c r="Q62" s="19">
        <f>Operations!Q55</f>
        <v>29664000</v>
      </c>
      <c r="R62" s="19">
        <f>Operations!R55</f>
        <v>29669000</v>
      </c>
      <c r="S62" s="19">
        <f>Operations!S55</f>
        <v>15533999.999999998</v>
      </c>
      <c r="T62" s="19">
        <f>Operations!T55</f>
        <v>16785000</v>
      </c>
      <c r="U62" s="19">
        <f>Operations!U55</f>
        <v>18109000</v>
      </c>
      <c r="V62" s="19">
        <f>Operations!V55</f>
        <v>15397999.999999998</v>
      </c>
      <c r="W62" s="19">
        <f>Operations!W55</f>
        <v>15750000.000000002</v>
      </c>
      <c r="X62" s="19">
        <f>Operations!X55</f>
        <v>7813000</v>
      </c>
      <c r="Y62" s="19">
        <f>Operations!Y55</f>
        <v>0</v>
      </c>
      <c r="Z62" s="19">
        <f>Operations!Z55</f>
        <v>0</v>
      </c>
      <c r="AA62" s="19">
        <f>Operations!AA55</f>
        <v>0</v>
      </c>
      <c r="AB62" s="19">
        <f>Operations!AB55</f>
        <v>0</v>
      </c>
      <c r="AC62" s="19">
        <f>Operations!AC55</f>
        <v>0</v>
      </c>
      <c r="AD62" s="19">
        <f>Operations!AD55</f>
        <v>0</v>
      </c>
      <c r="AE62" s="19">
        <f>Operations!AE55</f>
        <v>0</v>
      </c>
      <c r="AF62" s="19">
        <f>Operations!AF55</f>
        <v>0</v>
      </c>
      <c r="AG62" s="19">
        <f>Operations!AG55</f>
        <v>0</v>
      </c>
      <c r="AH62" s="19">
        <f>Operations!AH55</f>
        <v>0</v>
      </c>
      <c r="AI62" s="19">
        <f>Operations!AI55</f>
        <v>0</v>
      </c>
      <c r="AJ62" s="19">
        <f>Operations!AJ55</f>
        <v>0</v>
      </c>
      <c r="AK62" s="19">
        <f>Operations!AK55</f>
        <v>0</v>
      </c>
      <c r="AL62" s="19">
        <f>Operations!AL55</f>
        <v>0</v>
      </c>
      <c r="AM62" s="19">
        <f>Operations!AM55</f>
        <v>0</v>
      </c>
      <c r="AN62" s="19">
        <f>Operations!AN55</f>
        <v>0</v>
      </c>
      <c r="AO62" s="19">
        <f>Operations!AO55</f>
        <v>0</v>
      </c>
      <c r="AP62" s="19">
        <f>Operations!AP55</f>
        <v>0</v>
      </c>
      <c r="AQ62" s="19">
        <f>Operations!AQ55</f>
        <v>0</v>
      </c>
      <c r="AR62" s="19">
        <f>Operations!AR55</f>
        <v>0</v>
      </c>
      <c r="AS62" s="19">
        <f>Operations!AS55</f>
        <v>0</v>
      </c>
      <c r="AT62" s="19">
        <f>Operations!AT55</f>
        <v>0</v>
      </c>
      <c r="AU62" s="19">
        <f>Operations!AU55</f>
        <v>0</v>
      </c>
      <c r="AV62" s="19">
        <f>Operations!AV55</f>
        <v>0</v>
      </c>
      <c r="AW62" s="19">
        <f>Operations!AW55</f>
        <v>0</v>
      </c>
      <c r="AX62" s="19">
        <f>Operations!AX55</f>
        <v>0</v>
      </c>
      <c r="AY62" s="19">
        <f>Operations!AY55</f>
        <v>0</v>
      </c>
      <c r="AZ62" s="19">
        <f>Operations!AZ55</f>
        <v>0</v>
      </c>
      <c r="BA62" s="19">
        <f>Operations!BA55</f>
        <v>0</v>
      </c>
      <c r="BB62" s="19">
        <f>Operations!BB55</f>
        <v>0</v>
      </c>
      <c r="BC62" s="19">
        <f>Operations!BC55</f>
        <v>0</v>
      </c>
      <c r="BD62" s="19">
        <f>Operations!BD55</f>
        <v>0</v>
      </c>
      <c r="BE62" s="19">
        <f>Operations!BE55</f>
        <v>0</v>
      </c>
      <c r="BF62" s="19">
        <f>Operations!BF55</f>
        <v>0</v>
      </c>
      <c r="BG62" s="19">
        <f>Operations!BG55</f>
        <v>0</v>
      </c>
      <c r="BH62" s="19">
        <f>Operations!BH55</f>
        <v>0</v>
      </c>
      <c r="BI62" s="19">
        <f>Operations!BI55</f>
        <v>0</v>
      </c>
      <c r="BJ62" s="19">
        <f>Operations!BJ55</f>
        <v>0</v>
      </c>
      <c r="BK62" s="19">
        <f>Operations!BK55</f>
        <v>0</v>
      </c>
      <c r="BL62" s="19">
        <f>Operations!BL55</f>
        <v>0</v>
      </c>
      <c r="BM62" s="19">
        <f>Operations!BM55</f>
        <v>0</v>
      </c>
      <c r="BN62" s="19">
        <f>Operations!BN55</f>
        <v>0</v>
      </c>
      <c r="BO62" s="19">
        <f>Operations!BO55</f>
        <v>0</v>
      </c>
      <c r="BP62" s="19">
        <f>Operations!BP55</f>
        <v>0</v>
      </c>
      <c r="BQ62" s="19">
        <f>Operations!BQ55</f>
        <v>0</v>
      </c>
      <c r="BR62" s="19">
        <f>Operations!BR55</f>
        <v>0</v>
      </c>
      <c r="BS62" s="19">
        <f>Operations!BS55</f>
        <v>0</v>
      </c>
      <c r="BT62" s="19">
        <f>Operations!BT55</f>
        <v>0</v>
      </c>
      <c r="BU62" s="19">
        <f>Operations!BU55</f>
        <v>0</v>
      </c>
      <c r="BV62" s="19">
        <f>Operations!BV55</f>
        <v>0</v>
      </c>
      <c r="BW62" s="19">
        <f>Operations!BW55</f>
        <v>0</v>
      </c>
      <c r="BX62" s="19">
        <f>Operations!BX55</f>
        <v>0</v>
      </c>
      <c r="BY62" s="19">
        <f>Operations!BY55</f>
        <v>0</v>
      </c>
      <c r="BZ62" s="19">
        <f>Operations!BZ55</f>
        <v>0</v>
      </c>
      <c r="CA62" s="19">
        <f>Operations!CA55</f>
        <v>0</v>
      </c>
      <c r="CB62" s="19">
        <f>Operations!CB55</f>
        <v>0</v>
      </c>
      <c r="CC62" s="19">
        <f>Operations!CC55</f>
        <v>0</v>
      </c>
      <c r="CD62" s="19">
        <f>Operations!CD55</f>
        <v>0</v>
      </c>
      <c r="CE62" s="19">
        <f>Operations!CE55</f>
        <v>0</v>
      </c>
      <c r="CF62" s="19">
        <f>Operations!CF55</f>
        <v>0</v>
      </c>
      <c r="CG62" s="19">
        <f>Operations!CG55</f>
        <v>0</v>
      </c>
      <c r="CH62" s="19">
        <f>Operations!CH55</f>
        <v>0</v>
      </c>
      <c r="CI62" s="19">
        <f>Operations!CI55</f>
        <v>0</v>
      </c>
      <c r="CJ62" s="19">
        <f>Operations!CJ55</f>
        <v>0</v>
      </c>
      <c r="CK62" s="19">
        <f>Operations!CK55</f>
        <v>0</v>
      </c>
      <c r="CL62" s="19">
        <f>Operations!CL55</f>
        <v>0</v>
      </c>
      <c r="CM62" s="19">
        <f>Operations!CM55</f>
        <v>0</v>
      </c>
      <c r="CN62" s="19">
        <f>Operations!CN55</f>
        <v>0</v>
      </c>
      <c r="CO62" s="19">
        <f>Operations!CO55</f>
        <v>0</v>
      </c>
      <c r="CP62" s="19">
        <f>Operations!CP55</f>
        <v>0</v>
      </c>
      <c r="CQ62" s="19">
        <f>Operations!CQ55</f>
        <v>0</v>
      </c>
      <c r="CR62" s="19">
        <f>Operations!CR55</f>
        <v>0</v>
      </c>
      <c r="CS62" s="19">
        <f>Operations!CS55</f>
        <v>0</v>
      </c>
      <c r="CT62" s="19">
        <f>Operations!CT55</f>
        <v>0</v>
      </c>
      <c r="CU62" s="19">
        <f>Operations!CU55</f>
        <v>0</v>
      </c>
      <c r="CV62" s="19">
        <f>Operations!CV55</f>
        <v>0</v>
      </c>
      <c r="CW62" s="19">
        <f>Operations!CW55</f>
        <v>0</v>
      </c>
      <c r="CX62" s="19">
        <f>Operations!CX55</f>
        <v>0</v>
      </c>
      <c r="CY62" s="19">
        <f>Operations!CY55</f>
        <v>0</v>
      </c>
      <c r="CZ62" s="19">
        <f>Operations!CZ55</f>
        <v>0</v>
      </c>
      <c r="DA62" s="19">
        <f>Operations!DA55</f>
        <v>0</v>
      </c>
      <c r="DB62" s="19">
        <f>Operations!DB55</f>
        <v>0</v>
      </c>
      <c r="DC62" s="19">
        <f>Operations!DC55</f>
        <v>0</v>
      </c>
      <c r="DD62" s="19">
        <f>Operations!DD55</f>
        <v>0</v>
      </c>
      <c r="DE62" s="19">
        <f>Operations!DE55</f>
        <v>0</v>
      </c>
      <c r="DF62" s="19">
        <f>Operations!DF55</f>
        <v>0</v>
      </c>
      <c r="DG62" s="19">
        <f>Operations!DG55</f>
        <v>0</v>
      </c>
      <c r="DH62" s="19">
        <f>Operations!DH55</f>
        <v>0</v>
      </c>
      <c r="DI62" s="19">
        <f>Operations!DI55</f>
        <v>0</v>
      </c>
      <c r="DJ62" s="19">
        <f>Operations!DJ55</f>
        <v>0</v>
      </c>
      <c r="DK62" s="19">
        <f>Operations!DK55</f>
        <v>0</v>
      </c>
      <c r="DL62" s="19">
        <f>Operations!DL55</f>
        <v>0</v>
      </c>
      <c r="DM62" s="19">
        <f>Operations!DM55</f>
        <v>0</v>
      </c>
    </row>
    <row r="63" spans="3:117" outlineLevel="1" x14ac:dyDescent="0.15">
      <c r="C63" t="s">
        <v>83</v>
      </c>
      <c r="D63" s="5" t="s">
        <v>167</v>
      </c>
      <c r="I63" s="35">
        <f t="shared" si="33"/>
        <v>3237566917.5</v>
      </c>
      <c r="J63" s="37">
        <f t="shared" ref="J63:AO63" si="34">-J18</f>
        <v>0</v>
      </c>
      <c r="K63" s="37">
        <f t="shared" si="34"/>
        <v>0</v>
      </c>
      <c r="L63" s="37">
        <f t="shared" si="34"/>
        <v>0</v>
      </c>
      <c r="M63" s="37">
        <f t="shared" si="34"/>
        <v>0</v>
      </c>
      <c r="N63" s="37">
        <f t="shared" si="34"/>
        <v>275178194.7982496</v>
      </c>
      <c r="O63" s="37">
        <f t="shared" si="34"/>
        <v>318109918.80852932</v>
      </c>
      <c r="P63" s="37">
        <f t="shared" si="34"/>
        <v>312520873.35832947</v>
      </c>
      <c r="Q63" s="37">
        <f t="shared" si="34"/>
        <v>302294457.1182341</v>
      </c>
      <c r="R63" s="37">
        <f t="shared" si="34"/>
        <v>312049110.36835682</v>
      </c>
      <c r="S63" s="37">
        <f t="shared" si="34"/>
        <v>305397231.67822289</v>
      </c>
      <c r="T63" s="37">
        <f t="shared" si="34"/>
        <v>300382202.71812195</v>
      </c>
      <c r="U63" s="37">
        <f t="shared" si="34"/>
        <v>298029803.86811137</v>
      </c>
      <c r="V63" s="37">
        <f t="shared" si="34"/>
        <v>292666509.00800341</v>
      </c>
      <c r="W63" s="37">
        <f t="shared" si="34"/>
        <v>287103825.94803566</v>
      </c>
      <c r="X63" s="37">
        <f t="shared" si="34"/>
        <v>233834789.8278057</v>
      </c>
      <c r="Y63" s="37">
        <f t="shared" si="34"/>
        <v>0</v>
      </c>
      <c r="Z63" s="37">
        <f t="shared" si="34"/>
        <v>0</v>
      </c>
      <c r="AA63" s="37">
        <f t="shared" si="34"/>
        <v>0</v>
      </c>
      <c r="AB63" s="37">
        <f t="shared" si="34"/>
        <v>0</v>
      </c>
      <c r="AC63" s="37">
        <f t="shared" si="34"/>
        <v>0</v>
      </c>
      <c r="AD63" s="37">
        <f t="shared" si="34"/>
        <v>0</v>
      </c>
      <c r="AE63" s="37">
        <f t="shared" si="34"/>
        <v>0</v>
      </c>
      <c r="AF63" s="37">
        <f t="shared" si="34"/>
        <v>0</v>
      </c>
      <c r="AG63" s="37">
        <f t="shared" si="34"/>
        <v>0</v>
      </c>
      <c r="AH63" s="37">
        <f t="shared" si="34"/>
        <v>0</v>
      </c>
      <c r="AI63" s="37">
        <f t="shared" si="34"/>
        <v>0</v>
      </c>
      <c r="AJ63" s="37">
        <f t="shared" si="34"/>
        <v>0</v>
      </c>
      <c r="AK63" s="37">
        <f t="shared" si="34"/>
        <v>0</v>
      </c>
      <c r="AL63" s="37">
        <f t="shared" si="34"/>
        <v>0</v>
      </c>
      <c r="AM63" s="37">
        <f t="shared" si="34"/>
        <v>0</v>
      </c>
      <c r="AN63" s="37">
        <f t="shared" si="34"/>
        <v>0</v>
      </c>
      <c r="AO63" s="37">
        <f t="shared" si="34"/>
        <v>0</v>
      </c>
      <c r="AP63" s="37">
        <f t="shared" ref="AP63:BU63" si="35">-AP18</f>
        <v>0</v>
      </c>
      <c r="AQ63" s="37">
        <f t="shared" si="35"/>
        <v>0</v>
      </c>
      <c r="AR63" s="37">
        <f t="shared" si="35"/>
        <v>0</v>
      </c>
      <c r="AS63" s="37">
        <f t="shared" si="35"/>
        <v>0</v>
      </c>
      <c r="AT63" s="37">
        <f t="shared" si="35"/>
        <v>0</v>
      </c>
      <c r="AU63" s="37">
        <f t="shared" si="35"/>
        <v>0</v>
      </c>
      <c r="AV63" s="37">
        <f t="shared" si="35"/>
        <v>0</v>
      </c>
      <c r="AW63" s="37">
        <f t="shared" si="35"/>
        <v>0</v>
      </c>
      <c r="AX63" s="37">
        <f t="shared" si="35"/>
        <v>0</v>
      </c>
      <c r="AY63" s="37">
        <f t="shared" si="35"/>
        <v>0</v>
      </c>
      <c r="AZ63" s="37">
        <f t="shared" si="35"/>
        <v>0</v>
      </c>
      <c r="BA63" s="37">
        <f t="shared" si="35"/>
        <v>0</v>
      </c>
      <c r="BB63" s="37">
        <f t="shared" si="35"/>
        <v>0</v>
      </c>
      <c r="BC63" s="37">
        <f t="shared" si="35"/>
        <v>0</v>
      </c>
      <c r="BD63" s="37">
        <f t="shared" si="35"/>
        <v>0</v>
      </c>
      <c r="BE63" s="37">
        <f t="shared" si="35"/>
        <v>0</v>
      </c>
      <c r="BF63" s="37">
        <f t="shared" si="35"/>
        <v>0</v>
      </c>
      <c r="BG63" s="37">
        <f t="shared" si="35"/>
        <v>0</v>
      </c>
      <c r="BH63" s="37">
        <f t="shared" si="35"/>
        <v>0</v>
      </c>
      <c r="BI63" s="37">
        <f t="shared" si="35"/>
        <v>0</v>
      </c>
      <c r="BJ63" s="37">
        <f t="shared" si="35"/>
        <v>0</v>
      </c>
      <c r="BK63" s="37">
        <f t="shared" si="35"/>
        <v>0</v>
      </c>
      <c r="BL63" s="37">
        <f t="shared" si="35"/>
        <v>0</v>
      </c>
      <c r="BM63" s="37">
        <f t="shared" si="35"/>
        <v>0</v>
      </c>
      <c r="BN63" s="37">
        <f t="shared" si="35"/>
        <v>0</v>
      </c>
      <c r="BO63" s="37">
        <f t="shared" si="35"/>
        <v>0</v>
      </c>
      <c r="BP63" s="37">
        <f t="shared" si="35"/>
        <v>0</v>
      </c>
      <c r="BQ63" s="37">
        <f t="shared" si="35"/>
        <v>0</v>
      </c>
      <c r="BR63" s="37">
        <f t="shared" si="35"/>
        <v>0</v>
      </c>
      <c r="BS63" s="37">
        <f t="shared" si="35"/>
        <v>0</v>
      </c>
      <c r="BT63" s="37">
        <f t="shared" si="35"/>
        <v>0</v>
      </c>
      <c r="BU63" s="37">
        <f t="shared" si="35"/>
        <v>0</v>
      </c>
      <c r="BV63" s="37">
        <f t="shared" ref="BV63:DA63" si="36">-BV18</f>
        <v>0</v>
      </c>
      <c r="BW63" s="37">
        <f t="shared" si="36"/>
        <v>0</v>
      </c>
      <c r="BX63" s="37">
        <f t="shared" si="36"/>
        <v>0</v>
      </c>
      <c r="BY63" s="37">
        <f t="shared" si="36"/>
        <v>0</v>
      </c>
      <c r="BZ63" s="37">
        <f t="shared" si="36"/>
        <v>0</v>
      </c>
      <c r="CA63" s="37">
        <f t="shared" si="36"/>
        <v>0</v>
      </c>
      <c r="CB63" s="37">
        <f t="shared" si="36"/>
        <v>0</v>
      </c>
      <c r="CC63" s="37">
        <f t="shared" si="36"/>
        <v>0</v>
      </c>
      <c r="CD63" s="37">
        <f t="shared" si="36"/>
        <v>0</v>
      </c>
      <c r="CE63" s="37">
        <f t="shared" si="36"/>
        <v>0</v>
      </c>
      <c r="CF63" s="37">
        <f t="shared" si="36"/>
        <v>0</v>
      </c>
      <c r="CG63" s="37">
        <f t="shared" si="36"/>
        <v>0</v>
      </c>
      <c r="CH63" s="37">
        <f t="shared" si="36"/>
        <v>0</v>
      </c>
      <c r="CI63" s="37">
        <f t="shared" si="36"/>
        <v>0</v>
      </c>
      <c r="CJ63" s="37">
        <f t="shared" si="36"/>
        <v>0</v>
      </c>
      <c r="CK63" s="37">
        <f t="shared" si="36"/>
        <v>0</v>
      </c>
      <c r="CL63" s="37">
        <f t="shared" si="36"/>
        <v>0</v>
      </c>
      <c r="CM63" s="37">
        <f t="shared" si="36"/>
        <v>0</v>
      </c>
      <c r="CN63" s="37">
        <f t="shared" si="36"/>
        <v>0</v>
      </c>
      <c r="CO63" s="37">
        <f t="shared" si="36"/>
        <v>0</v>
      </c>
      <c r="CP63" s="37">
        <f t="shared" si="36"/>
        <v>0</v>
      </c>
      <c r="CQ63" s="37">
        <f t="shared" si="36"/>
        <v>0</v>
      </c>
      <c r="CR63" s="37">
        <f t="shared" si="36"/>
        <v>0</v>
      </c>
      <c r="CS63" s="37">
        <f t="shared" si="36"/>
        <v>0</v>
      </c>
      <c r="CT63" s="37">
        <f t="shared" si="36"/>
        <v>0</v>
      </c>
      <c r="CU63" s="37">
        <f t="shared" si="36"/>
        <v>0</v>
      </c>
      <c r="CV63" s="37">
        <f t="shared" si="36"/>
        <v>0</v>
      </c>
      <c r="CW63" s="37">
        <f t="shared" si="36"/>
        <v>0</v>
      </c>
      <c r="CX63" s="37">
        <f t="shared" si="36"/>
        <v>0</v>
      </c>
      <c r="CY63" s="37">
        <f t="shared" si="36"/>
        <v>0</v>
      </c>
      <c r="CZ63" s="37">
        <f t="shared" si="36"/>
        <v>0</v>
      </c>
      <c r="DA63" s="37">
        <f t="shared" si="36"/>
        <v>0</v>
      </c>
      <c r="DB63" s="37">
        <f t="shared" ref="DB63:DM63" si="37">-DB18</f>
        <v>0</v>
      </c>
      <c r="DC63" s="37">
        <f t="shared" si="37"/>
        <v>0</v>
      </c>
      <c r="DD63" s="37">
        <f t="shared" si="37"/>
        <v>0</v>
      </c>
      <c r="DE63" s="37">
        <f t="shared" si="37"/>
        <v>0</v>
      </c>
      <c r="DF63" s="37">
        <f t="shared" si="37"/>
        <v>0</v>
      </c>
      <c r="DG63" s="37">
        <f t="shared" si="37"/>
        <v>0</v>
      </c>
      <c r="DH63" s="37">
        <f t="shared" si="37"/>
        <v>0</v>
      </c>
      <c r="DI63" s="37">
        <f t="shared" si="37"/>
        <v>0</v>
      </c>
      <c r="DJ63" s="37">
        <f t="shared" si="37"/>
        <v>0</v>
      </c>
      <c r="DK63" s="37">
        <f t="shared" si="37"/>
        <v>0</v>
      </c>
      <c r="DL63" s="37">
        <f t="shared" si="37"/>
        <v>0</v>
      </c>
      <c r="DM63" s="37">
        <f t="shared" si="37"/>
        <v>0</v>
      </c>
    </row>
    <row r="64" spans="3:117" outlineLevel="1" x14ac:dyDescent="0.15">
      <c r="C64" t="s">
        <v>121</v>
      </c>
      <c r="D64" s="5" t="s">
        <v>297</v>
      </c>
      <c r="I64" s="99">
        <f>IF(I62=0,0,I63/I62)</f>
        <v>13.85962541256951</v>
      </c>
      <c r="J64" s="39">
        <f>IF(J62=0,0,J63/J62)</f>
        <v>0</v>
      </c>
      <c r="K64" s="39">
        <f t="shared" ref="K64:BV64" si="38">IF(K62=0,0,K63/K62)</f>
        <v>0</v>
      </c>
      <c r="L64" s="39">
        <f t="shared" si="38"/>
        <v>0</v>
      </c>
      <c r="M64" s="39">
        <f t="shared" si="38"/>
        <v>0</v>
      </c>
      <c r="N64" s="39">
        <f t="shared" si="38"/>
        <v>10.54201412857716</v>
      </c>
      <c r="O64" s="39">
        <f t="shared" si="38"/>
        <v>10.947035989143787</v>
      </c>
      <c r="P64" s="39">
        <f t="shared" si="38"/>
        <v>10.517984496965283</v>
      </c>
      <c r="Q64" s="39">
        <f t="shared" si="38"/>
        <v>10.190616812238204</v>
      </c>
      <c r="R64" s="39">
        <f t="shared" si="38"/>
        <v>10.517682104835243</v>
      </c>
      <c r="S64" s="39">
        <f t="shared" si="38"/>
        <v>19.659922214382835</v>
      </c>
      <c r="T64" s="39">
        <f t="shared" si="38"/>
        <v>17.895871475610484</v>
      </c>
      <c r="U64" s="39">
        <f t="shared" si="38"/>
        <v>16.457551707333998</v>
      </c>
      <c r="V64" s="39">
        <f t="shared" si="38"/>
        <v>19.00678718067304</v>
      </c>
      <c r="W64" s="39">
        <f t="shared" si="38"/>
        <v>18.228814345907022</v>
      </c>
      <c r="X64" s="39">
        <f t="shared" si="38"/>
        <v>29.928937645949787</v>
      </c>
      <c r="Y64" s="39">
        <f t="shared" si="38"/>
        <v>0</v>
      </c>
      <c r="Z64" s="39">
        <f t="shared" si="38"/>
        <v>0</v>
      </c>
      <c r="AA64" s="39">
        <f t="shared" si="38"/>
        <v>0</v>
      </c>
      <c r="AB64" s="39">
        <f t="shared" si="38"/>
        <v>0</v>
      </c>
      <c r="AC64" s="39">
        <f t="shared" si="38"/>
        <v>0</v>
      </c>
      <c r="AD64" s="39">
        <f t="shared" si="38"/>
        <v>0</v>
      </c>
      <c r="AE64" s="39">
        <f t="shared" si="38"/>
        <v>0</v>
      </c>
      <c r="AF64" s="39">
        <f t="shared" si="38"/>
        <v>0</v>
      </c>
      <c r="AG64" s="39">
        <f t="shared" si="38"/>
        <v>0</v>
      </c>
      <c r="AH64" s="39">
        <f t="shared" si="38"/>
        <v>0</v>
      </c>
      <c r="AI64" s="39">
        <f t="shared" si="38"/>
        <v>0</v>
      </c>
      <c r="AJ64" s="39">
        <f t="shared" si="38"/>
        <v>0</v>
      </c>
      <c r="AK64" s="39">
        <f t="shared" si="38"/>
        <v>0</v>
      </c>
      <c r="AL64" s="39">
        <f t="shared" si="38"/>
        <v>0</v>
      </c>
      <c r="AM64" s="39">
        <f t="shared" si="38"/>
        <v>0</v>
      </c>
      <c r="AN64" s="39">
        <f t="shared" si="38"/>
        <v>0</v>
      </c>
      <c r="AO64" s="39">
        <f t="shared" si="38"/>
        <v>0</v>
      </c>
      <c r="AP64" s="39">
        <f t="shared" si="38"/>
        <v>0</v>
      </c>
      <c r="AQ64" s="39">
        <f t="shared" si="38"/>
        <v>0</v>
      </c>
      <c r="AR64" s="39">
        <f t="shared" si="38"/>
        <v>0</v>
      </c>
      <c r="AS64" s="39">
        <f t="shared" si="38"/>
        <v>0</v>
      </c>
      <c r="AT64" s="39">
        <f t="shared" si="38"/>
        <v>0</v>
      </c>
      <c r="AU64" s="39">
        <f t="shared" si="38"/>
        <v>0</v>
      </c>
      <c r="AV64" s="39">
        <f t="shared" si="38"/>
        <v>0</v>
      </c>
      <c r="AW64" s="39">
        <f t="shared" si="38"/>
        <v>0</v>
      </c>
      <c r="AX64" s="39">
        <f t="shared" si="38"/>
        <v>0</v>
      </c>
      <c r="AY64" s="39">
        <f t="shared" si="38"/>
        <v>0</v>
      </c>
      <c r="AZ64" s="39">
        <f t="shared" si="38"/>
        <v>0</v>
      </c>
      <c r="BA64" s="39">
        <f t="shared" si="38"/>
        <v>0</v>
      </c>
      <c r="BB64" s="39">
        <f t="shared" si="38"/>
        <v>0</v>
      </c>
      <c r="BC64" s="39">
        <f t="shared" si="38"/>
        <v>0</v>
      </c>
      <c r="BD64" s="39">
        <f t="shared" si="38"/>
        <v>0</v>
      </c>
      <c r="BE64" s="39">
        <f t="shared" si="38"/>
        <v>0</v>
      </c>
      <c r="BF64" s="39">
        <f t="shared" si="38"/>
        <v>0</v>
      </c>
      <c r="BG64" s="39">
        <f t="shared" si="38"/>
        <v>0</v>
      </c>
      <c r="BH64" s="39">
        <f t="shared" si="38"/>
        <v>0</v>
      </c>
      <c r="BI64" s="39">
        <f t="shared" si="38"/>
        <v>0</v>
      </c>
      <c r="BJ64" s="39">
        <f t="shared" si="38"/>
        <v>0</v>
      </c>
      <c r="BK64" s="39">
        <f t="shared" si="38"/>
        <v>0</v>
      </c>
      <c r="BL64" s="39">
        <f t="shared" si="38"/>
        <v>0</v>
      </c>
      <c r="BM64" s="39">
        <f t="shared" si="38"/>
        <v>0</v>
      </c>
      <c r="BN64" s="39">
        <f t="shared" si="38"/>
        <v>0</v>
      </c>
      <c r="BO64" s="39">
        <f t="shared" si="38"/>
        <v>0</v>
      </c>
      <c r="BP64" s="39">
        <f t="shared" si="38"/>
        <v>0</v>
      </c>
      <c r="BQ64" s="39">
        <f t="shared" si="38"/>
        <v>0</v>
      </c>
      <c r="BR64" s="39">
        <f t="shared" si="38"/>
        <v>0</v>
      </c>
      <c r="BS64" s="39">
        <f t="shared" si="38"/>
        <v>0</v>
      </c>
      <c r="BT64" s="39">
        <f t="shared" si="38"/>
        <v>0</v>
      </c>
      <c r="BU64" s="39">
        <f t="shared" si="38"/>
        <v>0</v>
      </c>
      <c r="BV64" s="39">
        <f t="shared" si="38"/>
        <v>0</v>
      </c>
      <c r="BW64" s="39">
        <f t="shared" ref="BW64:DM64" si="39">IF(BW62=0,0,BW63/BW62)</f>
        <v>0</v>
      </c>
      <c r="BX64" s="39">
        <f t="shared" si="39"/>
        <v>0</v>
      </c>
      <c r="BY64" s="39">
        <f t="shared" si="39"/>
        <v>0</v>
      </c>
      <c r="BZ64" s="39">
        <f t="shared" si="39"/>
        <v>0</v>
      </c>
      <c r="CA64" s="39">
        <f t="shared" si="39"/>
        <v>0</v>
      </c>
      <c r="CB64" s="39">
        <f t="shared" si="39"/>
        <v>0</v>
      </c>
      <c r="CC64" s="39">
        <f t="shared" si="39"/>
        <v>0</v>
      </c>
      <c r="CD64" s="39">
        <f t="shared" si="39"/>
        <v>0</v>
      </c>
      <c r="CE64" s="39">
        <f t="shared" si="39"/>
        <v>0</v>
      </c>
      <c r="CF64" s="39">
        <f t="shared" si="39"/>
        <v>0</v>
      </c>
      <c r="CG64" s="39">
        <f t="shared" si="39"/>
        <v>0</v>
      </c>
      <c r="CH64" s="39">
        <f t="shared" si="39"/>
        <v>0</v>
      </c>
      <c r="CI64" s="39">
        <f t="shared" si="39"/>
        <v>0</v>
      </c>
      <c r="CJ64" s="39">
        <f t="shared" si="39"/>
        <v>0</v>
      </c>
      <c r="CK64" s="39">
        <f t="shared" si="39"/>
        <v>0</v>
      </c>
      <c r="CL64" s="39">
        <f t="shared" si="39"/>
        <v>0</v>
      </c>
      <c r="CM64" s="39">
        <f t="shared" si="39"/>
        <v>0</v>
      </c>
      <c r="CN64" s="39">
        <f t="shared" si="39"/>
        <v>0</v>
      </c>
      <c r="CO64" s="39">
        <f t="shared" si="39"/>
        <v>0</v>
      </c>
      <c r="CP64" s="39">
        <f t="shared" si="39"/>
        <v>0</v>
      </c>
      <c r="CQ64" s="39">
        <f t="shared" si="39"/>
        <v>0</v>
      </c>
      <c r="CR64" s="39">
        <f t="shared" si="39"/>
        <v>0</v>
      </c>
      <c r="CS64" s="39">
        <f t="shared" si="39"/>
        <v>0</v>
      </c>
      <c r="CT64" s="39">
        <f t="shared" si="39"/>
        <v>0</v>
      </c>
      <c r="CU64" s="39">
        <f t="shared" si="39"/>
        <v>0</v>
      </c>
      <c r="CV64" s="39">
        <f t="shared" si="39"/>
        <v>0</v>
      </c>
      <c r="CW64" s="39">
        <f t="shared" si="39"/>
        <v>0</v>
      </c>
      <c r="CX64" s="39">
        <f t="shared" si="39"/>
        <v>0</v>
      </c>
      <c r="CY64" s="39">
        <f t="shared" si="39"/>
        <v>0</v>
      </c>
      <c r="CZ64" s="39">
        <f t="shared" si="39"/>
        <v>0</v>
      </c>
      <c r="DA64" s="39">
        <f t="shared" si="39"/>
        <v>0</v>
      </c>
      <c r="DB64" s="39">
        <f t="shared" si="39"/>
        <v>0</v>
      </c>
      <c r="DC64" s="39">
        <f t="shared" si="39"/>
        <v>0</v>
      </c>
      <c r="DD64" s="39">
        <f t="shared" si="39"/>
        <v>0</v>
      </c>
      <c r="DE64" s="39">
        <f t="shared" si="39"/>
        <v>0</v>
      </c>
      <c r="DF64" s="39">
        <f t="shared" si="39"/>
        <v>0</v>
      </c>
      <c r="DG64" s="39">
        <f t="shared" si="39"/>
        <v>0</v>
      </c>
      <c r="DH64" s="39">
        <f t="shared" si="39"/>
        <v>0</v>
      </c>
      <c r="DI64" s="39">
        <f t="shared" si="39"/>
        <v>0</v>
      </c>
      <c r="DJ64" s="39">
        <f t="shared" si="39"/>
        <v>0</v>
      </c>
      <c r="DK64" s="39">
        <f t="shared" si="39"/>
        <v>0</v>
      </c>
      <c r="DL64" s="39">
        <f t="shared" si="39"/>
        <v>0</v>
      </c>
      <c r="DM64" s="39">
        <f t="shared" si="39"/>
        <v>0</v>
      </c>
    </row>
    <row r="65" spans="3:117" outlineLevel="1" x14ac:dyDescent="0.15"/>
    <row r="66" spans="3:117" outlineLevel="1" x14ac:dyDescent="0.15">
      <c r="C66" t="s">
        <v>121</v>
      </c>
      <c r="D66" s="5" t="s">
        <v>132</v>
      </c>
      <c r="I66" s="99">
        <f>I64*Operations!J9</f>
        <v>10.394719059427132</v>
      </c>
      <c r="J66" s="39">
        <f>J64*Operations!J9</f>
        <v>0</v>
      </c>
      <c r="K66" s="39">
        <f>K64*Operations!K9</f>
        <v>0</v>
      </c>
      <c r="L66" s="39">
        <f>L64*Operations!L9</f>
        <v>0</v>
      </c>
      <c r="M66" s="39">
        <f>M64*Operations!M9</f>
        <v>0</v>
      </c>
      <c r="N66" s="39">
        <f>N64*Operations!N9</f>
        <v>7.9065105964328701</v>
      </c>
      <c r="O66" s="39">
        <f>O64*Operations!O9</f>
        <v>8.2102769918578407</v>
      </c>
      <c r="P66" s="39">
        <f>P64*Operations!P9</f>
        <v>7.8884883727239625</v>
      </c>
      <c r="Q66" s="39">
        <f>Q64*Operations!Q9</f>
        <v>7.6429626091786531</v>
      </c>
      <c r="R66" s="39">
        <f>R64*Operations!R9</f>
        <v>7.8882615786264321</v>
      </c>
      <c r="S66" s="39">
        <f>S64*Operations!S9</f>
        <v>14.744941660787127</v>
      </c>
      <c r="T66" s="39">
        <f>T64*Operations!T9</f>
        <v>13.421903606707863</v>
      </c>
      <c r="U66" s="39">
        <f>U64*Operations!U9</f>
        <v>12.343163780500499</v>
      </c>
      <c r="V66" s="39">
        <f>V64*Operations!V9</f>
        <v>14.255090385504779</v>
      </c>
      <c r="W66" s="39">
        <f>W64*Operations!W9</f>
        <v>13.671610759430266</v>
      </c>
      <c r="X66" s="39">
        <f>X64*Operations!X9</f>
        <v>22.446703234462341</v>
      </c>
      <c r="Y66" s="39">
        <f>Y64*Operations!Y9</f>
        <v>0</v>
      </c>
      <c r="Z66" s="39">
        <f>Z64*Operations!Z9</f>
        <v>0</v>
      </c>
      <c r="AA66" s="39">
        <f>AA64*Operations!AA9</f>
        <v>0</v>
      </c>
      <c r="AB66" s="39">
        <f>AB64*Operations!AB9</f>
        <v>0</v>
      </c>
      <c r="AC66" s="39">
        <f>AC64*Operations!AC9</f>
        <v>0</v>
      </c>
      <c r="AD66" s="39">
        <f>AD64*Operations!AD9</f>
        <v>0</v>
      </c>
      <c r="AE66" s="39">
        <f>AE64*Operations!AE9</f>
        <v>0</v>
      </c>
      <c r="AF66" s="39">
        <f>AF64*Operations!AF9</f>
        <v>0</v>
      </c>
      <c r="AG66" s="39">
        <f>AG64*Operations!AG9</f>
        <v>0</v>
      </c>
      <c r="AH66" s="39">
        <f>AH64*Operations!AH9</f>
        <v>0</v>
      </c>
      <c r="AI66" s="39">
        <f>AI64*Operations!AI9</f>
        <v>0</v>
      </c>
      <c r="AJ66" s="39">
        <f>AJ64*Operations!AJ9</f>
        <v>0</v>
      </c>
      <c r="AK66" s="39">
        <f>AK64*Operations!AK9</f>
        <v>0</v>
      </c>
      <c r="AL66" s="39">
        <f>AL64*Operations!AL9</f>
        <v>0</v>
      </c>
      <c r="AM66" s="39">
        <f>AM64*Operations!AM9</f>
        <v>0</v>
      </c>
      <c r="AN66" s="39">
        <f>AN64*Operations!AN9</f>
        <v>0</v>
      </c>
      <c r="AO66" s="39">
        <f>AO64*Operations!AO9</f>
        <v>0</v>
      </c>
      <c r="AP66" s="39">
        <f>AP64*Operations!AP9</f>
        <v>0</v>
      </c>
      <c r="AQ66" s="39">
        <f>AQ64*Operations!AQ9</f>
        <v>0</v>
      </c>
      <c r="AR66" s="39">
        <f>AR64*Operations!AR9</f>
        <v>0</v>
      </c>
      <c r="AS66" s="39">
        <f>AS64*Operations!AS9</f>
        <v>0</v>
      </c>
      <c r="AT66" s="39">
        <f>AT64*Operations!AT9</f>
        <v>0</v>
      </c>
      <c r="AU66" s="39">
        <f>AU64*Operations!AU9</f>
        <v>0</v>
      </c>
      <c r="AV66" s="39">
        <f>AV64*Operations!AV9</f>
        <v>0</v>
      </c>
      <c r="AW66" s="39">
        <f>AW64*Operations!AW9</f>
        <v>0</v>
      </c>
      <c r="AX66" s="39">
        <f>AX64*Operations!AX9</f>
        <v>0</v>
      </c>
      <c r="AY66" s="39">
        <f>AY64*Operations!AY9</f>
        <v>0</v>
      </c>
      <c r="AZ66" s="39">
        <f>AZ64*Operations!AZ9</f>
        <v>0</v>
      </c>
      <c r="BA66" s="39">
        <f>BA64*Operations!BA9</f>
        <v>0</v>
      </c>
      <c r="BB66" s="39">
        <f>BB64*Operations!BB9</f>
        <v>0</v>
      </c>
      <c r="BC66" s="39">
        <f>BC64*Operations!BC9</f>
        <v>0</v>
      </c>
      <c r="BD66" s="39">
        <f>BD64*Operations!BD9</f>
        <v>0</v>
      </c>
      <c r="BE66" s="39">
        <f>BE64*Operations!BE9</f>
        <v>0</v>
      </c>
      <c r="BF66" s="39">
        <f>BF64*Operations!BF9</f>
        <v>0</v>
      </c>
      <c r="BG66" s="39">
        <f>BG64*Operations!BG9</f>
        <v>0</v>
      </c>
      <c r="BH66" s="39">
        <f>BH64*Operations!BH9</f>
        <v>0</v>
      </c>
      <c r="BI66" s="39">
        <f>BI64*Operations!BI9</f>
        <v>0</v>
      </c>
      <c r="BJ66" s="39">
        <f>BJ64*Operations!BJ9</f>
        <v>0</v>
      </c>
      <c r="BK66" s="39">
        <f>BK64*Operations!BK9</f>
        <v>0</v>
      </c>
      <c r="BL66" s="39">
        <f>BL64*Operations!BL9</f>
        <v>0</v>
      </c>
      <c r="BM66" s="39">
        <f>BM64*Operations!BM9</f>
        <v>0</v>
      </c>
      <c r="BN66" s="39">
        <f>BN64*Operations!BN9</f>
        <v>0</v>
      </c>
      <c r="BO66" s="39">
        <f>BO64*Operations!BO9</f>
        <v>0</v>
      </c>
      <c r="BP66" s="39">
        <f>BP64*Operations!BP9</f>
        <v>0</v>
      </c>
      <c r="BQ66" s="39">
        <f>BQ64*Operations!BQ9</f>
        <v>0</v>
      </c>
      <c r="BR66" s="39">
        <f>BR64*Operations!BR9</f>
        <v>0</v>
      </c>
      <c r="BS66" s="39">
        <f>BS64*Operations!BS9</f>
        <v>0</v>
      </c>
      <c r="BT66" s="39">
        <f>BT64*Operations!BT9</f>
        <v>0</v>
      </c>
      <c r="BU66" s="39">
        <f>BU64*Operations!BU9</f>
        <v>0</v>
      </c>
      <c r="BV66" s="39">
        <f>BV64*Operations!BV9</f>
        <v>0</v>
      </c>
      <c r="BW66" s="39">
        <f>BW64*Operations!BW9</f>
        <v>0</v>
      </c>
      <c r="BX66" s="39">
        <f>BX64*Operations!BX9</f>
        <v>0</v>
      </c>
      <c r="BY66" s="39">
        <f>BY64*Operations!BY9</f>
        <v>0</v>
      </c>
      <c r="BZ66" s="39">
        <f>BZ64*Operations!BZ9</f>
        <v>0</v>
      </c>
      <c r="CA66" s="39">
        <f>CA64*Operations!CA9</f>
        <v>0</v>
      </c>
      <c r="CB66" s="39">
        <f>CB64*Operations!CB9</f>
        <v>0</v>
      </c>
      <c r="CC66" s="39">
        <f>CC64*Operations!CC9</f>
        <v>0</v>
      </c>
      <c r="CD66" s="39">
        <f>CD64*Operations!CD9</f>
        <v>0</v>
      </c>
      <c r="CE66" s="39">
        <f>CE64*Operations!CE9</f>
        <v>0</v>
      </c>
      <c r="CF66" s="39">
        <f>CF64*Operations!CF9</f>
        <v>0</v>
      </c>
      <c r="CG66" s="39">
        <f>CG64*Operations!CG9</f>
        <v>0</v>
      </c>
      <c r="CH66" s="39">
        <f>CH64*Operations!CH9</f>
        <v>0</v>
      </c>
      <c r="CI66" s="39">
        <f>CI64*Operations!CI9</f>
        <v>0</v>
      </c>
      <c r="CJ66" s="39">
        <f>CJ64*Operations!CJ9</f>
        <v>0</v>
      </c>
      <c r="CK66" s="39">
        <f>CK64*Operations!CK9</f>
        <v>0</v>
      </c>
      <c r="CL66" s="39">
        <f>CL64*Operations!CL9</f>
        <v>0</v>
      </c>
      <c r="CM66" s="39">
        <f>CM64*Operations!CM9</f>
        <v>0</v>
      </c>
      <c r="CN66" s="39">
        <f>CN64*Operations!CN9</f>
        <v>0</v>
      </c>
      <c r="CO66" s="39">
        <f>CO64*Operations!CO9</f>
        <v>0</v>
      </c>
      <c r="CP66" s="39">
        <f>CP64*Operations!CP9</f>
        <v>0</v>
      </c>
      <c r="CQ66" s="39">
        <f>CQ64*Operations!CQ9</f>
        <v>0</v>
      </c>
      <c r="CR66" s="39">
        <f>CR64*Operations!CR9</f>
        <v>0</v>
      </c>
      <c r="CS66" s="39">
        <f>CS64*Operations!CS9</f>
        <v>0</v>
      </c>
      <c r="CT66" s="39">
        <f>CT64*Operations!CT9</f>
        <v>0</v>
      </c>
      <c r="CU66" s="39">
        <f>CU64*Operations!CU9</f>
        <v>0</v>
      </c>
      <c r="CV66" s="39">
        <f>CV64*Operations!CV9</f>
        <v>0</v>
      </c>
      <c r="CW66" s="39">
        <f>CW64*Operations!CW9</f>
        <v>0</v>
      </c>
      <c r="CX66" s="39">
        <f>CX64*Operations!CX9</f>
        <v>0</v>
      </c>
      <c r="CY66" s="39">
        <f>CY64*Operations!CY9</f>
        <v>0</v>
      </c>
      <c r="CZ66" s="39">
        <f>CZ64*Operations!CZ9</f>
        <v>0</v>
      </c>
      <c r="DA66" s="39">
        <f>DA64*Operations!DA9</f>
        <v>0</v>
      </c>
      <c r="DB66" s="39">
        <f>DB64*Operations!DB9</f>
        <v>0</v>
      </c>
      <c r="DC66" s="39">
        <f>DC64*Operations!DC9</f>
        <v>0</v>
      </c>
      <c r="DD66" s="39">
        <f>DD64*Operations!DD9</f>
        <v>0</v>
      </c>
      <c r="DE66" s="39">
        <f>DE64*Operations!DE9</f>
        <v>0</v>
      </c>
      <c r="DF66" s="39">
        <f>DF64*Operations!DF9</f>
        <v>0</v>
      </c>
      <c r="DG66" s="39">
        <f>DG64*Operations!DG9</f>
        <v>0</v>
      </c>
      <c r="DH66" s="39">
        <f>DH64*Operations!DH9</f>
        <v>0</v>
      </c>
      <c r="DI66" s="39">
        <f>DI64*Operations!DI9</f>
        <v>0</v>
      </c>
      <c r="DJ66" s="39">
        <f>DJ64*Operations!DJ9</f>
        <v>0</v>
      </c>
      <c r="DK66" s="39">
        <f>DK64*Operations!DK9</f>
        <v>0</v>
      </c>
      <c r="DL66" s="39">
        <f>DL64*Operations!DL9</f>
        <v>0</v>
      </c>
      <c r="DM66" s="39">
        <f>DM64*Operations!DM9</f>
        <v>0</v>
      </c>
    </row>
    <row r="67" spans="3:117" outlineLevel="1" x14ac:dyDescent="0.15"/>
    <row r="68" spans="3:117" ht="14" outlineLevel="1" x14ac:dyDescent="0.15">
      <c r="C68" s="2" t="s">
        <v>176</v>
      </c>
    </row>
    <row r="69" spans="3:117" outlineLevel="1" x14ac:dyDescent="0.15">
      <c r="C69" t="s">
        <v>23</v>
      </c>
      <c r="D69" s="5" t="s">
        <v>167</v>
      </c>
      <c r="I69" s="35">
        <f t="shared" ref="I69" si="40">SUM(J69:DM69)</f>
        <v>2897804430.0000005</v>
      </c>
      <c r="J69" s="37">
        <f>-Taxes!J17</f>
        <v>0</v>
      </c>
      <c r="K69" s="37">
        <f>-Taxes!K17</f>
        <v>0</v>
      </c>
      <c r="L69" s="37">
        <f>-Taxes!L17</f>
        <v>0</v>
      </c>
      <c r="M69" s="37">
        <f>-Taxes!M17</f>
        <v>0</v>
      </c>
      <c r="N69" s="37">
        <f>-Taxes!N17</f>
        <v>556826107.50000012</v>
      </c>
      <c r="O69" s="37">
        <f>-Taxes!O17</f>
        <v>592826107.50000012</v>
      </c>
      <c r="P69" s="37">
        <f>-Taxes!P17</f>
        <v>630326107.50000012</v>
      </c>
      <c r="Q69" s="37">
        <f>-Taxes!Q17</f>
        <v>663326107.50000012</v>
      </c>
      <c r="R69" s="37">
        <f>-Taxes!R17</f>
        <v>135000000</v>
      </c>
      <c r="S69" s="37">
        <f>-Taxes!S17</f>
        <v>118500000</v>
      </c>
      <c r="T69" s="37">
        <f>-Taxes!T17</f>
        <v>85500000</v>
      </c>
      <c r="U69" s="37">
        <f>-Taxes!U17</f>
        <v>58000000</v>
      </c>
      <c r="V69" s="37">
        <f>-Taxes!V17</f>
        <v>32000000</v>
      </c>
      <c r="W69" s="37">
        <f>-Taxes!W17</f>
        <v>15000000</v>
      </c>
      <c r="X69" s="37">
        <f>-Taxes!X17</f>
        <v>10500000</v>
      </c>
      <c r="Y69" s="37">
        <f>-Taxes!Y17</f>
        <v>0</v>
      </c>
      <c r="Z69" s="37">
        <f>-Taxes!Z17</f>
        <v>0</v>
      </c>
      <c r="AA69" s="37">
        <f>-Taxes!AA17</f>
        <v>0</v>
      </c>
      <c r="AB69" s="37">
        <f>-Taxes!AB17</f>
        <v>0</v>
      </c>
      <c r="AC69" s="37">
        <f>-Taxes!AC17</f>
        <v>0</v>
      </c>
      <c r="AD69" s="37">
        <f>-Taxes!AD17</f>
        <v>0</v>
      </c>
      <c r="AE69" s="37">
        <f>-Taxes!AE17</f>
        <v>0</v>
      </c>
      <c r="AF69" s="37">
        <f>-Taxes!AF17</f>
        <v>0</v>
      </c>
      <c r="AG69" s="37">
        <f>-Taxes!AG17</f>
        <v>0</v>
      </c>
      <c r="AH69" s="37">
        <f>-Taxes!AH17</f>
        <v>0</v>
      </c>
      <c r="AI69" s="37">
        <f>-Taxes!AI17</f>
        <v>0</v>
      </c>
      <c r="AJ69" s="37">
        <f>-Taxes!AJ17</f>
        <v>0</v>
      </c>
      <c r="AK69" s="37">
        <f>-Taxes!AK17</f>
        <v>0</v>
      </c>
      <c r="AL69" s="37">
        <f>-Taxes!AL17</f>
        <v>0</v>
      </c>
      <c r="AM69" s="37">
        <f>-Taxes!AM17</f>
        <v>0</v>
      </c>
      <c r="AN69" s="37">
        <f>-Taxes!AN17</f>
        <v>0</v>
      </c>
      <c r="AO69" s="37">
        <f>-Taxes!AO17</f>
        <v>0</v>
      </c>
      <c r="AP69" s="37">
        <f>-Taxes!AP17</f>
        <v>0</v>
      </c>
      <c r="AQ69" s="37">
        <f>-Taxes!AQ17</f>
        <v>0</v>
      </c>
      <c r="AR69" s="37">
        <f>-Taxes!AR17</f>
        <v>0</v>
      </c>
      <c r="AS69" s="37">
        <f>-Taxes!AS17</f>
        <v>0</v>
      </c>
      <c r="AT69" s="37">
        <f>-Taxes!AT17</f>
        <v>0</v>
      </c>
      <c r="AU69" s="37">
        <f>-Taxes!AU17</f>
        <v>0</v>
      </c>
      <c r="AV69" s="37">
        <f>-Taxes!AV17</f>
        <v>0</v>
      </c>
      <c r="AW69" s="37">
        <f>-Taxes!AW17</f>
        <v>0</v>
      </c>
      <c r="AX69" s="37">
        <f>-Taxes!AX17</f>
        <v>0</v>
      </c>
      <c r="AY69" s="37">
        <f>-Taxes!AY17</f>
        <v>0</v>
      </c>
      <c r="AZ69" s="37">
        <f>-Taxes!AZ17</f>
        <v>0</v>
      </c>
      <c r="BA69" s="37">
        <f>-Taxes!BA17</f>
        <v>0</v>
      </c>
      <c r="BB69" s="37">
        <f>-Taxes!BB17</f>
        <v>0</v>
      </c>
      <c r="BC69" s="37">
        <f>-Taxes!BC17</f>
        <v>0</v>
      </c>
      <c r="BD69" s="37">
        <f>-Taxes!BD17</f>
        <v>0</v>
      </c>
      <c r="BE69" s="37">
        <f>-Taxes!BE17</f>
        <v>0</v>
      </c>
      <c r="BF69" s="37">
        <f>-Taxes!BF17</f>
        <v>0</v>
      </c>
      <c r="BG69" s="37">
        <f>-Taxes!BG17</f>
        <v>0</v>
      </c>
      <c r="BH69" s="37">
        <f>-Taxes!BH17</f>
        <v>0</v>
      </c>
      <c r="BI69" s="37">
        <f>-Taxes!BI17</f>
        <v>0</v>
      </c>
      <c r="BJ69" s="37">
        <f>-Taxes!BJ17</f>
        <v>0</v>
      </c>
      <c r="BK69" s="37">
        <f>-Taxes!BK17</f>
        <v>0</v>
      </c>
      <c r="BL69" s="37">
        <f>-Taxes!BL17</f>
        <v>0</v>
      </c>
      <c r="BM69" s="37">
        <f>-Taxes!BM17</f>
        <v>0</v>
      </c>
      <c r="BN69" s="37">
        <f>-Taxes!BN17</f>
        <v>0</v>
      </c>
      <c r="BO69" s="37">
        <f>-Taxes!BO17</f>
        <v>0</v>
      </c>
      <c r="BP69" s="37">
        <f>-Taxes!BP17</f>
        <v>0</v>
      </c>
      <c r="BQ69" s="37">
        <f>-Taxes!BQ17</f>
        <v>0</v>
      </c>
      <c r="BR69" s="37">
        <f>-Taxes!BR17</f>
        <v>0</v>
      </c>
      <c r="BS69" s="37">
        <f>-Taxes!BS17</f>
        <v>0</v>
      </c>
      <c r="BT69" s="37">
        <f>-Taxes!BT17</f>
        <v>0</v>
      </c>
      <c r="BU69" s="37">
        <f>-Taxes!BU17</f>
        <v>0</v>
      </c>
      <c r="BV69" s="37">
        <f>-Taxes!BV17</f>
        <v>0</v>
      </c>
      <c r="BW69" s="37">
        <f>-Taxes!BW17</f>
        <v>0</v>
      </c>
      <c r="BX69" s="37">
        <f>-Taxes!BX17</f>
        <v>0</v>
      </c>
      <c r="BY69" s="37">
        <f>-Taxes!BY17</f>
        <v>0</v>
      </c>
      <c r="BZ69" s="37">
        <f>-Taxes!BZ17</f>
        <v>0</v>
      </c>
      <c r="CA69" s="37">
        <f>-Taxes!CA17</f>
        <v>0</v>
      </c>
      <c r="CB69" s="37">
        <f>-Taxes!CB17</f>
        <v>0</v>
      </c>
      <c r="CC69" s="37">
        <f>-Taxes!CC17</f>
        <v>0</v>
      </c>
      <c r="CD69" s="37">
        <f>-Taxes!CD17</f>
        <v>0</v>
      </c>
      <c r="CE69" s="37">
        <f>-Taxes!CE17</f>
        <v>0</v>
      </c>
      <c r="CF69" s="37">
        <f>-Taxes!CF17</f>
        <v>0</v>
      </c>
      <c r="CG69" s="37">
        <f>-Taxes!CG17</f>
        <v>0</v>
      </c>
      <c r="CH69" s="37">
        <f>-Taxes!CH17</f>
        <v>0</v>
      </c>
      <c r="CI69" s="37">
        <f>-Taxes!CI17</f>
        <v>0</v>
      </c>
      <c r="CJ69" s="37">
        <f>-Taxes!CJ17</f>
        <v>0</v>
      </c>
      <c r="CK69" s="37">
        <f>-Taxes!CK17</f>
        <v>0</v>
      </c>
      <c r="CL69" s="37">
        <f>-Taxes!CL17</f>
        <v>0</v>
      </c>
      <c r="CM69" s="37">
        <f>-Taxes!CM17</f>
        <v>0</v>
      </c>
      <c r="CN69" s="37">
        <f>-Taxes!CN17</f>
        <v>0</v>
      </c>
      <c r="CO69" s="37">
        <f>-Taxes!CO17</f>
        <v>0</v>
      </c>
      <c r="CP69" s="37">
        <f>-Taxes!CP17</f>
        <v>0</v>
      </c>
      <c r="CQ69" s="37">
        <f>-Taxes!CQ17</f>
        <v>0</v>
      </c>
      <c r="CR69" s="37">
        <f>-Taxes!CR17</f>
        <v>0</v>
      </c>
      <c r="CS69" s="37">
        <f>-Taxes!CS17</f>
        <v>0</v>
      </c>
      <c r="CT69" s="37">
        <f>-Taxes!CT17</f>
        <v>0</v>
      </c>
      <c r="CU69" s="37">
        <f>-Taxes!CU17</f>
        <v>0</v>
      </c>
      <c r="CV69" s="37">
        <f>-Taxes!CV17</f>
        <v>0</v>
      </c>
      <c r="CW69" s="37">
        <f>-Taxes!CW17</f>
        <v>0</v>
      </c>
      <c r="CX69" s="37">
        <f>-Taxes!CX17</f>
        <v>0</v>
      </c>
      <c r="CY69" s="37">
        <f>-Taxes!CY17</f>
        <v>0</v>
      </c>
      <c r="CZ69" s="37">
        <f>-Taxes!CZ17</f>
        <v>0</v>
      </c>
      <c r="DA69" s="37">
        <f>-Taxes!DA17</f>
        <v>0</v>
      </c>
      <c r="DB69" s="37">
        <f>-Taxes!DB17</f>
        <v>0</v>
      </c>
      <c r="DC69" s="37">
        <f>-Taxes!DC17</f>
        <v>0</v>
      </c>
      <c r="DD69" s="37">
        <f>-Taxes!DD17</f>
        <v>0</v>
      </c>
      <c r="DE69" s="37">
        <f>-Taxes!DE17</f>
        <v>0</v>
      </c>
      <c r="DF69" s="37">
        <f>-Taxes!DF17</f>
        <v>0</v>
      </c>
      <c r="DG69" s="37">
        <f>-Taxes!DG17</f>
        <v>0</v>
      </c>
      <c r="DH69" s="37">
        <f>-Taxes!DH17</f>
        <v>0</v>
      </c>
      <c r="DI69" s="37">
        <f>-Taxes!DI17</f>
        <v>0</v>
      </c>
      <c r="DJ69" s="37">
        <f>-Taxes!DJ17</f>
        <v>0</v>
      </c>
      <c r="DK69" s="37">
        <f>-Taxes!DK17</f>
        <v>0</v>
      </c>
      <c r="DL69" s="37">
        <f>-Taxes!DL17</f>
        <v>0</v>
      </c>
      <c r="DM69" s="37">
        <f>-Taxes!DM17</f>
        <v>0</v>
      </c>
    </row>
    <row r="70" spans="3:117" outlineLevel="1" x14ac:dyDescent="0.15">
      <c r="C70" t="s">
        <v>299</v>
      </c>
      <c r="D70" s="5" t="s">
        <v>297</v>
      </c>
      <c r="I70" s="99">
        <f>IF(I62=0,0,I69/I62)</f>
        <v>12.405144030103129</v>
      </c>
      <c r="J70" s="37">
        <f>IF(J62=0,0,J69/J62)</f>
        <v>0</v>
      </c>
      <c r="K70" s="37">
        <f t="shared" ref="K70:BV70" si="41">IF(K62=0,0,K69/K62)</f>
        <v>0</v>
      </c>
      <c r="L70" s="37">
        <f t="shared" si="41"/>
        <v>0</v>
      </c>
      <c r="M70" s="37">
        <f t="shared" si="41"/>
        <v>0</v>
      </c>
      <c r="N70" s="37">
        <f t="shared" si="41"/>
        <v>21.33188168026664</v>
      </c>
      <c r="O70" s="37">
        <f t="shared" si="41"/>
        <v>20.400774544891433</v>
      </c>
      <c r="P70" s="37">
        <f t="shared" si="41"/>
        <v>21.213815754047054</v>
      </c>
      <c r="Q70" s="37">
        <f t="shared" si="41"/>
        <v>22.361317000404537</v>
      </c>
      <c r="R70" s="37">
        <f t="shared" si="41"/>
        <v>4.5502039165458896</v>
      </c>
      <c r="S70" s="37">
        <f t="shared" si="41"/>
        <v>7.628427964465045</v>
      </c>
      <c r="T70" s="37">
        <f t="shared" si="41"/>
        <v>5.0938337801608577</v>
      </c>
      <c r="U70" s="37">
        <f t="shared" si="41"/>
        <v>3.2028273234303386</v>
      </c>
      <c r="V70" s="37">
        <f t="shared" si="41"/>
        <v>2.0781919729835048</v>
      </c>
      <c r="W70" s="37">
        <f t="shared" si="41"/>
        <v>0.95238095238095222</v>
      </c>
      <c r="X70" s="37">
        <f t="shared" si="41"/>
        <v>1.3439139895046717</v>
      </c>
      <c r="Y70" s="37">
        <f t="shared" si="41"/>
        <v>0</v>
      </c>
      <c r="Z70" s="37">
        <f t="shared" si="41"/>
        <v>0</v>
      </c>
      <c r="AA70" s="37">
        <f t="shared" si="41"/>
        <v>0</v>
      </c>
      <c r="AB70" s="37">
        <f t="shared" si="41"/>
        <v>0</v>
      </c>
      <c r="AC70" s="37">
        <f t="shared" si="41"/>
        <v>0</v>
      </c>
      <c r="AD70" s="37">
        <f t="shared" si="41"/>
        <v>0</v>
      </c>
      <c r="AE70" s="37">
        <f t="shared" si="41"/>
        <v>0</v>
      </c>
      <c r="AF70" s="37">
        <f t="shared" si="41"/>
        <v>0</v>
      </c>
      <c r="AG70" s="37">
        <f t="shared" si="41"/>
        <v>0</v>
      </c>
      <c r="AH70" s="37">
        <f t="shared" si="41"/>
        <v>0</v>
      </c>
      <c r="AI70" s="37">
        <f t="shared" si="41"/>
        <v>0</v>
      </c>
      <c r="AJ70" s="37">
        <f t="shared" si="41"/>
        <v>0</v>
      </c>
      <c r="AK70" s="37">
        <f t="shared" si="41"/>
        <v>0</v>
      </c>
      <c r="AL70" s="37">
        <f t="shared" si="41"/>
        <v>0</v>
      </c>
      <c r="AM70" s="37">
        <f t="shared" si="41"/>
        <v>0</v>
      </c>
      <c r="AN70" s="37">
        <f t="shared" si="41"/>
        <v>0</v>
      </c>
      <c r="AO70" s="37">
        <f t="shared" si="41"/>
        <v>0</v>
      </c>
      <c r="AP70" s="37">
        <f t="shared" si="41"/>
        <v>0</v>
      </c>
      <c r="AQ70" s="37">
        <f t="shared" si="41"/>
        <v>0</v>
      </c>
      <c r="AR70" s="37">
        <f t="shared" si="41"/>
        <v>0</v>
      </c>
      <c r="AS70" s="37">
        <f t="shared" si="41"/>
        <v>0</v>
      </c>
      <c r="AT70" s="37">
        <f t="shared" si="41"/>
        <v>0</v>
      </c>
      <c r="AU70" s="37">
        <f t="shared" si="41"/>
        <v>0</v>
      </c>
      <c r="AV70" s="37">
        <f t="shared" si="41"/>
        <v>0</v>
      </c>
      <c r="AW70" s="37">
        <f t="shared" si="41"/>
        <v>0</v>
      </c>
      <c r="AX70" s="37">
        <f t="shared" si="41"/>
        <v>0</v>
      </c>
      <c r="AY70" s="37">
        <f t="shared" si="41"/>
        <v>0</v>
      </c>
      <c r="AZ70" s="37">
        <f t="shared" si="41"/>
        <v>0</v>
      </c>
      <c r="BA70" s="37">
        <f t="shared" si="41"/>
        <v>0</v>
      </c>
      <c r="BB70" s="37">
        <f t="shared" si="41"/>
        <v>0</v>
      </c>
      <c r="BC70" s="37">
        <f t="shared" si="41"/>
        <v>0</v>
      </c>
      <c r="BD70" s="37">
        <f t="shared" si="41"/>
        <v>0</v>
      </c>
      <c r="BE70" s="37">
        <f t="shared" si="41"/>
        <v>0</v>
      </c>
      <c r="BF70" s="37">
        <f t="shared" si="41"/>
        <v>0</v>
      </c>
      <c r="BG70" s="37">
        <f t="shared" si="41"/>
        <v>0</v>
      </c>
      <c r="BH70" s="37">
        <f t="shared" si="41"/>
        <v>0</v>
      </c>
      <c r="BI70" s="37">
        <f t="shared" si="41"/>
        <v>0</v>
      </c>
      <c r="BJ70" s="37">
        <f t="shared" si="41"/>
        <v>0</v>
      </c>
      <c r="BK70" s="37">
        <f t="shared" si="41"/>
        <v>0</v>
      </c>
      <c r="BL70" s="37">
        <f t="shared" si="41"/>
        <v>0</v>
      </c>
      <c r="BM70" s="37">
        <f t="shared" si="41"/>
        <v>0</v>
      </c>
      <c r="BN70" s="37">
        <f t="shared" si="41"/>
        <v>0</v>
      </c>
      <c r="BO70" s="37">
        <f t="shared" si="41"/>
        <v>0</v>
      </c>
      <c r="BP70" s="37">
        <f t="shared" si="41"/>
        <v>0</v>
      </c>
      <c r="BQ70" s="37">
        <f t="shared" si="41"/>
        <v>0</v>
      </c>
      <c r="BR70" s="37">
        <f t="shared" si="41"/>
        <v>0</v>
      </c>
      <c r="BS70" s="37">
        <f t="shared" si="41"/>
        <v>0</v>
      </c>
      <c r="BT70" s="37">
        <f t="shared" si="41"/>
        <v>0</v>
      </c>
      <c r="BU70" s="37">
        <f t="shared" si="41"/>
        <v>0</v>
      </c>
      <c r="BV70" s="37">
        <f t="shared" si="41"/>
        <v>0</v>
      </c>
      <c r="BW70" s="37">
        <f t="shared" ref="BW70:DM70" si="42">IF(BW62=0,0,BW69/BW62)</f>
        <v>0</v>
      </c>
      <c r="BX70" s="37">
        <f t="shared" si="42"/>
        <v>0</v>
      </c>
      <c r="BY70" s="37">
        <f t="shared" si="42"/>
        <v>0</v>
      </c>
      <c r="BZ70" s="37">
        <f t="shared" si="42"/>
        <v>0</v>
      </c>
      <c r="CA70" s="37">
        <f t="shared" si="42"/>
        <v>0</v>
      </c>
      <c r="CB70" s="37">
        <f t="shared" si="42"/>
        <v>0</v>
      </c>
      <c r="CC70" s="37">
        <f t="shared" si="42"/>
        <v>0</v>
      </c>
      <c r="CD70" s="37">
        <f t="shared" si="42"/>
        <v>0</v>
      </c>
      <c r="CE70" s="37">
        <f t="shared" si="42"/>
        <v>0</v>
      </c>
      <c r="CF70" s="37">
        <f t="shared" si="42"/>
        <v>0</v>
      </c>
      <c r="CG70" s="37">
        <f t="shared" si="42"/>
        <v>0</v>
      </c>
      <c r="CH70" s="37">
        <f t="shared" si="42"/>
        <v>0</v>
      </c>
      <c r="CI70" s="37">
        <f t="shared" si="42"/>
        <v>0</v>
      </c>
      <c r="CJ70" s="37">
        <f t="shared" si="42"/>
        <v>0</v>
      </c>
      <c r="CK70" s="37">
        <f t="shared" si="42"/>
        <v>0</v>
      </c>
      <c r="CL70" s="37">
        <f t="shared" si="42"/>
        <v>0</v>
      </c>
      <c r="CM70" s="37">
        <f t="shared" si="42"/>
        <v>0</v>
      </c>
      <c r="CN70" s="37">
        <f t="shared" si="42"/>
        <v>0</v>
      </c>
      <c r="CO70" s="37">
        <f t="shared" si="42"/>
        <v>0</v>
      </c>
      <c r="CP70" s="37">
        <f t="shared" si="42"/>
        <v>0</v>
      </c>
      <c r="CQ70" s="37">
        <f t="shared" si="42"/>
        <v>0</v>
      </c>
      <c r="CR70" s="37">
        <f t="shared" si="42"/>
        <v>0</v>
      </c>
      <c r="CS70" s="37">
        <f t="shared" si="42"/>
        <v>0</v>
      </c>
      <c r="CT70" s="37">
        <f t="shared" si="42"/>
        <v>0</v>
      </c>
      <c r="CU70" s="37">
        <f t="shared" si="42"/>
        <v>0</v>
      </c>
      <c r="CV70" s="37">
        <f t="shared" si="42"/>
        <v>0</v>
      </c>
      <c r="CW70" s="37">
        <f t="shared" si="42"/>
        <v>0</v>
      </c>
      <c r="CX70" s="37">
        <f t="shared" si="42"/>
        <v>0</v>
      </c>
      <c r="CY70" s="37">
        <f t="shared" si="42"/>
        <v>0</v>
      </c>
      <c r="CZ70" s="37">
        <f t="shared" si="42"/>
        <v>0</v>
      </c>
      <c r="DA70" s="37">
        <f t="shared" si="42"/>
        <v>0</v>
      </c>
      <c r="DB70" s="37">
        <f t="shared" si="42"/>
        <v>0</v>
      </c>
      <c r="DC70" s="37">
        <f t="shared" si="42"/>
        <v>0</v>
      </c>
      <c r="DD70" s="37">
        <f t="shared" si="42"/>
        <v>0</v>
      </c>
      <c r="DE70" s="37">
        <f t="shared" si="42"/>
        <v>0</v>
      </c>
      <c r="DF70" s="37">
        <f t="shared" si="42"/>
        <v>0</v>
      </c>
      <c r="DG70" s="37">
        <f t="shared" si="42"/>
        <v>0</v>
      </c>
      <c r="DH70" s="37">
        <f t="shared" si="42"/>
        <v>0</v>
      </c>
      <c r="DI70" s="37">
        <f t="shared" si="42"/>
        <v>0</v>
      </c>
      <c r="DJ70" s="37">
        <f t="shared" si="42"/>
        <v>0</v>
      </c>
      <c r="DK70" s="37">
        <f t="shared" si="42"/>
        <v>0</v>
      </c>
      <c r="DL70" s="37">
        <f t="shared" si="42"/>
        <v>0</v>
      </c>
      <c r="DM70" s="37">
        <f t="shared" si="42"/>
        <v>0</v>
      </c>
    </row>
    <row r="71" spans="3:117" outlineLevel="1" x14ac:dyDescent="0.15">
      <c r="C71" t="s">
        <v>122</v>
      </c>
      <c r="D71" s="5" t="s">
        <v>297</v>
      </c>
      <c r="I71" s="99">
        <f t="shared" ref="I71:BT71" si="43">I64</f>
        <v>13.85962541256951</v>
      </c>
      <c r="J71" s="37">
        <f t="shared" si="43"/>
        <v>0</v>
      </c>
      <c r="K71" s="37">
        <f t="shared" si="43"/>
        <v>0</v>
      </c>
      <c r="L71" s="37">
        <f t="shared" si="43"/>
        <v>0</v>
      </c>
      <c r="M71" s="37">
        <f t="shared" si="43"/>
        <v>0</v>
      </c>
      <c r="N71" s="37">
        <f t="shared" si="43"/>
        <v>10.54201412857716</v>
      </c>
      <c r="O71" s="37">
        <f t="shared" si="43"/>
        <v>10.947035989143787</v>
      </c>
      <c r="P71" s="37">
        <f t="shared" si="43"/>
        <v>10.517984496965283</v>
      </c>
      <c r="Q71" s="37">
        <f t="shared" si="43"/>
        <v>10.190616812238204</v>
      </c>
      <c r="R71" s="37">
        <f t="shared" si="43"/>
        <v>10.517682104835243</v>
      </c>
      <c r="S71" s="37">
        <f t="shared" si="43"/>
        <v>19.659922214382835</v>
      </c>
      <c r="T71" s="37">
        <f t="shared" si="43"/>
        <v>17.895871475610484</v>
      </c>
      <c r="U71" s="37">
        <f t="shared" si="43"/>
        <v>16.457551707333998</v>
      </c>
      <c r="V71" s="37">
        <f t="shared" si="43"/>
        <v>19.00678718067304</v>
      </c>
      <c r="W71" s="37">
        <f t="shared" si="43"/>
        <v>18.228814345907022</v>
      </c>
      <c r="X71" s="37">
        <f t="shared" si="43"/>
        <v>29.928937645949787</v>
      </c>
      <c r="Y71" s="37">
        <f t="shared" si="43"/>
        <v>0</v>
      </c>
      <c r="Z71" s="37">
        <f t="shared" si="43"/>
        <v>0</v>
      </c>
      <c r="AA71" s="37">
        <f t="shared" si="43"/>
        <v>0</v>
      </c>
      <c r="AB71" s="37">
        <f t="shared" si="43"/>
        <v>0</v>
      </c>
      <c r="AC71" s="37">
        <f t="shared" si="43"/>
        <v>0</v>
      </c>
      <c r="AD71" s="37">
        <f t="shared" si="43"/>
        <v>0</v>
      </c>
      <c r="AE71" s="37">
        <f t="shared" si="43"/>
        <v>0</v>
      </c>
      <c r="AF71" s="37">
        <f t="shared" si="43"/>
        <v>0</v>
      </c>
      <c r="AG71" s="37">
        <f t="shared" si="43"/>
        <v>0</v>
      </c>
      <c r="AH71" s="37">
        <f t="shared" si="43"/>
        <v>0</v>
      </c>
      <c r="AI71" s="37">
        <f t="shared" si="43"/>
        <v>0</v>
      </c>
      <c r="AJ71" s="37">
        <f t="shared" si="43"/>
        <v>0</v>
      </c>
      <c r="AK71" s="37">
        <f t="shared" si="43"/>
        <v>0</v>
      </c>
      <c r="AL71" s="37">
        <f t="shared" si="43"/>
        <v>0</v>
      </c>
      <c r="AM71" s="37">
        <f t="shared" si="43"/>
        <v>0</v>
      </c>
      <c r="AN71" s="37">
        <f t="shared" si="43"/>
        <v>0</v>
      </c>
      <c r="AO71" s="37">
        <f t="shared" si="43"/>
        <v>0</v>
      </c>
      <c r="AP71" s="37">
        <f t="shared" si="43"/>
        <v>0</v>
      </c>
      <c r="AQ71" s="37">
        <f t="shared" si="43"/>
        <v>0</v>
      </c>
      <c r="AR71" s="37">
        <f t="shared" si="43"/>
        <v>0</v>
      </c>
      <c r="AS71" s="37">
        <f t="shared" si="43"/>
        <v>0</v>
      </c>
      <c r="AT71" s="37">
        <f t="shared" si="43"/>
        <v>0</v>
      </c>
      <c r="AU71" s="37">
        <f t="shared" si="43"/>
        <v>0</v>
      </c>
      <c r="AV71" s="37">
        <f t="shared" si="43"/>
        <v>0</v>
      </c>
      <c r="AW71" s="37">
        <f t="shared" si="43"/>
        <v>0</v>
      </c>
      <c r="AX71" s="37">
        <f t="shared" si="43"/>
        <v>0</v>
      </c>
      <c r="AY71" s="37">
        <f t="shared" si="43"/>
        <v>0</v>
      </c>
      <c r="AZ71" s="37">
        <f t="shared" si="43"/>
        <v>0</v>
      </c>
      <c r="BA71" s="37">
        <f t="shared" si="43"/>
        <v>0</v>
      </c>
      <c r="BB71" s="37">
        <f t="shared" si="43"/>
        <v>0</v>
      </c>
      <c r="BC71" s="37">
        <f t="shared" si="43"/>
        <v>0</v>
      </c>
      <c r="BD71" s="37">
        <f t="shared" si="43"/>
        <v>0</v>
      </c>
      <c r="BE71" s="37">
        <f t="shared" si="43"/>
        <v>0</v>
      </c>
      <c r="BF71" s="37">
        <f t="shared" si="43"/>
        <v>0</v>
      </c>
      <c r="BG71" s="37">
        <f t="shared" si="43"/>
        <v>0</v>
      </c>
      <c r="BH71" s="37">
        <f t="shared" si="43"/>
        <v>0</v>
      </c>
      <c r="BI71" s="37">
        <f t="shared" si="43"/>
        <v>0</v>
      </c>
      <c r="BJ71" s="37">
        <f t="shared" si="43"/>
        <v>0</v>
      </c>
      <c r="BK71" s="37">
        <f t="shared" si="43"/>
        <v>0</v>
      </c>
      <c r="BL71" s="37">
        <f t="shared" si="43"/>
        <v>0</v>
      </c>
      <c r="BM71" s="37">
        <f t="shared" si="43"/>
        <v>0</v>
      </c>
      <c r="BN71" s="37">
        <f t="shared" si="43"/>
        <v>0</v>
      </c>
      <c r="BO71" s="37">
        <f t="shared" si="43"/>
        <v>0</v>
      </c>
      <c r="BP71" s="37">
        <f t="shared" si="43"/>
        <v>0</v>
      </c>
      <c r="BQ71" s="37">
        <f t="shared" si="43"/>
        <v>0</v>
      </c>
      <c r="BR71" s="37">
        <f t="shared" si="43"/>
        <v>0</v>
      </c>
      <c r="BS71" s="37">
        <f t="shared" si="43"/>
        <v>0</v>
      </c>
      <c r="BT71" s="37">
        <f t="shared" si="43"/>
        <v>0</v>
      </c>
      <c r="BU71" s="37">
        <f t="shared" ref="BU71:DM71" si="44">BU64</f>
        <v>0</v>
      </c>
      <c r="BV71" s="37">
        <f t="shared" si="44"/>
        <v>0</v>
      </c>
      <c r="BW71" s="37">
        <f t="shared" si="44"/>
        <v>0</v>
      </c>
      <c r="BX71" s="37">
        <f t="shared" si="44"/>
        <v>0</v>
      </c>
      <c r="BY71" s="37">
        <f t="shared" si="44"/>
        <v>0</v>
      </c>
      <c r="BZ71" s="37">
        <f t="shared" si="44"/>
        <v>0</v>
      </c>
      <c r="CA71" s="37">
        <f t="shared" si="44"/>
        <v>0</v>
      </c>
      <c r="CB71" s="37">
        <f t="shared" si="44"/>
        <v>0</v>
      </c>
      <c r="CC71" s="37">
        <f t="shared" si="44"/>
        <v>0</v>
      </c>
      <c r="CD71" s="37">
        <f t="shared" si="44"/>
        <v>0</v>
      </c>
      <c r="CE71" s="37">
        <f t="shared" si="44"/>
        <v>0</v>
      </c>
      <c r="CF71" s="37">
        <f t="shared" si="44"/>
        <v>0</v>
      </c>
      <c r="CG71" s="37">
        <f t="shared" si="44"/>
        <v>0</v>
      </c>
      <c r="CH71" s="37">
        <f t="shared" si="44"/>
        <v>0</v>
      </c>
      <c r="CI71" s="37">
        <f t="shared" si="44"/>
        <v>0</v>
      </c>
      <c r="CJ71" s="37">
        <f t="shared" si="44"/>
        <v>0</v>
      </c>
      <c r="CK71" s="37">
        <f t="shared" si="44"/>
        <v>0</v>
      </c>
      <c r="CL71" s="37">
        <f t="shared" si="44"/>
        <v>0</v>
      </c>
      <c r="CM71" s="37">
        <f t="shared" si="44"/>
        <v>0</v>
      </c>
      <c r="CN71" s="37">
        <f t="shared" si="44"/>
        <v>0</v>
      </c>
      <c r="CO71" s="37">
        <f t="shared" si="44"/>
        <v>0</v>
      </c>
      <c r="CP71" s="37">
        <f t="shared" si="44"/>
        <v>0</v>
      </c>
      <c r="CQ71" s="37">
        <f t="shared" si="44"/>
        <v>0</v>
      </c>
      <c r="CR71" s="37">
        <f t="shared" si="44"/>
        <v>0</v>
      </c>
      <c r="CS71" s="37">
        <f t="shared" si="44"/>
        <v>0</v>
      </c>
      <c r="CT71" s="37">
        <f t="shared" si="44"/>
        <v>0</v>
      </c>
      <c r="CU71" s="37">
        <f t="shared" si="44"/>
        <v>0</v>
      </c>
      <c r="CV71" s="37">
        <f t="shared" si="44"/>
        <v>0</v>
      </c>
      <c r="CW71" s="37">
        <f t="shared" si="44"/>
        <v>0</v>
      </c>
      <c r="CX71" s="37">
        <f t="shared" si="44"/>
        <v>0</v>
      </c>
      <c r="CY71" s="37">
        <f t="shared" si="44"/>
        <v>0</v>
      </c>
      <c r="CZ71" s="37">
        <f t="shared" si="44"/>
        <v>0</v>
      </c>
      <c r="DA71" s="37">
        <f t="shared" si="44"/>
        <v>0</v>
      </c>
      <c r="DB71" s="37">
        <f t="shared" si="44"/>
        <v>0</v>
      </c>
      <c r="DC71" s="37">
        <f t="shared" si="44"/>
        <v>0</v>
      </c>
      <c r="DD71" s="37">
        <f t="shared" si="44"/>
        <v>0</v>
      </c>
      <c r="DE71" s="37">
        <f t="shared" si="44"/>
        <v>0</v>
      </c>
      <c r="DF71" s="37">
        <f t="shared" si="44"/>
        <v>0</v>
      </c>
      <c r="DG71" s="37">
        <f t="shared" si="44"/>
        <v>0</v>
      </c>
      <c r="DH71" s="37">
        <f t="shared" si="44"/>
        <v>0</v>
      </c>
      <c r="DI71" s="37">
        <f t="shared" si="44"/>
        <v>0</v>
      </c>
      <c r="DJ71" s="37">
        <f t="shared" si="44"/>
        <v>0</v>
      </c>
      <c r="DK71" s="37">
        <f t="shared" si="44"/>
        <v>0</v>
      </c>
      <c r="DL71" s="37">
        <f t="shared" si="44"/>
        <v>0</v>
      </c>
      <c r="DM71" s="37">
        <f t="shared" si="44"/>
        <v>0</v>
      </c>
    </row>
    <row r="72" spans="3:117" outlineLevel="1" x14ac:dyDescent="0.15">
      <c r="C72" t="s">
        <v>298</v>
      </c>
      <c r="D72" s="5" t="s">
        <v>297</v>
      </c>
      <c r="I72" s="99">
        <f>SUM(I70:I71)</f>
        <v>26.264769442672637</v>
      </c>
      <c r="J72" s="38">
        <f>SUM(J70,J71)</f>
        <v>0</v>
      </c>
      <c r="K72" s="38">
        <f t="shared" ref="K72:BV72" si="45">SUM(K70,K71)</f>
        <v>0</v>
      </c>
      <c r="L72" s="38">
        <f t="shared" si="45"/>
        <v>0</v>
      </c>
      <c r="M72" s="38">
        <f t="shared" si="45"/>
        <v>0</v>
      </c>
      <c r="N72" s="38">
        <f t="shared" si="45"/>
        <v>31.873895808843798</v>
      </c>
      <c r="O72" s="38">
        <f t="shared" si="45"/>
        <v>31.347810534035219</v>
      </c>
      <c r="P72" s="38">
        <f t="shared" si="45"/>
        <v>31.731800251012338</v>
      </c>
      <c r="Q72" s="38">
        <f t="shared" si="45"/>
        <v>32.551933812642744</v>
      </c>
      <c r="R72" s="38">
        <f t="shared" si="45"/>
        <v>15.067886021381133</v>
      </c>
      <c r="S72" s="38">
        <f t="shared" si="45"/>
        <v>27.288350178847878</v>
      </c>
      <c r="T72" s="38">
        <f t="shared" si="45"/>
        <v>22.989705255771341</v>
      </c>
      <c r="U72" s="38">
        <f t="shared" si="45"/>
        <v>19.660379030764336</v>
      </c>
      <c r="V72" s="38">
        <f t="shared" si="45"/>
        <v>21.084979153656544</v>
      </c>
      <c r="W72" s="38">
        <f t="shared" si="45"/>
        <v>19.181195298287975</v>
      </c>
      <c r="X72" s="38">
        <f t="shared" si="45"/>
        <v>31.272851635454458</v>
      </c>
      <c r="Y72" s="38">
        <f t="shared" si="45"/>
        <v>0</v>
      </c>
      <c r="Z72" s="38">
        <f t="shared" si="45"/>
        <v>0</v>
      </c>
      <c r="AA72" s="38">
        <f t="shared" si="45"/>
        <v>0</v>
      </c>
      <c r="AB72" s="38">
        <f t="shared" si="45"/>
        <v>0</v>
      </c>
      <c r="AC72" s="38">
        <f t="shared" si="45"/>
        <v>0</v>
      </c>
      <c r="AD72" s="38">
        <f t="shared" si="45"/>
        <v>0</v>
      </c>
      <c r="AE72" s="38">
        <f t="shared" si="45"/>
        <v>0</v>
      </c>
      <c r="AF72" s="38">
        <f t="shared" si="45"/>
        <v>0</v>
      </c>
      <c r="AG72" s="38">
        <f t="shared" si="45"/>
        <v>0</v>
      </c>
      <c r="AH72" s="38">
        <f t="shared" si="45"/>
        <v>0</v>
      </c>
      <c r="AI72" s="38">
        <f t="shared" si="45"/>
        <v>0</v>
      </c>
      <c r="AJ72" s="38">
        <f t="shared" si="45"/>
        <v>0</v>
      </c>
      <c r="AK72" s="38">
        <f t="shared" si="45"/>
        <v>0</v>
      </c>
      <c r="AL72" s="38">
        <f t="shared" si="45"/>
        <v>0</v>
      </c>
      <c r="AM72" s="38">
        <f t="shared" si="45"/>
        <v>0</v>
      </c>
      <c r="AN72" s="38">
        <f t="shared" si="45"/>
        <v>0</v>
      </c>
      <c r="AO72" s="38">
        <f t="shared" si="45"/>
        <v>0</v>
      </c>
      <c r="AP72" s="38">
        <f t="shared" si="45"/>
        <v>0</v>
      </c>
      <c r="AQ72" s="38">
        <f t="shared" si="45"/>
        <v>0</v>
      </c>
      <c r="AR72" s="38">
        <f t="shared" si="45"/>
        <v>0</v>
      </c>
      <c r="AS72" s="38">
        <f t="shared" si="45"/>
        <v>0</v>
      </c>
      <c r="AT72" s="38">
        <f t="shared" si="45"/>
        <v>0</v>
      </c>
      <c r="AU72" s="38">
        <f t="shared" si="45"/>
        <v>0</v>
      </c>
      <c r="AV72" s="38">
        <f t="shared" si="45"/>
        <v>0</v>
      </c>
      <c r="AW72" s="38">
        <f t="shared" si="45"/>
        <v>0</v>
      </c>
      <c r="AX72" s="38">
        <f t="shared" si="45"/>
        <v>0</v>
      </c>
      <c r="AY72" s="38">
        <f t="shared" si="45"/>
        <v>0</v>
      </c>
      <c r="AZ72" s="38">
        <f t="shared" si="45"/>
        <v>0</v>
      </c>
      <c r="BA72" s="38">
        <f t="shared" si="45"/>
        <v>0</v>
      </c>
      <c r="BB72" s="38">
        <f t="shared" si="45"/>
        <v>0</v>
      </c>
      <c r="BC72" s="38">
        <f t="shared" si="45"/>
        <v>0</v>
      </c>
      <c r="BD72" s="38">
        <f t="shared" si="45"/>
        <v>0</v>
      </c>
      <c r="BE72" s="38">
        <f t="shared" si="45"/>
        <v>0</v>
      </c>
      <c r="BF72" s="38">
        <f t="shared" si="45"/>
        <v>0</v>
      </c>
      <c r="BG72" s="38">
        <f t="shared" si="45"/>
        <v>0</v>
      </c>
      <c r="BH72" s="38">
        <f t="shared" si="45"/>
        <v>0</v>
      </c>
      <c r="BI72" s="38">
        <f t="shared" si="45"/>
        <v>0</v>
      </c>
      <c r="BJ72" s="38">
        <f t="shared" si="45"/>
        <v>0</v>
      </c>
      <c r="BK72" s="38">
        <f t="shared" si="45"/>
        <v>0</v>
      </c>
      <c r="BL72" s="38">
        <f t="shared" si="45"/>
        <v>0</v>
      </c>
      <c r="BM72" s="38">
        <f t="shared" si="45"/>
        <v>0</v>
      </c>
      <c r="BN72" s="38">
        <f t="shared" si="45"/>
        <v>0</v>
      </c>
      <c r="BO72" s="38">
        <f t="shared" si="45"/>
        <v>0</v>
      </c>
      <c r="BP72" s="38">
        <f t="shared" si="45"/>
        <v>0</v>
      </c>
      <c r="BQ72" s="38">
        <f t="shared" si="45"/>
        <v>0</v>
      </c>
      <c r="BR72" s="38">
        <f t="shared" si="45"/>
        <v>0</v>
      </c>
      <c r="BS72" s="38">
        <f t="shared" si="45"/>
        <v>0</v>
      </c>
      <c r="BT72" s="38">
        <f t="shared" si="45"/>
        <v>0</v>
      </c>
      <c r="BU72" s="38">
        <f t="shared" si="45"/>
        <v>0</v>
      </c>
      <c r="BV72" s="38">
        <f t="shared" si="45"/>
        <v>0</v>
      </c>
      <c r="BW72" s="38">
        <f t="shared" ref="BW72:DM72" si="46">SUM(BW70,BW71)</f>
        <v>0</v>
      </c>
      <c r="BX72" s="38">
        <f t="shared" si="46"/>
        <v>0</v>
      </c>
      <c r="BY72" s="38">
        <f t="shared" si="46"/>
        <v>0</v>
      </c>
      <c r="BZ72" s="38">
        <f t="shared" si="46"/>
        <v>0</v>
      </c>
      <c r="CA72" s="38">
        <f t="shared" si="46"/>
        <v>0</v>
      </c>
      <c r="CB72" s="38">
        <f t="shared" si="46"/>
        <v>0</v>
      </c>
      <c r="CC72" s="38">
        <f t="shared" si="46"/>
        <v>0</v>
      </c>
      <c r="CD72" s="38">
        <f t="shared" si="46"/>
        <v>0</v>
      </c>
      <c r="CE72" s="38">
        <f t="shared" si="46"/>
        <v>0</v>
      </c>
      <c r="CF72" s="38">
        <f t="shared" si="46"/>
        <v>0</v>
      </c>
      <c r="CG72" s="38">
        <f t="shared" si="46"/>
        <v>0</v>
      </c>
      <c r="CH72" s="38">
        <f t="shared" si="46"/>
        <v>0</v>
      </c>
      <c r="CI72" s="38">
        <f t="shared" si="46"/>
        <v>0</v>
      </c>
      <c r="CJ72" s="38">
        <f t="shared" si="46"/>
        <v>0</v>
      </c>
      <c r="CK72" s="38">
        <f t="shared" si="46"/>
        <v>0</v>
      </c>
      <c r="CL72" s="38">
        <f t="shared" si="46"/>
        <v>0</v>
      </c>
      <c r="CM72" s="38">
        <f t="shared" si="46"/>
        <v>0</v>
      </c>
      <c r="CN72" s="38">
        <f t="shared" si="46"/>
        <v>0</v>
      </c>
      <c r="CO72" s="38">
        <f t="shared" si="46"/>
        <v>0</v>
      </c>
      <c r="CP72" s="38">
        <f t="shared" si="46"/>
        <v>0</v>
      </c>
      <c r="CQ72" s="38">
        <f t="shared" si="46"/>
        <v>0</v>
      </c>
      <c r="CR72" s="38">
        <f t="shared" si="46"/>
        <v>0</v>
      </c>
      <c r="CS72" s="38">
        <f t="shared" si="46"/>
        <v>0</v>
      </c>
      <c r="CT72" s="38">
        <f t="shared" si="46"/>
        <v>0</v>
      </c>
      <c r="CU72" s="38">
        <f t="shared" si="46"/>
        <v>0</v>
      </c>
      <c r="CV72" s="38">
        <f t="shared" si="46"/>
        <v>0</v>
      </c>
      <c r="CW72" s="38">
        <f t="shared" si="46"/>
        <v>0</v>
      </c>
      <c r="CX72" s="38">
        <f t="shared" si="46"/>
        <v>0</v>
      </c>
      <c r="CY72" s="38">
        <f t="shared" si="46"/>
        <v>0</v>
      </c>
      <c r="CZ72" s="38">
        <f t="shared" si="46"/>
        <v>0</v>
      </c>
      <c r="DA72" s="38">
        <f t="shared" si="46"/>
        <v>0</v>
      </c>
      <c r="DB72" s="38">
        <f t="shared" si="46"/>
        <v>0</v>
      </c>
      <c r="DC72" s="38">
        <f t="shared" si="46"/>
        <v>0</v>
      </c>
      <c r="DD72" s="38">
        <f t="shared" si="46"/>
        <v>0</v>
      </c>
      <c r="DE72" s="38">
        <f t="shared" si="46"/>
        <v>0</v>
      </c>
      <c r="DF72" s="38">
        <f t="shared" si="46"/>
        <v>0</v>
      </c>
      <c r="DG72" s="38">
        <f t="shared" si="46"/>
        <v>0</v>
      </c>
      <c r="DH72" s="38">
        <f t="shared" si="46"/>
        <v>0</v>
      </c>
      <c r="DI72" s="38">
        <f t="shared" si="46"/>
        <v>0</v>
      </c>
      <c r="DJ72" s="38">
        <f t="shared" si="46"/>
        <v>0</v>
      </c>
      <c r="DK72" s="38">
        <f t="shared" si="46"/>
        <v>0</v>
      </c>
      <c r="DL72" s="38">
        <f t="shared" si="46"/>
        <v>0</v>
      </c>
      <c r="DM72" s="38">
        <f t="shared" si="46"/>
        <v>0</v>
      </c>
    </row>
    <row r="73" spans="3:117" outlineLevel="1" x14ac:dyDescent="0.15">
      <c r="D73" s="5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</row>
    <row r="74" spans="3:117" outlineLevel="1" x14ac:dyDescent="0.15">
      <c r="C74" t="s">
        <v>314</v>
      </c>
      <c r="D74" s="5" t="s">
        <v>132</v>
      </c>
      <c r="I74" s="99">
        <f>I72*Operations!J9</f>
        <v>19.698577082004476</v>
      </c>
      <c r="J74" s="39">
        <f>J72*Operations!J9</f>
        <v>0</v>
      </c>
      <c r="K74" s="39">
        <f>K72*Operations!K9</f>
        <v>0</v>
      </c>
      <c r="L74" s="39">
        <f>L72*Operations!L9</f>
        <v>0</v>
      </c>
      <c r="M74" s="39">
        <f>M72*Operations!M9</f>
        <v>0</v>
      </c>
      <c r="N74" s="39">
        <f>N72*Operations!N9</f>
        <v>23.905421856632849</v>
      </c>
      <c r="O74" s="39">
        <f>O72*Operations!O9</f>
        <v>23.510857900526414</v>
      </c>
      <c r="P74" s="39">
        <f>P72*Operations!P9</f>
        <v>23.798850188259252</v>
      </c>
      <c r="Q74" s="39">
        <f>Q72*Operations!Q9</f>
        <v>24.413950359482058</v>
      </c>
      <c r="R74" s="39">
        <f>R72*Operations!R9</f>
        <v>11.300914516035849</v>
      </c>
      <c r="S74" s="39">
        <f>S72*Operations!S9</f>
        <v>20.466262634135909</v>
      </c>
      <c r="T74" s="39">
        <f>T72*Operations!T9</f>
        <v>17.242278941828506</v>
      </c>
      <c r="U74" s="39">
        <f>U72*Operations!U9</f>
        <v>14.745284273073253</v>
      </c>
      <c r="V74" s="39">
        <f>V72*Operations!V9</f>
        <v>15.813734365242407</v>
      </c>
      <c r="W74" s="39">
        <f>W72*Operations!W9</f>
        <v>14.385896473715981</v>
      </c>
      <c r="X74" s="39">
        <f>X72*Operations!X9</f>
        <v>23.454638726590844</v>
      </c>
      <c r="Y74" s="39">
        <f>Y72*Operations!Y9</f>
        <v>0</v>
      </c>
      <c r="Z74" s="39">
        <f>Z72*Operations!Z9</f>
        <v>0</v>
      </c>
      <c r="AA74" s="39">
        <f>AA72*Operations!AA9</f>
        <v>0</v>
      </c>
      <c r="AB74" s="39">
        <f>AB72*Operations!AB9</f>
        <v>0</v>
      </c>
      <c r="AC74" s="39">
        <f>AC72*Operations!AC9</f>
        <v>0</v>
      </c>
      <c r="AD74" s="39">
        <f>AD72*Operations!AD9</f>
        <v>0</v>
      </c>
      <c r="AE74" s="39">
        <f>AE72*Operations!AE9</f>
        <v>0</v>
      </c>
      <c r="AF74" s="39">
        <f>AF72*Operations!AF9</f>
        <v>0</v>
      </c>
      <c r="AG74" s="39">
        <f>AG72*Operations!AG9</f>
        <v>0</v>
      </c>
      <c r="AH74" s="39">
        <f>AH72*Operations!AH9</f>
        <v>0</v>
      </c>
      <c r="AI74" s="39">
        <f>AI72*Operations!AI9</f>
        <v>0</v>
      </c>
      <c r="AJ74" s="39">
        <f>AJ72*Operations!AJ9</f>
        <v>0</v>
      </c>
      <c r="AK74" s="39">
        <f>AK72*Operations!AK9</f>
        <v>0</v>
      </c>
      <c r="AL74" s="39">
        <f>AL72*Operations!AL9</f>
        <v>0</v>
      </c>
      <c r="AM74" s="39">
        <f>AM72*Operations!AM9</f>
        <v>0</v>
      </c>
      <c r="AN74" s="39">
        <f>AN72*Operations!AN9</f>
        <v>0</v>
      </c>
      <c r="AO74" s="39">
        <f>AO72*Operations!AO9</f>
        <v>0</v>
      </c>
      <c r="AP74" s="39">
        <f>AP72*Operations!AP9</f>
        <v>0</v>
      </c>
      <c r="AQ74" s="39">
        <f>AQ72*Operations!AQ9</f>
        <v>0</v>
      </c>
      <c r="AR74" s="39">
        <f>AR72*Operations!AR9</f>
        <v>0</v>
      </c>
      <c r="AS74" s="39">
        <f>AS72*Operations!AS9</f>
        <v>0</v>
      </c>
      <c r="AT74" s="39">
        <f>AT72*Operations!AT9</f>
        <v>0</v>
      </c>
      <c r="AU74" s="39">
        <f>AU72*Operations!AU9</f>
        <v>0</v>
      </c>
      <c r="AV74" s="39">
        <f>AV72*Operations!AV9</f>
        <v>0</v>
      </c>
      <c r="AW74" s="39">
        <f>AW72*Operations!AW9</f>
        <v>0</v>
      </c>
      <c r="AX74" s="39">
        <f>AX72*Operations!AX9</f>
        <v>0</v>
      </c>
      <c r="AY74" s="39">
        <f>AY72*Operations!AY9</f>
        <v>0</v>
      </c>
      <c r="AZ74" s="39">
        <f>AZ72*Operations!AZ9</f>
        <v>0</v>
      </c>
      <c r="BA74" s="39">
        <f>BA72*Operations!BA9</f>
        <v>0</v>
      </c>
      <c r="BB74" s="39">
        <f>BB72*Operations!BB9</f>
        <v>0</v>
      </c>
      <c r="BC74" s="39">
        <f>BC72*Operations!BC9</f>
        <v>0</v>
      </c>
      <c r="BD74" s="39">
        <f>BD72*Operations!BD9</f>
        <v>0</v>
      </c>
      <c r="BE74" s="39">
        <f>BE72*Operations!BE9</f>
        <v>0</v>
      </c>
      <c r="BF74" s="39">
        <f>BF72*Operations!BF9</f>
        <v>0</v>
      </c>
      <c r="BG74" s="39">
        <f>BG72*Operations!BG9</f>
        <v>0</v>
      </c>
      <c r="BH74" s="39">
        <f>BH72*Operations!BH9</f>
        <v>0</v>
      </c>
      <c r="BI74" s="39">
        <f>BI72*Operations!BI9</f>
        <v>0</v>
      </c>
      <c r="BJ74" s="39">
        <f>BJ72*Operations!BJ9</f>
        <v>0</v>
      </c>
      <c r="BK74" s="39">
        <f>BK72*Operations!BK9</f>
        <v>0</v>
      </c>
      <c r="BL74" s="39">
        <f>BL72*Operations!BL9</f>
        <v>0</v>
      </c>
      <c r="BM74" s="39">
        <f>BM72*Operations!BM9</f>
        <v>0</v>
      </c>
      <c r="BN74" s="39">
        <f>BN72*Operations!BN9</f>
        <v>0</v>
      </c>
      <c r="BO74" s="39">
        <f>BO72*Operations!BO9</f>
        <v>0</v>
      </c>
      <c r="BP74" s="39">
        <f>BP72*Operations!BP9</f>
        <v>0</v>
      </c>
      <c r="BQ74" s="39">
        <f>BQ72*Operations!BQ9</f>
        <v>0</v>
      </c>
      <c r="BR74" s="39">
        <f>BR72*Operations!BR9</f>
        <v>0</v>
      </c>
      <c r="BS74" s="39">
        <f>BS72*Operations!BS9</f>
        <v>0</v>
      </c>
      <c r="BT74" s="39">
        <f>BT72*Operations!BT9</f>
        <v>0</v>
      </c>
      <c r="BU74" s="39">
        <f>BU72*Operations!BU9</f>
        <v>0</v>
      </c>
      <c r="BV74" s="39">
        <f>BV72*Operations!BV9</f>
        <v>0</v>
      </c>
      <c r="BW74" s="39">
        <f>BW72*Operations!BW9</f>
        <v>0</v>
      </c>
      <c r="BX74" s="39">
        <f>BX72*Operations!BX9</f>
        <v>0</v>
      </c>
      <c r="BY74" s="39">
        <f>BY72*Operations!BY9</f>
        <v>0</v>
      </c>
      <c r="BZ74" s="39">
        <f>BZ72*Operations!BZ9</f>
        <v>0</v>
      </c>
      <c r="CA74" s="39">
        <f>CA72*Operations!CA9</f>
        <v>0</v>
      </c>
      <c r="CB74" s="39">
        <f>CB72*Operations!CB9</f>
        <v>0</v>
      </c>
      <c r="CC74" s="39">
        <f>CC72*Operations!CC9</f>
        <v>0</v>
      </c>
      <c r="CD74" s="39">
        <f>CD72*Operations!CD9</f>
        <v>0</v>
      </c>
      <c r="CE74" s="39">
        <f>CE72*Operations!CE9</f>
        <v>0</v>
      </c>
      <c r="CF74" s="39">
        <f>CF72*Operations!CF9</f>
        <v>0</v>
      </c>
      <c r="CG74" s="39">
        <f>CG72*Operations!CG9</f>
        <v>0</v>
      </c>
      <c r="CH74" s="39">
        <f>CH72*Operations!CH9</f>
        <v>0</v>
      </c>
      <c r="CI74" s="39">
        <f>CI72*Operations!CI9</f>
        <v>0</v>
      </c>
      <c r="CJ74" s="39">
        <f>CJ72*Operations!CJ9</f>
        <v>0</v>
      </c>
      <c r="CK74" s="39">
        <f>CK72*Operations!CK9</f>
        <v>0</v>
      </c>
      <c r="CL74" s="39">
        <f>CL72*Operations!CL9</f>
        <v>0</v>
      </c>
      <c r="CM74" s="39">
        <f>CM72*Operations!CM9</f>
        <v>0</v>
      </c>
      <c r="CN74" s="39">
        <f>CN72*Operations!CN9</f>
        <v>0</v>
      </c>
      <c r="CO74" s="39">
        <f>CO72*Operations!CO9</f>
        <v>0</v>
      </c>
      <c r="CP74" s="39">
        <f>CP72*Operations!CP9</f>
        <v>0</v>
      </c>
      <c r="CQ74" s="39">
        <f>CQ72*Operations!CQ9</f>
        <v>0</v>
      </c>
      <c r="CR74" s="39">
        <f>CR72*Operations!CR9</f>
        <v>0</v>
      </c>
      <c r="CS74" s="39">
        <f>CS72*Operations!CS9</f>
        <v>0</v>
      </c>
      <c r="CT74" s="39">
        <f>CT72*Operations!CT9</f>
        <v>0</v>
      </c>
      <c r="CU74" s="39">
        <f>CU72*Operations!CU9</f>
        <v>0</v>
      </c>
      <c r="CV74" s="39">
        <f>CV72*Operations!CV9</f>
        <v>0</v>
      </c>
      <c r="CW74" s="39">
        <f>CW72*Operations!CW9</f>
        <v>0</v>
      </c>
      <c r="CX74" s="39">
        <f>CX72*Operations!CX9</f>
        <v>0</v>
      </c>
      <c r="CY74" s="39">
        <f>CY72*Operations!CY9</f>
        <v>0</v>
      </c>
      <c r="CZ74" s="39">
        <f>CZ72*Operations!CZ9</f>
        <v>0</v>
      </c>
      <c r="DA74" s="39">
        <f>DA72*Operations!DA9</f>
        <v>0</v>
      </c>
      <c r="DB74" s="39">
        <f>DB72*Operations!DB9</f>
        <v>0</v>
      </c>
      <c r="DC74" s="39">
        <f>DC72*Operations!DC9</f>
        <v>0</v>
      </c>
      <c r="DD74" s="39">
        <f>DD72*Operations!DD9</f>
        <v>0</v>
      </c>
      <c r="DE74" s="39">
        <f>DE72*Operations!DE9</f>
        <v>0</v>
      </c>
      <c r="DF74" s="39">
        <f>DF72*Operations!DF9</f>
        <v>0</v>
      </c>
      <c r="DG74" s="39">
        <f>DG72*Operations!DG9</f>
        <v>0</v>
      </c>
      <c r="DH74" s="39">
        <f>DH72*Operations!DH9</f>
        <v>0</v>
      </c>
      <c r="DI74" s="39">
        <f>DI72*Operations!DI9</f>
        <v>0</v>
      </c>
      <c r="DJ74" s="39">
        <f>DJ72*Operations!DJ9</f>
        <v>0</v>
      </c>
      <c r="DK74" s="39">
        <f>DK72*Operations!DK9</f>
        <v>0</v>
      </c>
      <c r="DL74" s="39">
        <f>DL72*Operations!DL9</f>
        <v>0</v>
      </c>
      <c r="DM74" s="39">
        <f>DM72*Operations!DM9</f>
        <v>0</v>
      </c>
    </row>
    <row r="75" spans="3:117" outlineLevel="1" x14ac:dyDescent="0.15"/>
    <row r="76" spans="3:117" ht="14" outlineLevel="1" x14ac:dyDescent="0.15">
      <c r="C76" s="2" t="s">
        <v>175</v>
      </c>
    </row>
    <row r="77" spans="3:117" outlineLevel="1" x14ac:dyDescent="0.15">
      <c r="C77" t="s">
        <v>300</v>
      </c>
      <c r="D77" s="5" t="s">
        <v>167</v>
      </c>
      <c r="I77" s="35">
        <f t="shared" ref="I77" si="47">SUM(J77:DM77)</f>
        <v>4599365360.7316208</v>
      </c>
      <c r="J77" s="37">
        <f t="shared" ref="J77:AO77" si="48">-(J15+J30)</f>
        <v>0</v>
      </c>
      <c r="K77" s="37">
        <f t="shared" si="48"/>
        <v>0</v>
      </c>
      <c r="L77" s="37">
        <f t="shared" si="48"/>
        <v>0</v>
      </c>
      <c r="M77" s="37">
        <f t="shared" si="48"/>
        <v>0</v>
      </c>
      <c r="N77" s="37">
        <f t="shared" si="48"/>
        <v>491987985.30439937</v>
      </c>
      <c r="O77" s="37">
        <f t="shared" si="48"/>
        <v>549995646.2407974</v>
      </c>
      <c r="P77" s="37">
        <f t="shared" si="48"/>
        <v>560662390.19561183</v>
      </c>
      <c r="Q77" s="37">
        <f t="shared" si="48"/>
        <v>556088530.04794574</v>
      </c>
      <c r="R77" s="37">
        <f t="shared" si="48"/>
        <v>633992393.34702742</v>
      </c>
      <c r="S77" s="37">
        <f t="shared" si="48"/>
        <v>303468803.30725169</v>
      </c>
      <c r="T77" s="37">
        <f t="shared" si="48"/>
        <v>338730977.0835954</v>
      </c>
      <c r="U77" s="37">
        <f t="shared" si="48"/>
        <v>374493675.70278597</v>
      </c>
      <c r="V77" s="37">
        <f t="shared" si="48"/>
        <v>315139863.31226367</v>
      </c>
      <c r="W77" s="37">
        <f t="shared" si="48"/>
        <v>326841685.14790136</v>
      </c>
      <c r="X77" s="37">
        <f t="shared" si="48"/>
        <v>147963411.04204205</v>
      </c>
      <c r="Y77" s="37">
        <f t="shared" si="48"/>
        <v>0</v>
      </c>
      <c r="Z77" s="37">
        <f t="shared" si="48"/>
        <v>0</v>
      </c>
      <c r="AA77" s="37">
        <f t="shared" si="48"/>
        <v>0</v>
      </c>
      <c r="AB77" s="37">
        <f t="shared" si="48"/>
        <v>0</v>
      </c>
      <c r="AC77" s="37">
        <f t="shared" si="48"/>
        <v>0</v>
      </c>
      <c r="AD77" s="37">
        <f t="shared" si="48"/>
        <v>0</v>
      </c>
      <c r="AE77" s="37">
        <f t="shared" si="48"/>
        <v>0</v>
      </c>
      <c r="AF77" s="37">
        <f t="shared" si="48"/>
        <v>0</v>
      </c>
      <c r="AG77" s="37">
        <f t="shared" si="48"/>
        <v>0</v>
      </c>
      <c r="AH77" s="37">
        <f t="shared" si="48"/>
        <v>0</v>
      </c>
      <c r="AI77" s="37">
        <f t="shared" si="48"/>
        <v>0</v>
      </c>
      <c r="AJ77" s="37">
        <f t="shared" si="48"/>
        <v>0</v>
      </c>
      <c r="AK77" s="37">
        <f t="shared" si="48"/>
        <v>0</v>
      </c>
      <c r="AL77" s="37">
        <f t="shared" si="48"/>
        <v>0</v>
      </c>
      <c r="AM77" s="37">
        <f t="shared" si="48"/>
        <v>0</v>
      </c>
      <c r="AN77" s="37">
        <f t="shared" si="48"/>
        <v>0</v>
      </c>
      <c r="AO77" s="37">
        <f t="shared" si="48"/>
        <v>0</v>
      </c>
      <c r="AP77" s="37">
        <f t="shared" ref="AP77:BU77" si="49">-(AP15+AP30)</f>
        <v>0</v>
      </c>
      <c r="AQ77" s="37">
        <f t="shared" si="49"/>
        <v>0</v>
      </c>
      <c r="AR77" s="37">
        <f t="shared" si="49"/>
        <v>0</v>
      </c>
      <c r="AS77" s="37">
        <f t="shared" si="49"/>
        <v>0</v>
      </c>
      <c r="AT77" s="37">
        <f t="shared" si="49"/>
        <v>0</v>
      </c>
      <c r="AU77" s="37">
        <f t="shared" si="49"/>
        <v>0</v>
      </c>
      <c r="AV77" s="37">
        <f t="shared" si="49"/>
        <v>0</v>
      </c>
      <c r="AW77" s="37">
        <f t="shared" si="49"/>
        <v>0</v>
      </c>
      <c r="AX77" s="37">
        <f t="shared" si="49"/>
        <v>0</v>
      </c>
      <c r="AY77" s="37">
        <f t="shared" si="49"/>
        <v>0</v>
      </c>
      <c r="AZ77" s="37">
        <f t="shared" si="49"/>
        <v>0</v>
      </c>
      <c r="BA77" s="37">
        <f t="shared" si="49"/>
        <v>0</v>
      </c>
      <c r="BB77" s="37">
        <f t="shared" si="49"/>
        <v>0</v>
      </c>
      <c r="BC77" s="37">
        <f t="shared" si="49"/>
        <v>0</v>
      </c>
      <c r="BD77" s="37">
        <f t="shared" si="49"/>
        <v>0</v>
      </c>
      <c r="BE77" s="37">
        <f t="shared" si="49"/>
        <v>0</v>
      </c>
      <c r="BF77" s="37">
        <f t="shared" si="49"/>
        <v>0</v>
      </c>
      <c r="BG77" s="37">
        <f t="shared" si="49"/>
        <v>0</v>
      </c>
      <c r="BH77" s="37">
        <f t="shared" si="49"/>
        <v>0</v>
      </c>
      <c r="BI77" s="37">
        <f t="shared" si="49"/>
        <v>0</v>
      </c>
      <c r="BJ77" s="37">
        <f t="shared" si="49"/>
        <v>0</v>
      </c>
      <c r="BK77" s="37">
        <f t="shared" si="49"/>
        <v>0</v>
      </c>
      <c r="BL77" s="37">
        <f t="shared" si="49"/>
        <v>0</v>
      </c>
      <c r="BM77" s="37">
        <f t="shared" si="49"/>
        <v>0</v>
      </c>
      <c r="BN77" s="37">
        <f t="shared" si="49"/>
        <v>0</v>
      </c>
      <c r="BO77" s="37">
        <f t="shared" si="49"/>
        <v>0</v>
      </c>
      <c r="BP77" s="37">
        <f t="shared" si="49"/>
        <v>0</v>
      </c>
      <c r="BQ77" s="37">
        <f t="shared" si="49"/>
        <v>0</v>
      </c>
      <c r="BR77" s="37">
        <f t="shared" si="49"/>
        <v>0</v>
      </c>
      <c r="BS77" s="37">
        <f t="shared" si="49"/>
        <v>0</v>
      </c>
      <c r="BT77" s="37">
        <f t="shared" si="49"/>
        <v>0</v>
      </c>
      <c r="BU77" s="37">
        <f t="shared" si="49"/>
        <v>0</v>
      </c>
      <c r="BV77" s="37">
        <f t="shared" ref="BV77:DA77" si="50">-(BV15+BV30)</f>
        <v>0</v>
      </c>
      <c r="BW77" s="37">
        <f t="shared" si="50"/>
        <v>0</v>
      </c>
      <c r="BX77" s="37">
        <f t="shared" si="50"/>
        <v>0</v>
      </c>
      <c r="BY77" s="37">
        <f t="shared" si="50"/>
        <v>0</v>
      </c>
      <c r="BZ77" s="37">
        <f t="shared" si="50"/>
        <v>0</v>
      </c>
      <c r="CA77" s="37">
        <f t="shared" si="50"/>
        <v>0</v>
      </c>
      <c r="CB77" s="37">
        <f t="shared" si="50"/>
        <v>0</v>
      </c>
      <c r="CC77" s="37">
        <f t="shared" si="50"/>
        <v>0</v>
      </c>
      <c r="CD77" s="37">
        <f t="shared" si="50"/>
        <v>0</v>
      </c>
      <c r="CE77" s="37">
        <f t="shared" si="50"/>
        <v>0</v>
      </c>
      <c r="CF77" s="37">
        <f t="shared" si="50"/>
        <v>0</v>
      </c>
      <c r="CG77" s="37">
        <f t="shared" si="50"/>
        <v>0</v>
      </c>
      <c r="CH77" s="37">
        <f t="shared" si="50"/>
        <v>0</v>
      </c>
      <c r="CI77" s="37">
        <f t="shared" si="50"/>
        <v>0</v>
      </c>
      <c r="CJ77" s="37">
        <f t="shared" si="50"/>
        <v>0</v>
      </c>
      <c r="CK77" s="37">
        <f t="shared" si="50"/>
        <v>0</v>
      </c>
      <c r="CL77" s="37">
        <f t="shared" si="50"/>
        <v>0</v>
      </c>
      <c r="CM77" s="37">
        <f t="shared" si="50"/>
        <v>0</v>
      </c>
      <c r="CN77" s="37">
        <f t="shared" si="50"/>
        <v>0</v>
      </c>
      <c r="CO77" s="37">
        <f t="shared" si="50"/>
        <v>0</v>
      </c>
      <c r="CP77" s="37">
        <f t="shared" si="50"/>
        <v>0</v>
      </c>
      <c r="CQ77" s="37">
        <f t="shared" si="50"/>
        <v>0</v>
      </c>
      <c r="CR77" s="37">
        <f t="shared" si="50"/>
        <v>0</v>
      </c>
      <c r="CS77" s="37">
        <f t="shared" si="50"/>
        <v>0</v>
      </c>
      <c r="CT77" s="37">
        <f t="shared" si="50"/>
        <v>0</v>
      </c>
      <c r="CU77" s="37">
        <f t="shared" si="50"/>
        <v>0</v>
      </c>
      <c r="CV77" s="37">
        <f t="shared" si="50"/>
        <v>0</v>
      </c>
      <c r="CW77" s="37">
        <f t="shared" si="50"/>
        <v>0</v>
      </c>
      <c r="CX77" s="37">
        <f t="shared" si="50"/>
        <v>0</v>
      </c>
      <c r="CY77" s="37">
        <f t="shared" si="50"/>
        <v>0</v>
      </c>
      <c r="CZ77" s="37">
        <f t="shared" si="50"/>
        <v>0</v>
      </c>
      <c r="DA77" s="37">
        <f t="shared" si="50"/>
        <v>0</v>
      </c>
      <c r="DB77" s="37">
        <f t="shared" ref="DB77:DM77" si="51">-(DB15+DB30)</f>
        <v>0</v>
      </c>
      <c r="DC77" s="37">
        <f t="shared" si="51"/>
        <v>0</v>
      </c>
      <c r="DD77" s="37">
        <f t="shared" si="51"/>
        <v>0</v>
      </c>
      <c r="DE77" s="37">
        <f t="shared" si="51"/>
        <v>0</v>
      </c>
      <c r="DF77" s="37">
        <f t="shared" si="51"/>
        <v>0</v>
      </c>
      <c r="DG77" s="37">
        <f t="shared" si="51"/>
        <v>0</v>
      </c>
      <c r="DH77" s="37">
        <f t="shared" si="51"/>
        <v>0</v>
      </c>
      <c r="DI77" s="37">
        <f t="shared" si="51"/>
        <v>0</v>
      </c>
      <c r="DJ77" s="37">
        <f t="shared" si="51"/>
        <v>0</v>
      </c>
      <c r="DK77" s="37">
        <f t="shared" si="51"/>
        <v>0</v>
      </c>
      <c r="DL77" s="37">
        <f t="shared" si="51"/>
        <v>0</v>
      </c>
      <c r="DM77" s="37">
        <f t="shared" si="51"/>
        <v>0</v>
      </c>
    </row>
    <row r="78" spans="3:117" outlineLevel="1" x14ac:dyDescent="0.15">
      <c r="C78" t="s">
        <v>123</v>
      </c>
      <c r="D78" s="5" t="s">
        <v>297</v>
      </c>
      <c r="I78" s="99">
        <f>IF(I62=0,0,I77/I62)</f>
        <v>19.689316903605871</v>
      </c>
      <c r="J78" s="39">
        <f>IF(J62=0,0,J77/J62)</f>
        <v>0</v>
      </c>
      <c r="K78" s="39">
        <f t="shared" ref="K78:BV78" si="52">IF(K62=0,0,K77/K62)</f>
        <v>0</v>
      </c>
      <c r="L78" s="39">
        <f t="shared" si="52"/>
        <v>0</v>
      </c>
      <c r="M78" s="39">
        <f t="shared" si="52"/>
        <v>0</v>
      </c>
      <c r="N78" s="39">
        <f t="shared" si="52"/>
        <v>18.847947948680204</v>
      </c>
      <c r="O78" s="39">
        <f t="shared" si="52"/>
        <v>18.926860739901489</v>
      </c>
      <c r="P78" s="39">
        <f t="shared" si="52"/>
        <v>18.869262282354924</v>
      </c>
      <c r="Q78" s="39">
        <f t="shared" si="52"/>
        <v>18.746242248110359</v>
      </c>
      <c r="R78" s="39">
        <f t="shared" si="52"/>
        <v>21.368849416799602</v>
      </c>
      <c r="S78" s="39">
        <f t="shared" si="52"/>
        <v>19.535779793179589</v>
      </c>
      <c r="T78" s="39">
        <f t="shared" si="52"/>
        <v>20.180576531641073</v>
      </c>
      <c r="U78" s="39">
        <f t="shared" si="52"/>
        <v>20.679975465392125</v>
      </c>
      <c r="V78" s="39">
        <f t="shared" si="52"/>
        <v>20.466285446958288</v>
      </c>
      <c r="W78" s="39">
        <f t="shared" si="52"/>
        <v>20.751853025263575</v>
      </c>
      <c r="X78" s="39">
        <f t="shared" si="52"/>
        <v>18.938104574688602</v>
      </c>
      <c r="Y78" s="39">
        <f t="shared" si="52"/>
        <v>0</v>
      </c>
      <c r="Z78" s="39">
        <f t="shared" si="52"/>
        <v>0</v>
      </c>
      <c r="AA78" s="39">
        <f t="shared" si="52"/>
        <v>0</v>
      </c>
      <c r="AB78" s="39">
        <f t="shared" si="52"/>
        <v>0</v>
      </c>
      <c r="AC78" s="39">
        <f t="shared" si="52"/>
        <v>0</v>
      </c>
      <c r="AD78" s="39">
        <f t="shared" si="52"/>
        <v>0</v>
      </c>
      <c r="AE78" s="39">
        <f t="shared" si="52"/>
        <v>0</v>
      </c>
      <c r="AF78" s="39">
        <f t="shared" si="52"/>
        <v>0</v>
      </c>
      <c r="AG78" s="39">
        <f t="shared" si="52"/>
        <v>0</v>
      </c>
      <c r="AH78" s="39">
        <f t="shared" si="52"/>
        <v>0</v>
      </c>
      <c r="AI78" s="39">
        <f t="shared" si="52"/>
        <v>0</v>
      </c>
      <c r="AJ78" s="39">
        <f t="shared" si="52"/>
        <v>0</v>
      </c>
      <c r="AK78" s="39">
        <f t="shared" si="52"/>
        <v>0</v>
      </c>
      <c r="AL78" s="39">
        <f t="shared" si="52"/>
        <v>0</v>
      </c>
      <c r="AM78" s="39">
        <f t="shared" si="52"/>
        <v>0</v>
      </c>
      <c r="AN78" s="39">
        <f t="shared" si="52"/>
        <v>0</v>
      </c>
      <c r="AO78" s="39">
        <f t="shared" si="52"/>
        <v>0</v>
      </c>
      <c r="AP78" s="39">
        <f t="shared" si="52"/>
        <v>0</v>
      </c>
      <c r="AQ78" s="39">
        <f t="shared" si="52"/>
        <v>0</v>
      </c>
      <c r="AR78" s="39">
        <f t="shared" si="52"/>
        <v>0</v>
      </c>
      <c r="AS78" s="39">
        <f t="shared" si="52"/>
        <v>0</v>
      </c>
      <c r="AT78" s="39">
        <f t="shared" si="52"/>
        <v>0</v>
      </c>
      <c r="AU78" s="39">
        <f t="shared" si="52"/>
        <v>0</v>
      </c>
      <c r="AV78" s="39">
        <f t="shared" si="52"/>
        <v>0</v>
      </c>
      <c r="AW78" s="39">
        <f t="shared" si="52"/>
        <v>0</v>
      </c>
      <c r="AX78" s="39">
        <f t="shared" si="52"/>
        <v>0</v>
      </c>
      <c r="AY78" s="39">
        <f t="shared" si="52"/>
        <v>0</v>
      </c>
      <c r="AZ78" s="39">
        <f t="shared" si="52"/>
        <v>0</v>
      </c>
      <c r="BA78" s="39">
        <f t="shared" si="52"/>
        <v>0</v>
      </c>
      <c r="BB78" s="39">
        <f t="shared" si="52"/>
        <v>0</v>
      </c>
      <c r="BC78" s="39">
        <f t="shared" si="52"/>
        <v>0</v>
      </c>
      <c r="BD78" s="39">
        <f t="shared" si="52"/>
        <v>0</v>
      </c>
      <c r="BE78" s="39">
        <f t="shared" si="52"/>
        <v>0</v>
      </c>
      <c r="BF78" s="39">
        <f t="shared" si="52"/>
        <v>0</v>
      </c>
      <c r="BG78" s="39">
        <f t="shared" si="52"/>
        <v>0</v>
      </c>
      <c r="BH78" s="39">
        <f t="shared" si="52"/>
        <v>0</v>
      </c>
      <c r="BI78" s="39">
        <f t="shared" si="52"/>
        <v>0</v>
      </c>
      <c r="BJ78" s="39">
        <f t="shared" si="52"/>
        <v>0</v>
      </c>
      <c r="BK78" s="39">
        <f t="shared" si="52"/>
        <v>0</v>
      </c>
      <c r="BL78" s="39">
        <f t="shared" si="52"/>
        <v>0</v>
      </c>
      <c r="BM78" s="39">
        <f t="shared" si="52"/>
        <v>0</v>
      </c>
      <c r="BN78" s="39">
        <f t="shared" si="52"/>
        <v>0</v>
      </c>
      <c r="BO78" s="39">
        <f t="shared" si="52"/>
        <v>0</v>
      </c>
      <c r="BP78" s="39">
        <f t="shared" si="52"/>
        <v>0</v>
      </c>
      <c r="BQ78" s="39">
        <f t="shared" si="52"/>
        <v>0</v>
      </c>
      <c r="BR78" s="39">
        <f t="shared" si="52"/>
        <v>0</v>
      </c>
      <c r="BS78" s="39">
        <f t="shared" si="52"/>
        <v>0</v>
      </c>
      <c r="BT78" s="39">
        <f t="shared" si="52"/>
        <v>0</v>
      </c>
      <c r="BU78" s="39">
        <f t="shared" si="52"/>
        <v>0</v>
      </c>
      <c r="BV78" s="39">
        <f t="shared" si="52"/>
        <v>0</v>
      </c>
      <c r="BW78" s="39">
        <f t="shared" ref="BW78:DM78" si="53">IF(BW62=0,0,BW77/BW62)</f>
        <v>0</v>
      </c>
      <c r="BX78" s="39">
        <f t="shared" si="53"/>
        <v>0</v>
      </c>
      <c r="BY78" s="39">
        <f t="shared" si="53"/>
        <v>0</v>
      </c>
      <c r="BZ78" s="39">
        <f t="shared" si="53"/>
        <v>0</v>
      </c>
      <c r="CA78" s="39">
        <f t="shared" si="53"/>
        <v>0</v>
      </c>
      <c r="CB78" s="39">
        <f t="shared" si="53"/>
        <v>0</v>
      </c>
      <c r="CC78" s="39">
        <f t="shared" si="53"/>
        <v>0</v>
      </c>
      <c r="CD78" s="39">
        <f t="shared" si="53"/>
        <v>0</v>
      </c>
      <c r="CE78" s="39">
        <f t="shared" si="53"/>
        <v>0</v>
      </c>
      <c r="CF78" s="39">
        <f t="shared" si="53"/>
        <v>0</v>
      </c>
      <c r="CG78" s="39">
        <f t="shared" si="53"/>
        <v>0</v>
      </c>
      <c r="CH78" s="39">
        <f t="shared" si="53"/>
        <v>0</v>
      </c>
      <c r="CI78" s="39">
        <f t="shared" si="53"/>
        <v>0</v>
      </c>
      <c r="CJ78" s="39">
        <f t="shared" si="53"/>
        <v>0</v>
      </c>
      <c r="CK78" s="39">
        <f t="shared" si="53"/>
        <v>0</v>
      </c>
      <c r="CL78" s="39">
        <f t="shared" si="53"/>
        <v>0</v>
      </c>
      <c r="CM78" s="39">
        <f t="shared" si="53"/>
        <v>0</v>
      </c>
      <c r="CN78" s="39">
        <f t="shared" si="53"/>
        <v>0</v>
      </c>
      <c r="CO78" s="39">
        <f t="shared" si="53"/>
        <v>0</v>
      </c>
      <c r="CP78" s="39">
        <f t="shared" si="53"/>
        <v>0</v>
      </c>
      <c r="CQ78" s="39">
        <f t="shared" si="53"/>
        <v>0</v>
      </c>
      <c r="CR78" s="39">
        <f t="shared" si="53"/>
        <v>0</v>
      </c>
      <c r="CS78" s="39">
        <f t="shared" si="53"/>
        <v>0</v>
      </c>
      <c r="CT78" s="39">
        <f t="shared" si="53"/>
        <v>0</v>
      </c>
      <c r="CU78" s="39">
        <f t="shared" si="53"/>
        <v>0</v>
      </c>
      <c r="CV78" s="39">
        <f t="shared" si="53"/>
        <v>0</v>
      </c>
      <c r="CW78" s="39">
        <f t="shared" si="53"/>
        <v>0</v>
      </c>
      <c r="CX78" s="39">
        <f t="shared" si="53"/>
        <v>0</v>
      </c>
      <c r="CY78" s="39">
        <f t="shared" si="53"/>
        <v>0</v>
      </c>
      <c r="CZ78" s="39">
        <f t="shared" si="53"/>
        <v>0</v>
      </c>
      <c r="DA78" s="39">
        <f t="shared" si="53"/>
        <v>0</v>
      </c>
      <c r="DB78" s="39">
        <f t="shared" si="53"/>
        <v>0</v>
      </c>
      <c r="DC78" s="39">
        <f t="shared" si="53"/>
        <v>0</v>
      </c>
      <c r="DD78" s="39">
        <f t="shared" si="53"/>
        <v>0</v>
      </c>
      <c r="DE78" s="39">
        <f t="shared" si="53"/>
        <v>0</v>
      </c>
      <c r="DF78" s="39">
        <f t="shared" si="53"/>
        <v>0</v>
      </c>
      <c r="DG78" s="39">
        <f t="shared" si="53"/>
        <v>0</v>
      </c>
      <c r="DH78" s="39">
        <f t="shared" si="53"/>
        <v>0</v>
      </c>
      <c r="DI78" s="39">
        <f t="shared" si="53"/>
        <v>0</v>
      </c>
      <c r="DJ78" s="39">
        <f t="shared" si="53"/>
        <v>0</v>
      </c>
      <c r="DK78" s="39">
        <f t="shared" si="53"/>
        <v>0</v>
      </c>
      <c r="DL78" s="39">
        <f t="shared" si="53"/>
        <v>0</v>
      </c>
      <c r="DM78" s="39">
        <f t="shared" si="53"/>
        <v>0</v>
      </c>
    </row>
    <row r="79" spans="3:117" outlineLevel="1" x14ac:dyDescent="0.15">
      <c r="C79" t="s">
        <v>298</v>
      </c>
      <c r="D79" s="5" t="s">
        <v>297</v>
      </c>
      <c r="I79" s="99">
        <f>I72</f>
        <v>26.264769442672637</v>
      </c>
      <c r="J79" s="37">
        <f>J72</f>
        <v>0</v>
      </c>
      <c r="K79" s="37">
        <f t="shared" ref="K79:BV79" si="54">K72</f>
        <v>0</v>
      </c>
      <c r="L79" s="37">
        <f t="shared" si="54"/>
        <v>0</v>
      </c>
      <c r="M79" s="37">
        <f t="shared" si="54"/>
        <v>0</v>
      </c>
      <c r="N79" s="37">
        <f t="shared" si="54"/>
        <v>31.873895808843798</v>
      </c>
      <c r="O79" s="37">
        <f t="shared" si="54"/>
        <v>31.347810534035219</v>
      </c>
      <c r="P79" s="37">
        <f t="shared" si="54"/>
        <v>31.731800251012338</v>
      </c>
      <c r="Q79" s="37">
        <f t="shared" si="54"/>
        <v>32.551933812642744</v>
      </c>
      <c r="R79" s="37">
        <f t="shared" si="54"/>
        <v>15.067886021381133</v>
      </c>
      <c r="S79" s="37">
        <f t="shared" si="54"/>
        <v>27.288350178847878</v>
      </c>
      <c r="T79" s="37">
        <f t="shared" si="54"/>
        <v>22.989705255771341</v>
      </c>
      <c r="U79" s="37">
        <f t="shared" si="54"/>
        <v>19.660379030764336</v>
      </c>
      <c r="V79" s="37">
        <f t="shared" si="54"/>
        <v>21.084979153656544</v>
      </c>
      <c r="W79" s="37">
        <f t="shared" si="54"/>
        <v>19.181195298287975</v>
      </c>
      <c r="X79" s="37">
        <f t="shared" si="54"/>
        <v>31.272851635454458</v>
      </c>
      <c r="Y79" s="37">
        <f t="shared" si="54"/>
        <v>0</v>
      </c>
      <c r="Z79" s="37">
        <f t="shared" si="54"/>
        <v>0</v>
      </c>
      <c r="AA79" s="37">
        <f t="shared" si="54"/>
        <v>0</v>
      </c>
      <c r="AB79" s="37">
        <f t="shared" si="54"/>
        <v>0</v>
      </c>
      <c r="AC79" s="37">
        <f t="shared" si="54"/>
        <v>0</v>
      </c>
      <c r="AD79" s="37">
        <f t="shared" si="54"/>
        <v>0</v>
      </c>
      <c r="AE79" s="37">
        <f t="shared" si="54"/>
        <v>0</v>
      </c>
      <c r="AF79" s="37">
        <f t="shared" si="54"/>
        <v>0</v>
      </c>
      <c r="AG79" s="37">
        <f t="shared" si="54"/>
        <v>0</v>
      </c>
      <c r="AH79" s="37">
        <f t="shared" si="54"/>
        <v>0</v>
      </c>
      <c r="AI79" s="37">
        <f t="shared" si="54"/>
        <v>0</v>
      </c>
      <c r="AJ79" s="37">
        <f t="shared" si="54"/>
        <v>0</v>
      </c>
      <c r="AK79" s="37">
        <f t="shared" si="54"/>
        <v>0</v>
      </c>
      <c r="AL79" s="37">
        <f t="shared" si="54"/>
        <v>0</v>
      </c>
      <c r="AM79" s="37">
        <f t="shared" si="54"/>
        <v>0</v>
      </c>
      <c r="AN79" s="37">
        <f t="shared" si="54"/>
        <v>0</v>
      </c>
      <c r="AO79" s="37">
        <f t="shared" si="54"/>
        <v>0</v>
      </c>
      <c r="AP79" s="37">
        <f t="shared" si="54"/>
        <v>0</v>
      </c>
      <c r="AQ79" s="37">
        <f t="shared" si="54"/>
        <v>0</v>
      </c>
      <c r="AR79" s="37">
        <f t="shared" si="54"/>
        <v>0</v>
      </c>
      <c r="AS79" s="37">
        <f t="shared" si="54"/>
        <v>0</v>
      </c>
      <c r="AT79" s="37">
        <f t="shared" si="54"/>
        <v>0</v>
      </c>
      <c r="AU79" s="37">
        <f t="shared" si="54"/>
        <v>0</v>
      </c>
      <c r="AV79" s="37">
        <f t="shared" si="54"/>
        <v>0</v>
      </c>
      <c r="AW79" s="37">
        <f t="shared" si="54"/>
        <v>0</v>
      </c>
      <c r="AX79" s="37">
        <f t="shared" si="54"/>
        <v>0</v>
      </c>
      <c r="AY79" s="37">
        <f t="shared" si="54"/>
        <v>0</v>
      </c>
      <c r="AZ79" s="37">
        <f t="shared" si="54"/>
        <v>0</v>
      </c>
      <c r="BA79" s="37">
        <f t="shared" si="54"/>
        <v>0</v>
      </c>
      <c r="BB79" s="37">
        <f t="shared" si="54"/>
        <v>0</v>
      </c>
      <c r="BC79" s="37">
        <f t="shared" si="54"/>
        <v>0</v>
      </c>
      <c r="BD79" s="37">
        <f t="shared" si="54"/>
        <v>0</v>
      </c>
      <c r="BE79" s="37">
        <f t="shared" si="54"/>
        <v>0</v>
      </c>
      <c r="BF79" s="37">
        <f t="shared" si="54"/>
        <v>0</v>
      </c>
      <c r="BG79" s="37">
        <f t="shared" si="54"/>
        <v>0</v>
      </c>
      <c r="BH79" s="37">
        <f t="shared" si="54"/>
        <v>0</v>
      </c>
      <c r="BI79" s="37">
        <f t="shared" si="54"/>
        <v>0</v>
      </c>
      <c r="BJ79" s="37">
        <f t="shared" si="54"/>
        <v>0</v>
      </c>
      <c r="BK79" s="37">
        <f t="shared" si="54"/>
        <v>0</v>
      </c>
      <c r="BL79" s="37">
        <f t="shared" si="54"/>
        <v>0</v>
      </c>
      <c r="BM79" s="37">
        <f t="shared" si="54"/>
        <v>0</v>
      </c>
      <c r="BN79" s="37">
        <f t="shared" si="54"/>
        <v>0</v>
      </c>
      <c r="BO79" s="37">
        <f t="shared" si="54"/>
        <v>0</v>
      </c>
      <c r="BP79" s="37">
        <f t="shared" si="54"/>
        <v>0</v>
      </c>
      <c r="BQ79" s="37">
        <f t="shared" si="54"/>
        <v>0</v>
      </c>
      <c r="BR79" s="37">
        <f t="shared" si="54"/>
        <v>0</v>
      </c>
      <c r="BS79" s="37">
        <f t="shared" si="54"/>
        <v>0</v>
      </c>
      <c r="BT79" s="37">
        <f t="shared" si="54"/>
        <v>0</v>
      </c>
      <c r="BU79" s="37">
        <f t="shared" si="54"/>
        <v>0</v>
      </c>
      <c r="BV79" s="37">
        <f t="shared" si="54"/>
        <v>0</v>
      </c>
      <c r="BW79" s="37">
        <f t="shared" ref="BW79:DM79" si="55">BW72</f>
        <v>0</v>
      </c>
      <c r="BX79" s="37">
        <f t="shared" si="55"/>
        <v>0</v>
      </c>
      <c r="BY79" s="37">
        <f t="shared" si="55"/>
        <v>0</v>
      </c>
      <c r="BZ79" s="37">
        <f t="shared" si="55"/>
        <v>0</v>
      </c>
      <c r="CA79" s="37">
        <f t="shared" si="55"/>
        <v>0</v>
      </c>
      <c r="CB79" s="37">
        <f t="shared" si="55"/>
        <v>0</v>
      </c>
      <c r="CC79" s="37">
        <f t="shared" si="55"/>
        <v>0</v>
      </c>
      <c r="CD79" s="37">
        <f t="shared" si="55"/>
        <v>0</v>
      </c>
      <c r="CE79" s="37">
        <f t="shared" si="55"/>
        <v>0</v>
      </c>
      <c r="CF79" s="37">
        <f t="shared" si="55"/>
        <v>0</v>
      </c>
      <c r="CG79" s="37">
        <f t="shared" si="55"/>
        <v>0</v>
      </c>
      <c r="CH79" s="37">
        <f t="shared" si="55"/>
        <v>0</v>
      </c>
      <c r="CI79" s="37">
        <f t="shared" si="55"/>
        <v>0</v>
      </c>
      <c r="CJ79" s="37">
        <f t="shared" si="55"/>
        <v>0</v>
      </c>
      <c r="CK79" s="37">
        <f t="shared" si="55"/>
        <v>0</v>
      </c>
      <c r="CL79" s="37">
        <f t="shared" si="55"/>
        <v>0</v>
      </c>
      <c r="CM79" s="37">
        <f t="shared" si="55"/>
        <v>0</v>
      </c>
      <c r="CN79" s="37">
        <f t="shared" si="55"/>
        <v>0</v>
      </c>
      <c r="CO79" s="37">
        <f t="shared" si="55"/>
        <v>0</v>
      </c>
      <c r="CP79" s="37">
        <f t="shared" si="55"/>
        <v>0</v>
      </c>
      <c r="CQ79" s="37">
        <f t="shared" si="55"/>
        <v>0</v>
      </c>
      <c r="CR79" s="37">
        <f t="shared" si="55"/>
        <v>0</v>
      </c>
      <c r="CS79" s="37">
        <f t="shared" si="55"/>
        <v>0</v>
      </c>
      <c r="CT79" s="37">
        <f t="shared" si="55"/>
        <v>0</v>
      </c>
      <c r="CU79" s="37">
        <f t="shared" si="55"/>
        <v>0</v>
      </c>
      <c r="CV79" s="37">
        <f t="shared" si="55"/>
        <v>0</v>
      </c>
      <c r="CW79" s="37">
        <f t="shared" si="55"/>
        <v>0</v>
      </c>
      <c r="CX79" s="37">
        <f t="shared" si="55"/>
        <v>0</v>
      </c>
      <c r="CY79" s="37">
        <f t="shared" si="55"/>
        <v>0</v>
      </c>
      <c r="CZ79" s="37">
        <f t="shared" si="55"/>
        <v>0</v>
      </c>
      <c r="DA79" s="37">
        <f t="shared" si="55"/>
        <v>0</v>
      </c>
      <c r="DB79" s="37">
        <f t="shared" si="55"/>
        <v>0</v>
      </c>
      <c r="DC79" s="37">
        <f t="shared" si="55"/>
        <v>0</v>
      </c>
      <c r="DD79" s="37">
        <f t="shared" si="55"/>
        <v>0</v>
      </c>
      <c r="DE79" s="37">
        <f t="shared" si="55"/>
        <v>0</v>
      </c>
      <c r="DF79" s="37">
        <f t="shared" si="55"/>
        <v>0</v>
      </c>
      <c r="DG79" s="37">
        <f t="shared" si="55"/>
        <v>0</v>
      </c>
      <c r="DH79" s="37">
        <f t="shared" si="55"/>
        <v>0</v>
      </c>
      <c r="DI79" s="37">
        <f t="shared" si="55"/>
        <v>0</v>
      </c>
      <c r="DJ79" s="37">
        <f t="shared" si="55"/>
        <v>0</v>
      </c>
      <c r="DK79" s="37">
        <f t="shared" si="55"/>
        <v>0</v>
      </c>
      <c r="DL79" s="37">
        <f t="shared" si="55"/>
        <v>0</v>
      </c>
      <c r="DM79" s="37">
        <f t="shared" si="55"/>
        <v>0</v>
      </c>
    </row>
    <row r="80" spans="3:117" outlineLevel="1" x14ac:dyDescent="0.15">
      <c r="C80" t="s">
        <v>175</v>
      </c>
      <c r="D80" s="5" t="s">
        <v>297</v>
      </c>
      <c r="I80" s="99">
        <f>SUM(I78:I79)</f>
        <v>45.954086346278508</v>
      </c>
      <c r="J80" s="38">
        <f>SUM(J78:J79)</f>
        <v>0</v>
      </c>
      <c r="K80" s="38">
        <f t="shared" ref="K80:BV80" si="56">SUM(K78:K79)</f>
        <v>0</v>
      </c>
      <c r="L80" s="38">
        <f t="shared" si="56"/>
        <v>0</v>
      </c>
      <c r="M80" s="38">
        <f t="shared" si="56"/>
        <v>0</v>
      </c>
      <c r="N80" s="38">
        <f t="shared" si="56"/>
        <v>50.721843757523999</v>
      </c>
      <c r="O80" s="38">
        <f t="shared" si="56"/>
        <v>50.274671273936704</v>
      </c>
      <c r="P80" s="38">
        <f t="shared" si="56"/>
        <v>50.601062533367262</v>
      </c>
      <c r="Q80" s="38">
        <f t="shared" si="56"/>
        <v>51.298176060753107</v>
      </c>
      <c r="R80" s="38">
        <f t="shared" si="56"/>
        <v>36.436735438180733</v>
      </c>
      <c r="S80" s="38">
        <f t="shared" si="56"/>
        <v>46.824129972027464</v>
      </c>
      <c r="T80" s="38">
        <f t="shared" si="56"/>
        <v>43.170281787412414</v>
      </c>
      <c r="U80" s="38">
        <f t="shared" si="56"/>
        <v>40.340354496156465</v>
      </c>
      <c r="V80" s="38">
        <f t="shared" si="56"/>
        <v>41.551264600614829</v>
      </c>
      <c r="W80" s="38">
        <f t="shared" si="56"/>
        <v>39.933048323551546</v>
      </c>
      <c r="X80" s="38">
        <f t="shared" si="56"/>
        <v>50.21095621014306</v>
      </c>
      <c r="Y80" s="38">
        <f t="shared" si="56"/>
        <v>0</v>
      </c>
      <c r="Z80" s="38">
        <f t="shared" si="56"/>
        <v>0</v>
      </c>
      <c r="AA80" s="38">
        <f t="shared" si="56"/>
        <v>0</v>
      </c>
      <c r="AB80" s="38">
        <f t="shared" si="56"/>
        <v>0</v>
      </c>
      <c r="AC80" s="38">
        <f t="shared" si="56"/>
        <v>0</v>
      </c>
      <c r="AD80" s="38">
        <f t="shared" si="56"/>
        <v>0</v>
      </c>
      <c r="AE80" s="38">
        <f t="shared" si="56"/>
        <v>0</v>
      </c>
      <c r="AF80" s="38">
        <f t="shared" si="56"/>
        <v>0</v>
      </c>
      <c r="AG80" s="38">
        <f t="shared" si="56"/>
        <v>0</v>
      </c>
      <c r="AH80" s="38">
        <f t="shared" si="56"/>
        <v>0</v>
      </c>
      <c r="AI80" s="38">
        <f t="shared" si="56"/>
        <v>0</v>
      </c>
      <c r="AJ80" s="38">
        <f t="shared" si="56"/>
        <v>0</v>
      </c>
      <c r="AK80" s="38">
        <f t="shared" si="56"/>
        <v>0</v>
      </c>
      <c r="AL80" s="38">
        <f t="shared" si="56"/>
        <v>0</v>
      </c>
      <c r="AM80" s="38">
        <f t="shared" si="56"/>
        <v>0</v>
      </c>
      <c r="AN80" s="38">
        <f t="shared" si="56"/>
        <v>0</v>
      </c>
      <c r="AO80" s="38">
        <f t="shared" si="56"/>
        <v>0</v>
      </c>
      <c r="AP80" s="38">
        <f t="shared" si="56"/>
        <v>0</v>
      </c>
      <c r="AQ80" s="38">
        <f t="shared" si="56"/>
        <v>0</v>
      </c>
      <c r="AR80" s="38">
        <f t="shared" si="56"/>
        <v>0</v>
      </c>
      <c r="AS80" s="38">
        <f t="shared" si="56"/>
        <v>0</v>
      </c>
      <c r="AT80" s="38">
        <f t="shared" si="56"/>
        <v>0</v>
      </c>
      <c r="AU80" s="38">
        <f t="shared" si="56"/>
        <v>0</v>
      </c>
      <c r="AV80" s="38">
        <f t="shared" si="56"/>
        <v>0</v>
      </c>
      <c r="AW80" s="38">
        <f t="shared" si="56"/>
        <v>0</v>
      </c>
      <c r="AX80" s="38">
        <f t="shared" si="56"/>
        <v>0</v>
      </c>
      <c r="AY80" s="38">
        <f t="shared" si="56"/>
        <v>0</v>
      </c>
      <c r="AZ80" s="38">
        <f t="shared" si="56"/>
        <v>0</v>
      </c>
      <c r="BA80" s="38">
        <f t="shared" si="56"/>
        <v>0</v>
      </c>
      <c r="BB80" s="38">
        <f t="shared" si="56"/>
        <v>0</v>
      </c>
      <c r="BC80" s="38">
        <f t="shared" si="56"/>
        <v>0</v>
      </c>
      <c r="BD80" s="38">
        <f t="shared" si="56"/>
        <v>0</v>
      </c>
      <c r="BE80" s="38">
        <f t="shared" si="56"/>
        <v>0</v>
      </c>
      <c r="BF80" s="38">
        <f t="shared" si="56"/>
        <v>0</v>
      </c>
      <c r="BG80" s="38">
        <f t="shared" si="56"/>
        <v>0</v>
      </c>
      <c r="BH80" s="38">
        <f t="shared" si="56"/>
        <v>0</v>
      </c>
      <c r="BI80" s="38">
        <f t="shared" si="56"/>
        <v>0</v>
      </c>
      <c r="BJ80" s="38">
        <f t="shared" si="56"/>
        <v>0</v>
      </c>
      <c r="BK80" s="38">
        <f t="shared" si="56"/>
        <v>0</v>
      </c>
      <c r="BL80" s="38">
        <f t="shared" si="56"/>
        <v>0</v>
      </c>
      <c r="BM80" s="38">
        <f t="shared" si="56"/>
        <v>0</v>
      </c>
      <c r="BN80" s="38">
        <f t="shared" si="56"/>
        <v>0</v>
      </c>
      <c r="BO80" s="38">
        <f t="shared" si="56"/>
        <v>0</v>
      </c>
      <c r="BP80" s="38">
        <f t="shared" si="56"/>
        <v>0</v>
      </c>
      <c r="BQ80" s="38">
        <f t="shared" si="56"/>
        <v>0</v>
      </c>
      <c r="BR80" s="38">
        <f t="shared" si="56"/>
        <v>0</v>
      </c>
      <c r="BS80" s="38">
        <f t="shared" si="56"/>
        <v>0</v>
      </c>
      <c r="BT80" s="38">
        <f t="shared" si="56"/>
        <v>0</v>
      </c>
      <c r="BU80" s="38">
        <f t="shared" si="56"/>
        <v>0</v>
      </c>
      <c r="BV80" s="38">
        <f t="shared" si="56"/>
        <v>0</v>
      </c>
      <c r="BW80" s="38">
        <f t="shared" ref="BW80:DM80" si="57">SUM(BW78:BW79)</f>
        <v>0</v>
      </c>
      <c r="BX80" s="38">
        <f t="shared" si="57"/>
        <v>0</v>
      </c>
      <c r="BY80" s="38">
        <f t="shared" si="57"/>
        <v>0</v>
      </c>
      <c r="BZ80" s="38">
        <f t="shared" si="57"/>
        <v>0</v>
      </c>
      <c r="CA80" s="38">
        <f t="shared" si="57"/>
        <v>0</v>
      </c>
      <c r="CB80" s="38">
        <f t="shared" si="57"/>
        <v>0</v>
      </c>
      <c r="CC80" s="38">
        <f t="shared" si="57"/>
        <v>0</v>
      </c>
      <c r="CD80" s="38">
        <f t="shared" si="57"/>
        <v>0</v>
      </c>
      <c r="CE80" s="38">
        <f t="shared" si="57"/>
        <v>0</v>
      </c>
      <c r="CF80" s="38">
        <f t="shared" si="57"/>
        <v>0</v>
      </c>
      <c r="CG80" s="38">
        <f t="shared" si="57"/>
        <v>0</v>
      </c>
      <c r="CH80" s="38">
        <f t="shared" si="57"/>
        <v>0</v>
      </c>
      <c r="CI80" s="38">
        <f t="shared" si="57"/>
        <v>0</v>
      </c>
      <c r="CJ80" s="38">
        <f t="shared" si="57"/>
        <v>0</v>
      </c>
      <c r="CK80" s="38">
        <f t="shared" si="57"/>
        <v>0</v>
      </c>
      <c r="CL80" s="38">
        <f t="shared" si="57"/>
        <v>0</v>
      </c>
      <c r="CM80" s="38">
        <f t="shared" si="57"/>
        <v>0</v>
      </c>
      <c r="CN80" s="38">
        <f t="shared" si="57"/>
        <v>0</v>
      </c>
      <c r="CO80" s="38">
        <f t="shared" si="57"/>
        <v>0</v>
      </c>
      <c r="CP80" s="38">
        <f t="shared" si="57"/>
        <v>0</v>
      </c>
      <c r="CQ80" s="38">
        <f t="shared" si="57"/>
        <v>0</v>
      </c>
      <c r="CR80" s="38">
        <f t="shared" si="57"/>
        <v>0</v>
      </c>
      <c r="CS80" s="38">
        <f t="shared" si="57"/>
        <v>0</v>
      </c>
      <c r="CT80" s="38">
        <f t="shared" si="57"/>
        <v>0</v>
      </c>
      <c r="CU80" s="38">
        <f t="shared" si="57"/>
        <v>0</v>
      </c>
      <c r="CV80" s="38">
        <f t="shared" si="57"/>
        <v>0</v>
      </c>
      <c r="CW80" s="38">
        <f t="shared" si="57"/>
        <v>0</v>
      </c>
      <c r="CX80" s="38">
        <f t="shared" si="57"/>
        <v>0</v>
      </c>
      <c r="CY80" s="38">
        <f t="shared" si="57"/>
        <v>0</v>
      </c>
      <c r="CZ80" s="38">
        <f t="shared" si="57"/>
        <v>0</v>
      </c>
      <c r="DA80" s="38">
        <f t="shared" si="57"/>
        <v>0</v>
      </c>
      <c r="DB80" s="38">
        <f t="shared" si="57"/>
        <v>0</v>
      </c>
      <c r="DC80" s="38">
        <f t="shared" si="57"/>
        <v>0</v>
      </c>
      <c r="DD80" s="38">
        <f t="shared" si="57"/>
        <v>0</v>
      </c>
      <c r="DE80" s="38">
        <f t="shared" si="57"/>
        <v>0</v>
      </c>
      <c r="DF80" s="38">
        <f t="shared" si="57"/>
        <v>0</v>
      </c>
      <c r="DG80" s="38">
        <f t="shared" si="57"/>
        <v>0</v>
      </c>
      <c r="DH80" s="38">
        <f t="shared" si="57"/>
        <v>0</v>
      </c>
      <c r="DI80" s="38">
        <f t="shared" si="57"/>
        <v>0</v>
      </c>
      <c r="DJ80" s="38">
        <f t="shared" si="57"/>
        <v>0</v>
      </c>
      <c r="DK80" s="38">
        <f t="shared" si="57"/>
        <v>0</v>
      </c>
      <c r="DL80" s="38">
        <f t="shared" si="57"/>
        <v>0</v>
      </c>
      <c r="DM80" s="38">
        <f t="shared" si="57"/>
        <v>0</v>
      </c>
    </row>
    <row r="81" spans="3:117" outlineLevel="1" x14ac:dyDescent="0.15"/>
    <row r="82" spans="3:117" outlineLevel="1" x14ac:dyDescent="0.15">
      <c r="C82" t="s">
        <v>315</v>
      </c>
      <c r="D82" s="5" t="s">
        <v>132</v>
      </c>
      <c r="I82" s="99">
        <f>I80*Operations!J9</f>
        <v>34.465564759708883</v>
      </c>
      <c r="J82" s="39">
        <f>J80*Operations!J9</f>
        <v>0</v>
      </c>
      <c r="K82" s="39">
        <f>K80*Operations!K9</f>
        <v>0</v>
      </c>
      <c r="L82" s="39">
        <f>L80*Operations!L9</f>
        <v>0</v>
      </c>
      <c r="M82" s="39">
        <f>M80*Operations!M9</f>
        <v>0</v>
      </c>
      <c r="N82" s="39">
        <f>N80*Operations!N9</f>
        <v>38.041382818142999</v>
      </c>
      <c r="O82" s="39">
        <f>O80*Operations!O9</f>
        <v>37.706003455452532</v>
      </c>
      <c r="P82" s="39">
        <f>P80*Operations!P9</f>
        <v>37.950796900025445</v>
      </c>
      <c r="Q82" s="39">
        <f>Q80*Operations!Q9</f>
        <v>38.473632045564827</v>
      </c>
      <c r="R82" s="39">
        <f>R80*Operations!R9</f>
        <v>27.32755157863555</v>
      </c>
      <c r="S82" s="39">
        <f>S80*Operations!S9</f>
        <v>35.118097479020598</v>
      </c>
      <c r="T82" s="39">
        <f>T80*Operations!T9</f>
        <v>32.377711340559308</v>
      </c>
      <c r="U82" s="39">
        <f>U80*Operations!U9</f>
        <v>30.255265872117349</v>
      </c>
      <c r="V82" s="39">
        <f>V80*Operations!V9</f>
        <v>31.163448450461122</v>
      </c>
      <c r="W82" s="39">
        <f>W80*Operations!W9</f>
        <v>29.949786242663659</v>
      </c>
      <c r="X82" s="39">
        <f>X80*Operations!X9</f>
        <v>37.658217157607297</v>
      </c>
      <c r="Y82" s="39">
        <f>Y80*Operations!Y9</f>
        <v>0</v>
      </c>
      <c r="Z82" s="39">
        <f>Z80*Operations!Z9</f>
        <v>0</v>
      </c>
      <c r="AA82" s="39">
        <f>AA80*Operations!AA9</f>
        <v>0</v>
      </c>
      <c r="AB82" s="39">
        <f>AB80*Operations!AB9</f>
        <v>0</v>
      </c>
      <c r="AC82" s="39">
        <f>AC80*Operations!AC9</f>
        <v>0</v>
      </c>
      <c r="AD82" s="39">
        <f>AD80*Operations!AD9</f>
        <v>0</v>
      </c>
      <c r="AE82" s="39">
        <f>AE80*Operations!AE9</f>
        <v>0</v>
      </c>
      <c r="AF82" s="39">
        <f>AF80*Operations!AF9</f>
        <v>0</v>
      </c>
      <c r="AG82" s="39">
        <f>AG80*Operations!AG9</f>
        <v>0</v>
      </c>
      <c r="AH82" s="39">
        <f>AH80*Operations!AH9</f>
        <v>0</v>
      </c>
      <c r="AI82" s="39">
        <f>AI80*Operations!AI9</f>
        <v>0</v>
      </c>
      <c r="AJ82" s="39">
        <f>AJ80*Operations!AJ9</f>
        <v>0</v>
      </c>
      <c r="AK82" s="39">
        <f>AK80*Operations!AK9</f>
        <v>0</v>
      </c>
      <c r="AL82" s="39">
        <f>AL80*Operations!AL9</f>
        <v>0</v>
      </c>
      <c r="AM82" s="39">
        <f>AM80*Operations!AM9</f>
        <v>0</v>
      </c>
      <c r="AN82" s="39">
        <f>AN80*Operations!AN9</f>
        <v>0</v>
      </c>
      <c r="AO82" s="39">
        <f>AO80*Operations!AO9</f>
        <v>0</v>
      </c>
      <c r="AP82" s="39">
        <f>AP80*Operations!AP9</f>
        <v>0</v>
      </c>
      <c r="AQ82" s="39">
        <f>AQ80*Operations!AQ9</f>
        <v>0</v>
      </c>
      <c r="AR82" s="39">
        <f>AR80*Operations!AR9</f>
        <v>0</v>
      </c>
      <c r="AS82" s="39">
        <f>AS80*Operations!AS9</f>
        <v>0</v>
      </c>
      <c r="AT82" s="39">
        <f>AT80*Operations!AT9</f>
        <v>0</v>
      </c>
      <c r="AU82" s="39">
        <f>AU80*Operations!AU9</f>
        <v>0</v>
      </c>
      <c r="AV82" s="39">
        <f>AV80*Operations!AV9</f>
        <v>0</v>
      </c>
      <c r="AW82" s="39">
        <f>AW80*Operations!AW9</f>
        <v>0</v>
      </c>
      <c r="AX82" s="39">
        <f>AX80*Operations!AX9</f>
        <v>0</v>
      </c>
      <c r="AY82" s="39">
        <f>AY80*Operations!AY9</f>
        <v>0</v>
      </c>
      <c r="AZ82" s="39">
        <f>AZ80*Operations!AZ9</f>
        <v>0</v>
      </c>
      <c r="BA82" s="39">
        <f>BA80*Operations!BA9</f>
        <v>0</v>
      </c>
      <c r="BB82" s="39">
        <f>BB80*Operations!BB9</f>
        <v>0</v>
      </c>
      <c r="BC82" s="39">
        <f>BC80*Operations!BC9</f>
        <v>0</v>
      </c>
      <c r="BD82" s="39">
        <f>BD80*Operations!BD9</f>
        <v>0</v>
      </c>
      <c r="BE82" s="39">
        <f>BE80*Operations!BE9</f>
        <v>0</v>
      </c>
      <c r="BF82" s="39">
        <f>BF80*Operations!BF9</f>
        <v>0</v>
      </c>
      <c r="BG82" s="39">
        <f>BG80*Operations!BG9</f>
        <v>0</v>
      </c>
      <c r="BH82" s="39">
        <f>BH80*Operations!BH9</f>
        <v>0</v>
      </c>
      <c r="BI82" s="39">
        <f>BI80*Operations!BI9</f>
        <v>0</v>
      </c>
      <c r="BJ82" s="39">
        <f>BJ80*Operations!BJ9</f>
        <v>0</v>
      </c>
      <c r="BK82" s="39">
        <f>BK80*Operations!BK9</f>
        <v>0</v>
      </c>
      <c r="BL82" s="39">
        <f>BL80*Operations!BL9</f>
        <v>0</v>
      </c>
      <c r="BM82" s="39">
        <f>BM80*Operations!BM9</f>
        <v>0</v>
      </c>
      <c r="BN82" s="39">
        <f>BN80*Operations!BN9</f>
        <v>0</v>
      </c>
      <c r="BO82" s="39">
        <f>BO80*Operations!BO9</f>
        <v>0</v>
      </c>
      <c r="BP82" s="39">
        <f>BP80*Operations!BP9</f>
        <v>0</v>
      </c>
      <c r="BQ82" s="39">
        <f>BQ80*Operations!BQ9</f>
        <v>0</v>
      </c>
      <c r="BR82" s="39">
        <f>BR80*Operations!BR9</f>
        <v>0</v>
      </c>
      <c r="BS82" s="39">
        <f>BS80*Operations!BS9</f>
        <v>0</v>
      </c>
      <c r="BT82" s="39">
        <f>BT80*Operations!BT9</f>
        <v>0</v>
      </c>
      <c r="BU82" s="39">
        <f>BU80*Operations!BU9</f>
        <v>0</v>
      </c>
      <c r="BV82" s="39">
        <f>BV80*Operations!BV9</f>
        <v>0</v>
      </c>
      <c r="BW82" s="39">
        <f>BW80*Operations!BW9</f>
        <v>0</v>
      </c>
      <c r="BX82" s="39">
        <f>BX80*Operations!BX9</f>
        <v>0</v>
      </c>
      <c r="BY82" s="39">
        <f>BY80*Operations!BY9</f>
        <v>0</v>
      </c>
      <c r="BZ82" s="39">
        <f>BZ80*Operations!BZ9</f>
        <v>0</v>
      </c>
      <c r="CA82" s="39">
        <f>CA80*Operations!CA9</f>
        <v>0</v>
      </c>
      <c r="CB82" s="39">
        <f>CB80*Operations!CB9</f>
        <v>0</v>
      </c>
      <c r="CC82" s="39">
        <f>CC80*Operations!CC9</f>
        <v>0</v>
      </c>
      <c r="CD82" s="39">
        <f>CD80*Operations!CD9</f>
        <v>0</v>
      </c>
      <c r="CE82" s="39">
        <f>CE80*Operations!CE9</f>
        <v>0</v>
      </c>
      <c r="CF82" s="39">
        <f>CF80*Operations!CF9</f>
        <v>0</v>
      </c>
      <c r="CG82" s="39">
        <f>CG80*Operations!CG9</f>
        <v>0</v>
      </c>
      <c r="CH82" s="39">
        <f>CH80*Operations!CH9</f>
        <v>0</v>
      </c>
      <c r="CI82" s="39">
        <f>CI80*Operations!CI9</f>
        <v>0</v>
      </c>
      <c r="CJ82" s="39">
        <f>CJ80*Operations!CJ9</f>
        <v>0</v>
      </c>
      <c r="CK82" s="39">
        <f>CK80*Operations!CK9</f>
        <v>0</v>
      </c>
      <c r="CL82" s="39">
        <f>CL80*Operations!CL9</f>
        <v>0</v>
      </c>
      <c r="CM82" s="39">
        <f>CM80*Operations!CM9</f>
        <v>0</v>
      </c>
      <c r="CN82" s="39">
        <f>CN80*Operations!CN9</f>
        <v>0</v>
      </c>
      <c r="CO82" s="39">
        <f>CO80*Operations!CO9</f>
        <v>0</v>
      </c>
      <c r="CP82" s="39">
        <f>CP80*Operations!CP9</f>
        <v>0</v>
      </c>
      <c r="CQ82" s="39">
        <f>CQ80*Operations!CQ9</f>
        <v>0</v>
      </c>
      <c r="CR82" s="39">
        <f>CR80*Operations!CR9</f>
        <v>0</v>
      </c>
      <c r="CS82" s="39">
        <f>CS80*Operations!CS9</f>
        <v>0</v>
      </c>
      <c r="CT82" s="39">
        <f>CT80*Operations!CT9</f>
        <v>0</v>
      </c>
      <c r="CU82" s="39">
        <f>CU80*Operations!CU9</f>
        <v>0</v>
      </c>
      <c r="CV82" s="39">
        <f>CV80*Operations!CV9</f>
        <v>0</v>
      </c>
      <c r="CW82" s="39">
        <f>CW80*Operations!CW9</f>
        <v>0</v>
      </c>
      <c r="CX82" s="39">
        <f>CX80*Operations!CX9</f>
        <v>0</v>
      </c>
      <c r="CY82" s="39">
        <f>CY80*Operations!CY9</f>
        <v>0</v>
      </c>
      <c r="CZ82" s="39">
        <f>CZ80*Operations!CZ9</f>
        <v>0</v>
      </c>
      <c r="DA82" s="39">
        <f>DA80*Operations!DA9</f>
        <v>0</v>
      </c>
      <c r="DB82" s="39">
        <f>DB80*Operations!DB9</f>
        <v>0</v>
      </c>
      <c r="DC82" s="39">
        <f>DC80*Operations!DC9</f>
        <v>0</v>
      </c>
      <c r="DD82" s="39">
        <f>DD80*Operations!DD9</f>
        <v>0</v>
      </c>
      <c r="DE82" s="39">
        <f>DE80*Operations!DE9</f>
        <v>0</v>
      </c>
      <c r="DF82" s="39">
        <f>DF80*Operations!DF9</f>
        <v>0</v>
      </c>
      <c r="DG82" s="39">
        <f>DG80*Operations!DG9</f>
        <v>0</v>
      </c>
      <c r="DH82" s="39">
        <f>DH80*Operations!DH9</f>
        <v>0</v>
      </c>
      <c r="DI82" s="39">
        <f>DI80*Operations!DI9</f>
        <v>0</v>
      </c>
      <c r="DJ82" s="39">
        <f>DJ80*Operations!DJ9</f>
        <v>0</v>
      </c>
      <c r="DK82" s="39">
        <f>DK80*Operations!DK9</f>
        <v>0</v>
      </c>
      <c r="DL82" s="39">
        <f>DL80*Operations!DL9</f>
        <v>0</v>
      </c>
      <c r="DM82" s="39">
        <f>DM80*Operations!DM9</f>
        <v>0</v>
      </c>
    </row>
    <row r="83" spans="3:117" outlineLevel="1" x14ac:dyDescent="0.15">
      <c r="D83" s="5"/>
    </row>
    <row r="84" spans="3:117" ht="14" outlineLevel="1" x14ac:dyDescent="0.15">
      <c r="C84" s="2" t="s">
        <v>128</v>
      </c>
    </row>
    <row r="85" spans="3:117" outlineLevel="1" x14ac:dyDescent="0.15">
      <c r="C85" t="s">
        <v>99</v>
      </c>
      <c r="D85" s="5" t="s">
        <v>167</v>
      </c>
      <c r="I85" s="35">
        <f>SUM(J85:DM85)</f>
        <v>3021264430.0000005</v>
      </c>
      <c r="J85" s="37">
        <f t="shared" ref="J85:AO85" si="58">-J24</f>
        <v>232295554.04907975</v>
      </c>
      <c r="K85" s="37">
        <f t="shared" si="58"/>
        <v>511440631.60385638</v>
      </c>
      <c r="L85" s="37">
        <f t="shared" si="58"/>
        <v>952606977.94916749</v>
      </c>
      <c r="M85" s="37">
        <f t="shared" si="58"/>
        <v>530961266.39789659</v>
      </c>
      <c r="N85" s="37">
        <f t="shared" si="58"/>
        <v>144000000</v>
      </c>
      <c r="O85" s="37">
        <f t="shared" si="58"/>
        <v>150000000</v>
      </c>
      <c r="P85" s="37">
        <f t="shared" si="58"/>
        <v>132000000</v>
      </c>
      <c r="Q85" s="37">
        <f t="shared" si="58"/>
        <v>114000000</v>
      </c>
      <c r="R85" s="37">
        <f t="shared" si="58"/>
        <v>78000000</v>
      </c>
      <c r="S85" s="37">
        <f t="shared" si="58"/>
        <v>18000000</v>
      </c>
      <c r="T85" s="37">
        <f t="shared" si="58"/>
        <v>22000000</v>
      </c>
      <c r="U85" s="37">
        <f t="shared" si="58"/>
        <v>10000000</v>
      </c>
      <c r="V85" s="37">
        <f t="shared" si="58"/>
        <v>10000000</v>
      </c>
      <c r="W85" s="37">
        <f t="shared" si="58"/>
        <v>0</v>
      </c>
      <c r="X85" s="37">
        <f t="shared" si="58"/>
        <v>46000000</v>
      </c>
      <c r="Y85" s="37">
        <f t="shared" si="58"/>
        <v>69960000</v>
      </c>
      <c r="Z85" s="37">
        <f t="shared" si="58"/>
        <v>0</v>
      </c>
      <c r="AA85" s="37">
        <f t="shared" si="58"/>
        <v>0</v>
      </c>
      <c r="AB85" s="37">
        <f t="shared" si="58"/>
        <v>0</v>
      </c>
      <c r="AC85" s="37">
        <f t="shared" si="58"/>
        <v>0</v>
      </c>
      <c r="AD85" s="37">
        <f t="shared" si="58"/>
        <v>0</v>
      </c>
      <c r="AE85" s="37">
        <f t="shared" si="58"/>
        <v>0</v>
      </c>
      <c r="AF85" s="37">
        <f t="shared" si="58"/>
        <v>0</v>
      </c>
      <c r="AG85" s="37">
        <f t="shared" si="58"/>
        <v>0</v>
      </c>
      <c r="AH85" s="37">
        <f t="shared" si="58"/>
        <v>0</v>
      </c>
      <c r="AI85" s="37">
        <f t="shared" si="58"/>
        <v>0</v>
      </c>
      <c r="AJ85" s="37">
        <f t="shared" si="58"/>
        <v>0</v>
      </c>
      <c r="AK85" s="37">
        <f t="shared" si="58"/>
        <v>0</v>
      </c>
      <c r="AL85" s="37">
        <f t="shared" si="58"/>
        <v>0</v>
      </c>
      <c r="AM85" s="37">
        <f t="shared" si="58"/>
        <v>0</v>
      </c>
      <c r="AN85" s="37">
        <f t="shared" si="58"/>
        <v>0</v>
      </c>
      <c r="AO85" s="37">
        <f t="shared" si="58"/>
        <v>0</v>
      </c>
      <c r="AP85" s="37">
        <f t="shared" ref="AP85:BU85" si="59">-AP24</f>
        <v>0</v>
      </c>
      <c r="AQ85" s="37">
        <f t="shared" si="59"/>
        <v>0</v>
      </c>
      <c r="AR85" s="37">
        <f t="shared" si="59"/>
        <v>0</v>
      </c>
      <c r="AS85" s="37">
        <f t="shared" si="59"/>
        <v>0</v>
      </c>
      <c r="AT85" s="37">
        <f t="shared" si="59"/>
        <v>0</v>
      </c>
      <c r="AU85" s="37">
        <f t="shared" si="59"/>
        <v>0</v>
      </c>
      <c r="AV85" s="37">
        <f t="shared" si="59"/>
        <v>0</v>
      </c>
      <c r="AW85" s="37">
        <f t="shared" si="59"/>
        <v>0</v>
      </c>
      <c r="AX85" s="37">
        <f t="shared" si="59"/>
        <v>0</v>
      </c>
      <c r="AY85" s="37">
        <f t="shared" si="59"/>
        <v>0</v>
      </c>
      <c r="AZ85" s="37">
        <f t="shared" si="59"/>
        <v>0</v>
      </c>
      <c r="BA85" s="37">
        <f t="shared" si="59"/>
        <v>0</v>
      </c>
      <c r="BB85" s="37">
        <f t="shared" si="59"/>
        <v>0</v>
      </c>
      <c r="BC85" s="37">
        <f t="shared" si="59"/>
        <v>0</v>
      </c>
      <c r="BD85" s="37">
        <f t="shared" si="59"/>
        <v>0</v>
      </c>
      <c r="BE85" s="37">
        <f t="shared" si="59"/>
        <v>0</v>
      </c>
      <c r="BF85" s="37">
        <f t="shared" si="59"/>
        <v>0</v>
      </c>
      <c r="BG85" s="37">
        <f t="shared" si="59"/>
        <v>0</v>
      </c>
      <c r="BH85" s="37">
        <f t="shared" si="59"/>
        <v>0</v>
      </c>
      <c r="BI85" s="37">
        <f t="shared" si="59"/>
        <v>0</v>
      </c>
      <c r="BJ85" s="37">
        <f t="shared" si="59"/>
        <v>0</v>
      </c>
      <c r="BK85" s="37">
        <f t="shared" si="59"/>
        <v>0</v>
      </c>
      <c r="BL85" s="37">
        <f t="shared" si="59"/>
        <v>0</v>
      </c>
      <c r="BM85" s="37">
        <f t="shared" si="59"/>
        <v>0</v>
      </c>
      <c r="BN85" s="37">
        <f t="shared" si="59"/>
        <v>0</v>
      </c>
      <c r="BO85" s="37">
        <f t="shared" si="59"/>
        <v>0</v>
      </c>
      <c r="BP85" s="37">
        <f t="shared" si="59"/>
        <v>0</v>
      </c>
      <c r="BQ85" s="37">
        <f t="shared" si="59"/>
        <v>0</v>
      </c>
      <c r="BR85" s="37">
        <f t="shared" si="59"/>
        <v>0</v>
      </c>
      <c r="BS85" s="37">
        <f t="shared" si="59"/>
        <v>0</v>
      </c>
      <c r="BT85" s="37">
        <f t="shared" si="59"/>
        <v>0</v>
      </c>
      <c r="BU85" s="37">
        <f t="shared" si="59"/>
        <v>0</v>
      </c>
      <c r="BV85" s="37">
        <f t="shared" ref="BV85:DA85" si="60">-BV24</f>
        <v>0</v>
      </c>
      <c r="BW85" s="37">
        <f t="shared" si="60"/>
        <v>0</v>
      </c>
      <c r="BX85" s="37">
        <f t="shared" si="60"/>
        <v>0</v>
      </c>
      <c r="BY85" s="37">
        <f t="shared" si="60"/>
        <v>0</v>
      </c>
      <c r="BZ85" s="37">
        <f t="shared" si="60"/>
        <v>0</v>
      </c>
      <c r="CA85" s="37">
        <f t="shared" si="60"/>
        <v>0</v>
      </c>
      <c r="CB85" s="37">
        <f t="shared" si="60"/>
        <v>0</v>
      </c>
      <c r="CC85" s="37">
        <f t="shared" si="60"/>
        <v>0</v>
      </c>
      <c r="CD85" s="37">
        <f t="shared" si="60"/>
        <v>0</v>
      </c>
      <c r="CE85" s="37">
        <f t="shared" si="60"/>
        <v>0</v>
      </c>
      <c r="CF85" s="37">
        <f t="shared" si="60"/>
        <v>0</v>
      </c>
      <c r="CG85" s="37">
        <f t="shared" si="60"/>
        <v>0</v>
      </c>
      <c r="CH85" s="37">
        <f t="shared" si="60"/>
        <v>0</v>
      </c>
      <c r="CI85" s="37">
        <f t="shared" si="60"/>
        <v>0</v>
      </c>
      <c r="CJ85" s="37">
        <f t="shared" si="60"/>
        <v>0</v>
      </c>
      <c r="CK85" s="37">
        <f t="shared" si="60"/>
        <v>0</v>
      </c>
      <c r="CL85" s="37">
        <f t="shared" si="60"/>
        <v>0</v>
      </c>
      <c r="CM85" s="37">
        <f t="shared" si="60"/>
        <v>0</v>
      </c>
      <c r="CN85" s="37">
        <f t="shared" si="60"/>
        <v>0</v>
      </c>
      <c r="CO85" s="37">
        <f t="shared" si="60"/>
        <v>0</v>
      </c>
      <c r="CP85" s="37">
        <f t="shared" si="60"/>
        <v>0</v>
      </c>
      <c r="CQ85" s="37">
        <f t="shared" si="60"/>
        <v>0</v>
      </c>
      <c r="CR85" s="37">
        <f t="shared" si="60"/>
        <v>0</v>
      </c>
      <c r="CS85" s="37">
        <f t="shared" si="60"/>
        <v>0</v>
      </c>
      <c r="CT85" s="37">
        <f t="shared" si="60"/>
        <v>0</v>
      </c>
      <c r="CU85" s="37">
        <f t="shared" si="60"/>
        <v>0</v>
      </c>
      <c r="CV85" s="37">
        <f t="shared" si="60"/>
        <v>0</v>
      </c>
      <c r="CW85" s="37">
        <f t="shared" si="60"/>
        <v>0</v>
      </c>
      <c r="CX85" s="37">
        <f t="shared" si="60"/>
        <v>0</v>
      </c>
      <c r="CY85" s="37">
        <f t="shared" si="60"/>
        <v>0</v>
      </c>
      <c r="CZ85" s="37">
        <f t="shared" si="60"/>
        <v>0</v>
      </c>
      <c r="DA85" s="37">
        <f t="shared" si="60"/>
        <v>0</v>
      </c>
      <c r="DB85" s="37">
        <f t="shared" ref="DB85:DM85" si="61">-DB24</f>
        <v>0</v>
      </c>
      <c r="DC85" s="37">
        <f t="shared" si="61"/>
        <v>0</v>
      </c>
      <c r="DD85" s="37">
        <f t="shared" si="61"/>
        <v>0</v>
      </c>
      <c r="DE85" s="37">
        <f t="shared" si="61"/>
        <v>0</v>
      </c>
      <c r="DF85" s="37">
        <f t="shared" si="61"/>
        <v>0</v>
      </c>
      <c r="DG85" s="37">
        <f t="shared" si="61"/>
        <v>0</v>
      </c>
      <c r="DH85" s="37">
        <f t="shared" si="61"/>
        <v>0</v>
      </c>
      <c r="DI85" s="37">
        <f t="shared" si="61"/>
        <v>0</v>
      </c>
      <c r="DJ85" s="37">
        <f t="shared" si="61"/>
        <v>0</v>
      </c>
      <c r="DK85" s="37">
        <f t="shared" si="61"/>
        <v>0</v>
      </c>
      <c r="DL85" s="37">
        <f t="shared" si="61"/>
        <v>0</v>
      </c>
      <c r="DM85" s="37">
        <f t="shared" si="61"/>
        <v>0</v>
      </c>
    </row>
    <row r="86" spans="3:117" outlineLevel="1" x14ac:dyDescent="0.15">
      <c r="C86" t="s">
        <v>124</v>
      </c>
      <c r="D86" s="5" t="s">
        <v>167</v>
      </c>
      <c r="I86" s="9"/>
      <c r="J86" s="37">
        <f>I86+J85</f>
        <v>232295554.04907975</v>
      </c>
      <c r="K86" s="37">
        <f t="shared" ref="K86:BV86" si="62">J86+K85</f>
        <v>743736185.6529361</v>
      </c>
      <c r="L86" s="37">
        <f t="shared" si="62"/>
        <v>1696343163.6021037</v>
      </c>
      <c r="M86" s="37">
        <f t="shared" si="62"/>
        <v>2227304430.0000005</v>
      </c>
      <c r="N86" s="37">
        <f t="shared" si="62"/>
        <v>2371304430.0000005</v>
      </c>
      <c r="O86" s="37">
        <f t="shared" si="62"/>
        <v>2521304430.0000005</v>
      </c>
      <c r="P86" s="37">
        <f t="shared" si="62"/>
        <v>2653304430.0000005</v>
      </c>
      <c r="Q86" s="37">
        <f t="shared" si="62"/>
        <v>2767304430.0000005</v>
      </c>
      <c r="R86" s="37">
        <f t="shared" si="62"/>
        <v>2845304430.0000005</v>
      </c>
      <c r="S86" s="37">
        <f t="shared" si="62"/>
        <v>2863304430.0000005</v>
      </c>
      <c r="T86" s="37">
        <f t="shared" si="62"/>
        <v>2885304430.0000005</v>
      </c>
      <c r="U86" s="37">
        <f t="shared" si="62"/>
        <v>2895304430.0000005</v>
      </c>
      <c r="V86" s="37">
        <f t="shared" si="62"/>
        <v>2905304430.0000005</v>
      </c>
      <c r="W86" s="37">
        <f t="shared" si="62"/>
        <v>2905304430.0000005</v>
      </c>
      <c r="X86" s="37">
        <f t="shared" si="62"/>
        <v>2951304430.0000005</v>
      </c>
      <c r="Y86" s="37">
        <f t="shared" si="62"/>
        <v>3021264430.0000005</v>
      </c>
      <c r="Z86" s="37">
        <f t="shared" si="62"/>
        <v>3021264430.0000005</v>
      </c>
      <c r="AA86" s="37">
        <f t="shared" si="62"/>
        <v>3021264430.0000005</v>
      </c>
      <c r="AB86" s="37">
        <f t="shared" si="62"/>
        <v>3021264430.0000005</v>
      </c>
      <c r="AC86" s="37">
        <f t="shared" si="62"/>
        <v>3021264430.0000005</v>
      </c>
      <c r="AD86" s="37">
        <f t="shared" si="62"/>
        <v>3021264430.0000005</v>
      </c>
      <c r="AE86" s="37">
        <f t="shared" si="62"/>
        <v>3021264430.0000005</v>
      </c>
      <c r="AF86" s="37">
        <f t="shared" si="62"/>
        <v>3021264430.0000005</v>
      </c>
      <c r="AG86" s="37">
        <f t="shared" si="62"/>
        <v>3021264430.0000005</v>
      </c>
      <c r="AH86" s="37">
        <f t="shared" si="62"/>
        <v>3021264430.0000005</v>
      </c>
      <c r="AI86" s="37">
        <f t="shared" si="62"/>
        <v>3021264430.0000005</v>
      </c>
      <c r="AJ86" s="37">
        <f t="shared" si="62"/>
        <v>3021264430.0000005</v>
      </c>
      <c r="AK86" s="37">
        <f t="shared" si="62"/>
        <v>3021264430.0000005</v>
      </c>
      <c r="AL86" s="37">
        <f t="shared" si="62"/>
        <v>3021264430.0000005</v>
      </c>
      <c r="AM86" s="37">
        <f t="shared" si="62"/>
        <v>3021264430.0000005</v>
      </c>
      <c r="AN86" s="37">
        <f t="shared" si="62"/>
        <v>3021264430.0000005</v>
      </c>
      <c r="AO86" s="37">
        <f t="shared" si="62"/>
        <v>3021264430.0000005</v>
      </c>
      <c r="AP86" s="37">
        <f t="shared" si="62"/>
        <v>3021264430.0000005</v>
      </c>
      <c r="AQ86" s="37">
        <f t="shared" si="62"/>
        <v>3021264430.0000005</v>
      </c>
      <c r="AR86" s="37">
        <f t="shared" si="62"/>
        <v>3021264430.0000005</v>
      </c>
      <c r="AS86" s="37">
        <f t="shared" si="62"/>
        <v>3021264430.0000005</v>
      </c>
      <c r="AT86" s="37">
        <f t="shared" si="62"/>
        <v>3021264430.0000005</v>
      </c>
      <c r="AU86" s="37">
        <f t="shared" si="62"/>
        <v>3021264430.0000005</v>
      </c>
      <c r="AV86" s="37">
        <f t="shared" si="62"/>
        <v>3021264430.0000005</v>
      </c>
      <c r="AW86" s="37">
        <f t="shared" si="62"/>
        <v>3021264430.0000005</v>
      </c>
      <c r="AX86" s="37">
        <f t="shared" si="62"/>
        <v>3021264430.0000005</v>
      </c>
      <c r="AY86" s="37">
        <f t="shared" si="62"/>
        <v>3021264430.0000005</v>
      </c>
      <c r="AZ86" s="37">
        <f t="shared" si="62"/>
        <v>3021264430.0000005</v>
      </c>
      <c r="BA86" s="37">
        <f t="shared" si="62"/>
        <v>3021264430.0000005</v>
      </c>
      <c r="BB86" s="37">
        <f t="shared" si="62"/>
        <v>3021264430.0000005</v>
      </c>
      <c r="BC86" s="37">
        <f t="shared" si="62"/>
        <v>3021264430.0000005</v>
      </c>
      <c r="BD86" s="37">
        <f t="shared" si="62"/>
        <v>3021264430.0000005</v>
      </c>
      <c r="BE86" s="37">
        <f t="shared" si="62"/>
        <v>3021264430.0000005</v>
      </c>
      <c r="BF86" s="37">
        <f t="shared" si="62"/>
        <v>3021264430.0000005</v>
      </c>
      <c r="BG86" s="37">
        <f t="shared" si="62"/>
        <v>3021264430.0000005</v>
      </c>
      <c r="BH86" s="37">
        <f t="shared" si="62"/>
        <v>3021264430.0000005</v>
      </c>
      <c r="BI86" s="37">
        <f t="shared" si="62"/>
        <v>3021264430.0000005</v>
      </c>
      <c r="BJ86" s="37">
        <f t="shared" si="62"/>
        <v>3021264430.0000005</v>
      </c>
      <c r="BK86" s="37">
        <f t="shared" si="62"/>
        <v>3021264430.0000005</v>
      </c>
      <c r="BL86" s="37">
        <f t="shared" si="62"/>
        <v>3021264430.0000005</v>
      </c>
      <c r="BM86" s="37">
        <f t="shared" si="62"/>
        <v>3021264430.0000005</v>
      </c>
      <c r="BN86" s="37">
        <f t="shared" si="62"/>
        <v>3021264430.0000005</v>
      </c>
      <c r="BO86" s="37">
        <f t="shared" si="62"/>
        <v>3021264430.0000005</v>
      </c>
      <c r="BP86" s="37">
        <f t="shared" si="62"/>
        <v>3021264430.0000005</v>
      </c>
      <c r="BQ86" s="37">
        <f t="shared" si="62"/>
        <v>3021264430.0000005</v>
      </c>
      <c r="BR86" s="37">
        <f t="shared" si="62"/>
        <v>3021264430.0000005</v>
      </c>
      <c r="BS86" s="37">
        <f t="shared" si="62"/>
        <v>3021264430.0000005</v>
      </c>
      <c r="BT86" s="37">
        <f t="shared" si="62"/>
        <v>3021264430.0000005</v>
      </c>
      <c r="BU86" s="37">
        <f t="shared" si="62"/>
        <v>3021264430.0000005</v>
      </c>
      <c r="BV86" s="37">
        <f t="shared" si="62"/>
        <v>3021264430.0000005</v>
      </c>
      <c r="BW86" s="37">
        <f t="shared" ref="BW86:DM86" si="63">BV86+BW85</f>
        <v>3021264430.0000005</v>
      </c>
      <c r="BX86" s="37">
        <f t="shared" si="63"/>
        <v>3021264430.0000005</v>
      </c>
      <c r="BY86" s="37">
        <f t="shared" si="63"/>
        <v>3021264430.0000005</v>
      </c>
      <c r="BZ86" s="37">
        <f t="shared" si="63"/>
        <v>3021264430.0000005</v>
      </c>
      <c r="CA86" s="37">
        <f t="shared" si="63"/>
        <v>3021264430.0000005</v>
      </c>
      <c r="CB86" s="37">
        <f t="shared" si="63"/>
        <v>3021264430.0000005</v>
      </c>
      <c r="CC86" s="37">
        <f t="shared" si="63"/>
        <v>3021264430.0000005</v>
      </c>
      <c r="CD86" s="37">
        <f t="shared" si="63"/>
        <v>3021264430.0000005</v>
      </c>
      <c r="CE86" s="37">
        <f t="shared" si="63"/>
        <v>3021264430.0000005</v>
      </c>
      <c r="CF86" s="37">
        <f t="shared" si="63"/>
        <v>3021264430.0000005</v>
      </c>
      <c r="CG86" s="37">
        <f t="shared" si="63"/>
        <v>3021264430.0000005</v>
      </c>
      <c r="CH86" s="37">
        <f t="shared" si="63"/>
        <v>3021264430.0000005</v>
      </c>
      <c r="CI86" s="37">
        <f t="shared" si="63"/>
        <v>3021264430.0000005</v>
      </c>
      <c r="CJ86" s="37">
        <f t="shared" si="63"/>
        <v>3021264430.0000005</v>
      </c>
      <c r="CK86" s="37">
        <f t="shared" si="63"/>
        <v>3021264430.0000005</v>
      </c>
      <c r="CL86" s="37">
        <f t="shared" si="63"/>
        <v>3021264430.0000005</v>
      </c>
      <c r="CM86" s="37">
        <f t="shared" si="63"/>
        <v>3021264430.0000005</v>
      </c>
      <c r="CN86" s="37">
        <f t="shared" si="63"/>
        <v>3021264430.0000005</v>
      </c>
      <c r="CO86" s="37">
        <f t="shared" si="63"/>
        <v>3021264430.0000005</v>
      </c>
      <c r="CP86" s="37">
        <f t="shared" si="63"/>
        <v>3021264430.0000005</v>
      </c>
      <c r="CQ86" s="37">
        <f t="shared" si="63"/>
        <v>3021264430.0000005</v>
      </c>
      <c r="CR86" s="37">
        <f t="shared" si="63"/>
        <v>3021264430.0000005</v>
      </c>
      <c r="CS86" s="37">
        <f t="shared" si="63"/>
        <v>3021264430.0000005</v>
      </c>
      <c r="CT86" s="37">
        <f t="shared" si="63"/>
        <v>3021264430.0000005</v>
      </c>
      <c r="CU86" s="37">
        <f t="shared" si="63"/>
        <v>3021264430.0000005</v>
      </c>
      <c r="CV86" s="37">
        <f t="shared" si="63"/>
        <v>3021264430.0000005</v>
      </c>
      <c r="CW86" s="37">
        <f t="shared" si="63"/>
        <v>3021264430.0000005</v>
      </c>
      <c r="CX86" s="37">
        <f t="shared" si="63"/>
        <v>3021264430.0000005</v>
      </c>
      <c r="CY86" s="37">
        <f t="shared" si="63"/>
        <v>3021264430.0000005</v>
      </c>
      <c r="CZ86" s="37">
        <f t="shared" si="63"/>
        <v>3021264430.0000005</v>
      </c>
      <c r="DA86" s="37">
        <f t="shared" si="63"/>
        <v>3021264430.0000005</v>
      </c>
      <c r="DB86" s="37">
        <f t="shared" si="63"/>
        <v>3021264430.0000005</v>
      </c>
      <c r="DC86" s="37">
        <f t="shared" si="63"/>
        <v>3021264430.0000005</v>
      </c>
      <c r="DD86" s="37">
        <f t="shared" si="63"/>
        <v>3021264430.0000005</v>
      </c>
      <c r="DE86" s="37">
        <f t="shared" si="63"/>
        <v>3021264430.0000005</v>
      </c>
      <c r="DF86" s="37">
        <f t="shared" si="63"/>
        <v>3021264430.0000005</v>
      </c>
      <c r="DG86" s="37">
        <f t="shared" si="63"/>
        <v>3021264430.0000005</v>
      </c>
      <c r="DH86" s="37">
        <f t="shared" si="63"/>
        <v>3021264430.0000005</v>
      </c>
      <c r="DI86" s="37">
        <f t="shared" si="63"/>
        <v>3021264430.0000005</v>
      </c>
      <c r="DJ86" s="37">
        <f t="shared" si="63"/>
        <v>3021264430.0000005</v>
      </c>
      <c r="DK86" s="37">
        <f t="shared" si="63"/>
        <v>3021264430.0000005</v>
      </c>
      <c r="DL86" s="37">
        <f t="shared" si="63"/>
        <v>3021264430.0000005</v>
      </c>
      <c r="DM86" s="37">
        <f t="shared" si="63"/>
        <v>3021264430.0000005</v>
      </c>
    </row>
  </sheetData>
  <conditionalFormatting sqref="J5:DM6">
    <cfRule type="cellIs" dxfId="17" priority="3" operator="equal">
      <formula>1</formula>
    </cfRule>
  </conditionalFormatting>
  <conditionalFormatting sqref="J47:DM48">
    <cfRule type="cellIs" dxfId="16" priority="1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D619-349D-4162-8D19-11F964C9F7B8}">
  <sheetPr>
    <tabColor theme="9" tint="-0.249977111117893"/>
    <outlinePr summaryBelow="0"/>
  </sheetPr>
  <dimension ref="A1:EE87"/>
  <sheetViews>
    <sheetView zoomScale="90" zoomScaleNormal="90" workbookViewId="0">
      <pane xSplit="9" ySplit="1" topLeftCell="J2" activePane="bottomRight" state="frozen"/>
      <selection activeCell="J18" sqref="J18:K18"/>
      <selection pane="topRight" activeCell="J18" sqref="J18:K18"/>
      <selection pane="bottomLeft" activeCell="J18" sqref="J18:K18"/>
      <selection pane="bottomRight" activeCell="R23" sqref="R23"/>
    </sheetView>
  </sheetViews>
  <sheetFormatPr baseColWidth="10" defaultColWidth="0" defaultRowHeight="13" x14ac:dyDescent="0.15"/>
  <cols>
    <col min="1" max="2" width="2.6640625" customWidth="1"/>
    <col min="3" max="3" width="38.83203125" customWidth="1"/>
    <col min="4" max="4" width="9.1640625" customWidth="1"/>
    <col min="5" max="5" width="18.5" customWidth="1"/>
    <col min="6" max="6" width="1" customWidth="1"/>
    <col min="7" max="7" width="0.83203125" customWidth="1"/>
    <col min="8" max="8" width="1" customWidth="1"/>
    <col min="9" max="9" width="20.5" customWidth="1"/>
    <col min="10" max="109" width="15" customWidth="1"/>
    <col min="110" max="110" width="3.5" customWidth="1"/>
    <col min="111" max="135" width="9.6640625" hidden="1" customWidth="1"/>
    <col min="136" max="16384" width="9.1640625" hidden="1"/>
  </cols>
  <sheetData>
    <row r="1" spans="1:109" ht="23" x14ac:dyDescent="0.25">
      <c r="A1" s="16" t="s">
        <v>197</v>
      </c>
    </row>
    <row r="3" spans="1:109" ht="20" x14ac:dyDescent="0.2">
      <c r="C3" s="4" t="s">
        <v>15</v>
      </c>
    </row>
    <row r="4" spans="1:109" ht="13.5" customHeight="1" x14ac:dyDescent="0.15">
      <c r="C4" t="s">
        <v>85</v>
      </c>
      <c r="D4" s="5" t="s">
        <v>8</v>
      </c>
      <c r="E4" s="17" t="s">
        <v>91</v>
      </c>
      <c r="J4">
        <v>1</v>
      </c>
      <c r="K4">
        <f>J4+1</f>
        <v>2</v>
      </c>
      <c r="L4">
        <f t="shared" ref="L4:BW4" si="0">K4+1</f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>
        <f t="shared" si="0"/>
        <v>31</v>
      </c>
      <c r="AO4">
        <f t="shared" si="0"/>
        <v>32</v>
      </c>
      <c r="AP4">
        <f t="shared" si="0"/>
        <v>33</v>
      </c>
      <c r="AQ4">
        <f t="shared" si="0"/>
        <v>34</v>
      </c>
      <c r="AR4">
        <f t="shared" si="0"/>
        <v>35</v>
      </c>
      <c r="AS4">
        <f t="shared" si="0"/>
        <v>36</v>
      </c>
      <c r="AT4">
        <f t="shared" si="0"/>
        <v>37</v>
      </c>
      <c r="AU4">
        <f t="shared" si="0"/>
        <v>38</v>
      </c>
      <c r="AV4">
        <f t="shared" si="0"/>
        <v>39</v>
      </c>
      <c r="AW4">
        <f t="shared" si="0"/>
        <v>40</v>
      </c>
      <c r="AX4">
        <f t="shared" si="0"/>
        <v>41</v>
      </c>
      <c r="AY4">
        <f t="shared" si="0"/>
        <v>42</v>
      </c>
      <c r="AZ4">
        <f t="shared" si="0"/>
        <v>43</v>
      </c>
      <c r="BA4">
        <f t="shared" si="0"/>
        <v>44</v>
      </c>
      <c r="BB4">
        <f t="shared" si="0"/>
        <v>45</v>
      </c>
      <c r="BC4">
        <f t="shared" si="0"/>
        <v>46</v>
      </c>
      <c r="BD4">
        <f t="shared" si="0"/>
        <v>47</v>
      </c>
      <c r="BE4">
        <f t="shared" si="0"/>
        <v>48</v>
      </c>
      <c r="BF4">
        <f t="shared" si="0"/>
        <v>49</v>
      </c>
      <c r="BG4">
        <f t="shared" si="0"/>
        <v>50</v>
      </c>
      <c r="BH4">
        <f t="shared" si="0"/>
        <v>51</v>
      </c>
      <c r="BI4">
        <f t="shared" si="0"/>
        <v>52</v>
      </c>
      <c r="BJ4">
        <f t="shared" si="0"/>
        <v>53</v>
      </c>
      <c r="BK4">
        <f t="shared" si="0"/>
        <v>54</v>
      </c>
      <c r="BL4">
        <f t="shared" si="0"/>
        <v>55</v>
      </c>
      <c r="BM4">
        <f t="shared" si="0"/>
        <v>56</v>
      </c>
      <c r="BN4">
        <f t="shared" si="0"/>
        <v>57</v>
      </c>
      <c r="BO4">
        <f t="shared" si="0"/>
        <v>58</v>
      </c>
      <c r="BP4">
        <f t="shared" si="0"/>
        <v>59</v>
      </c>
      <c r="BQ4">
        <f t="shared" si="0"/>
        <v>60</v>
      </c>
      <c r="BR4">
        <f t="shared" si="0"/>
        <v>61</v>
      </c>
      <c r="BS4">
        <f t="shared" si="0"/>
        <v>62</v>
      </c>
      <c r="BT4">
        <f t="shared" si="0"/>
        <v>63</v>
      </c>
      <c r="BU4">
        <f t="shared" si="0"/>
        <v>64</v>
      </c>
      <c r="BV4">
        <f t="shared" si="0"/>
        <v>65</v>
      </c>
      <c r="BW4">
        <f t="shared" si="0"/>
        <v>66</v>
      </c>
      <c r="BX4">
        <f t="shared" ref="BX4:DE4" si="1">BW4+1</f>
        <v>67</v>
      </c>
      <c r="BY4">
        <f t="shared" si="1"/>
        <v>68</v>
      </c>
      <c r="BZ4">
        <f t="shared" si="1"/>
        <v>69</v>
      </c>
      <c r="CA4">
        <f t="shared" si="1"/>
        <v>70</v>
      </c>
      <c r="CB4">
        <f t="shared" si="1"/>
        <v>71</v>
      </c>
      <c r="CC4">
        <f t="shared" si="1"/>
        <v>72</v>
      </c>
      <c r="CD4">
        <f t="shared" si="1"/>
        <v>73</v>
      </c>
      <c r="CE4">
        <f t="shared" si="1"/>
        <v>74</v>
      </c>
      <c r="CF4">
        <f t="shared" si="1"/>
        <v>75</v>
      </c>
      <c r="CG4">
        <f t="shared" si="1"/>
        <v>76</v>
      </c>
      <c r="CH4">
        <f t="shared" si="1"/>
        <v>77</v>
      </c>
      <c r="CI4">
        <f t="shared" si="1"/>
        <v>78</v>
      </c>
      <c r="CJ4">
        <f t="shared" si="1"/>
        <v>79</v>
      </c>
      <c r="CK4">
        <f t="shared" si="1"/>
        <v>80</v>
      </c>
      <c r="CL4">
        <f t="shared" si="1"/>
        <v>81</v>
      </c>
      <c r="CM4">
        <f t="shared" si="1"/>
        <v>82</v>
      </c>
      <c r="CN4">
        <f t="shared" si="1"/>
        <v>83</v>
      </c>
      <c r="CO4">
        <f t="shared" si="1"/>
        <v>84</v>
      </c>
      <c r="CP4">
        <f t="shared" si="1"/>
        <v>85</v>
      </c>
      <c r="CQ4">
        <f t="shared" si="1"/>
        <v>86</v>
      </c>
      <c r="CR4">
        <f t="shared" si="1"/>
        <v>87</v>
      </c>
      <c r="CS4">
        <f t="shared" si="1"/>
        <v>88</v>
      </c>
      <c r="CT4">
        <f t="shared" si="1"/>
        <v>89</v>
      </c>
      <c r="CU4">
        <f t="shared" si="1"/>
        <v>90</v>
      </c>
      <c r="CV4">
        <f t="shared" si="1"/>
        <v>91</v>
      </c>
      <c r="CW4">
        <f t="shared" si="1"/>
        <v>92</v>
      </c>
      <c r="CX4">
        <f t="shared" si="1"/>
        <v>93</v>
      </c>
      <c r="CY4">
        <f t="shared" si="1"/>
        <v>94</v>
      </c>
      <c r="CZ4">
        <f t="shared" si="1"/>
        <v>95</v>
      </c>
      <c r="DA4">
        <f t="shared" si="1"/>
        <v>96</v>
      </c>
      <c r="DB4">
        <f t="shared" si="1"/>
        <v>97</v>
      </c>
      <c r="DC4">
        <f t="shared" si="1"/>
        <v>98</v>
      </c>
      <c r="DD4">
        <f t="shared" si="1"/>
        <v>99</v>
      </c>
      <c r="DE4">
        <f t="shared" si="1"/>
        <v>100</v>
      </c>
    </row>
    <row r="5" spans="1:109" ht="13.5" customHeight="1" x14ac:dyDescent="0.15">
      <c r="C5" t="s">
        <v>90</v>
      </c>
      <c r="D5" s="5" t="s">
        <v>22</v>
      </c>
      <c r="E5" s="8">
        <f>Operations!E5</f>
        <v>4</v>
      </c>
      <c r="J5" s="13">
        <f>IF(J4&lt;=$E$5,1,0)</f>
        <v>1</v>
      </c>
      <c r="K5" s="13">
        <f t="shared" ref="K5:BV5" si="2">IF(K4&lt;=$E$5,1,0)</f>
        <v>1</v>
      </c>
      <c r="L5" s="13">
        <f t="shared" si="2"/>
        <v>1</v>
      </c>
      <c r="M5" s="13">
        <f t="shared" si="2"/>
        <v>1</v>
      </c>
      <c r="N5" s="13">
        <f t="shared" si="2"/>
        <v>0</v>
      </c>
      <c r="O5" s="13">
        <f t="shared" si="2"/>
        <v>0</v>
      </c>
      <c r="P5" s="13">
        <f t="shared" si="2"/>
        <v>0</v>
      </c>
      <c r="Q5" s="13">
        <f t="shared" si="2"/>
        <v>0</v>
      </c>
      <c r="R5" s="13">
        <f t="shared" si="2"/>
        <v>0</v>
      </c>
      <c r="S5" s="13">
        <f t="shared" si="2"/>
        <v>0</v>
      </c>
      <c r="T5" s="13">
        <f t="shared" si="2"/>
        <v>0</v>
      </c>
      <c r="U5" s="13">
        <f t="shared" si="2"/>
        <v>0</v>
      </c>
      <c r="V5" s="13">
        <f t="shared" si="2"/>
        <v>0</v>
      </c>
      <c r="W5" s="13">
        <f t="shared" si="2"/>
        <v>0</v>
      </c>
      <c r="X5" s="13">
        <f t="shared" si="2"/>
        <v>0</v>
      </c>
      <c r="Y5" s="13">
        <f t="shared" si="2"/>
        <v>0</v>
      </c>
      <c r="Z5" s="13">
        <f t="shared" si="2"/>
        <v>0</v>
      </c>
      <c r="AA5" s="13">
        <f t="shared" si="2"/>
        <v>0</v>
      </c>
      <c r="AB5" s="13">
        <f t="shared" si="2"/>
        <v>0</v>
      </c>
      <c r="AC5" s="13">
        <f t="shared" si="2"/>
        <v>0</v>
      </c>
      <c r="AD5" s="13">
        <f t="shared" si="2"/>
        <v>0</v>
      </c>
      <c r="AE5" s="13">
        <f t="shared" si="2"/>
        <v>0</v>
      </c>
      <c r="AF5" s="13">
        <f t="shared" si="2"/>
        <v>0</v>
      </c>
      <c r="AG5" s="13">
        <f t="shared" si="2"/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  <c r="AM5" s="13">
        <f t="shared" si="2"/>
        <v>0</v>
      </c>
      <c r="AN5" s="13">
        <f t="shared" si="2"/>
        <v>0</v>
      </c>
      <c r="AO5" s="13">
        <f t="shared" si="2"/>
        <v>0</v>
      </c>
      <c r="AP5" s="13">
        <f t="shared" si="2"/>
        <v>0</v>
      </c>
      <c r="AQ5" s="13">
        <f t="shared" si="2"/>
        <v>0</v>
      </c>
      <c r="AR5" s="13">
        <f t="shared" si="2"/>
        <v>0</v>
      </c>
      <c r="AS5" s="13">
        <f t="shared" si="2"/>
        <v>0</v>
      </c>
      <c r="AT5" s="13">
        <f t="shared" si="2"/>
        <v>0</v>
      </c>
      <c r="AU5" s="13">
        <f t="shared" si="2"/>
        <v>0</v>
      </c>
      <c r="AV5" s="13">
        <f t="shared" si="2"/>
        <v>0</v>
      </c>
      <c r="AW5" s="13">
        <f t="shared" si="2"/>
        <v>0</v>
      </c>
      <c r="AX5" s="13">
        <f t="shared" si="2"/>
        <v>0</v>
      </c>
      <c r="AY5" s="13">
        <f t="shared" si="2"/>
        <v>0</v>
      </c>
      <c r="AZ5" s="13">
        <f t="shared" si="2"/>
        <v>0</v>
      </c>
      <c r="BA5" s="13">
        <f t="shared" si="2"/>
        <v>0</v>
      </c>
      <c r="BB5" s="13">
        <f t="shared" si="2"/>
        <v>0</v>
      </c>
      <c r="BC5" s="13">
        <f t="shared" si="2"/>
        <v>0</v>
      </c>
      <c r="BD5" s="13">
        <f t="shared" si="2"/>
        <v>0</v>
      </c>
      <c r="BE5" s="13">
        <f t="shared" si="2"/>
        <v>0</v>
      </c>
      <c r="BF5" s="13">
        <f t="shared" si="2"/>
        <v>0</v>
      </c>
      <c r="BG5" s="13">
        <f t="shared" si="2"/>
        <v>0</v>
      </c>
      <c r="BH5" s="13">
        <f t="shared" si="2"/>
        <v>0</v>
      </c>
      <c r="BI5" s="13">
        <f t="shared" si="2"/>
        <v>0</v>
      </c>
      <c r="BJ5" s="13">
        <f t="shared" si="2"/>
        <v>0</v>
      </c>
      <c r="BK5" s="13">
        <f t="shared" si="2"/>
        <v>0</v>
      </c>
      <c r="BL5" s="13">
        <f t="shared" si="2"/>
        <v>0</v>
      </c>
      <c r="BM5" s="13">
        <f t="shared" si="2"/>
        <v>0</v>
      </c>
      <c r="BN5" s="13">
        <f t="shared" si="2"/>
        <v>0</v>
      </c>
      <c r="BO5" s="13">
        <f t="shared" si="2"/>
        <v>0</v>
      </c>
      <c r="BP5" s="13">
        <f t="shared" si="2"/>
        <v>0</v>
      </c>
      <c r="BQ5" s="13">
        <f t="shared" si="2"/>
        <v>0</v>
      </c>
      <c r="BR5" s="13">
        <f t="shared" si="2"/>
        <v>0</v>
      </c>
      <c r="BS5" s="13">
        <f t="shared" si="2"/>
        <v>0</v>
      </c>
      <c r="BT5" s="13">
        <f t="shared" si="2"/>
        <v>0</v>
      </c>
      <c r="BU5" s="13">
        <f t="shared" si="2"/>
        <v>0</v>
      </c>
      <c r="BV5" s="13">
        <f t="shared" si="2"/>
        <v>0</v>
      </c>
      <c r="BW5" s="13">
        <f t="shared" ref="BW5:DE5" si="3">IF(BW4&lt;=$E$5,1,0)</f>
        <v>0</v>
      </c>
      <c r="BX5" s="13">
        <f t="shared" si="3"/>
        <v>0</v>
      </c>
      <c r="BY5" s="13">
        <f t="shared" si="3"/>
        <v>0</v>
      </c>
      <c r="BZ5" s="13">
        <f t="shared" si="3"/>
        <v>0</v>
      </c>
      <c r="CA5" s="13">
        <f t="shared" si="3"/>
        <v>0</v>
      </c>
      <c r="CB5" s="13">
        <f t="shared" si="3"/>
        <v>0</v>
      </c>
      <c r="CC5" s="13">
        <f t="shared" si="3"/>
        <v>0</v>
      </c>
      <c r="CD5" s="13">
        <f t="shared" si="3"/>
        <v>0</v>
      </c>
      <c r="CE5" s="13">
        <f t="shared" si="3"/>
        <v>0</v>
      </c>
      <c r="CF5" s="13">
        <f t="shared" si="3"/>
        <v>0</v>
      </c>
      <c r="CG5" s="13">
        <f t="shared" si="3"/>
        <v>0</v>
      </c>
      <c r="CH5" s="13">
        <f t="shared" si="3"/>
        <v>0</v>
      </c>
      <c r="CI5" s="13">
        <f t="shared" si="3"/>
        <v>0</v>
      </c>
      <c r="CJ5" s="13">
        <f t="shared" si="3"/>
        <v>0</v>
      </c>
      <c r="CK5" s="13">
        <f t="shared" si="3"/>
        <v>0</v>
      </c>
      <c r="CL5" s="13">
        <f t="shared" si="3"/>
        <v>0</v>
      </c>
      <c r="CM5" s="13">
        <f t="shared" si="3"/>
        <v>0</v>
      </c>
      <c r="CN5" s="13">
        <f t="shared" si="3"/>
        <v>0</v>
      </c>
      <c r="CO5" s="13">
        <f t="shared" si="3"/>
        <v>0</v>
      </c>
      <c r="CP5" s="13">
        <f t="shared" si="3"/>
        <v>0</v>
      </c>
      <c r="CQ5" s="13">
        <f t="shared" si="3"/>
        <v>0</v>
      </c>
      <c r="CR5" s="13">
        <f t="shared" si="3"/>
        <v>0</v>
      </c>
      <c r="CS5" s="13">
        <f t="shared" si="3"/>
        <v>0</v>
      </c>
      <c r="CT5" s="13">
        <f t="shared" si="3"/>
        <v>0</v>
      </c>
      <c r="CU5" s="13">
        <f t="shared" si="3"/>
        <v>0</v>
      </c>
      <c r="CV5" s="13">
        <f t="shared" si="3"/>
        <v>0</v>
      </c>
      <c r="CW5" s="13">
        <f t="shared" si="3"/>
        <v>0</v>
      </c>
      <c r="CX5" s="13">
        <f t="shared" si="3"/>
        <v>0</v>
      </c>
      <c r="CY5" s="13">
        <f t="shared" si="3"/>
        <v>0</v>
      </c>
      <c r="CZ5" s="13">
        <f t="shared" si="3"/>
        <v>0</v>
      </c>
      <c r="DA5" s="13">
        <f t="shared" si="3"/>
        <v>0</v>
      </c>
      <c r="DB5" s="13">
        <f t="shared" si="3"/>
        <v>0</v>
      </c>
      <c r="DC5" s="13">
        <f t="shared" si="3"/>
        <v>0</v>
      </c>
      <c r="DD5" s="13">
        <f t="shared" si="3"/>
        <v>0</v>
      </c>
      <c r="DE5" s="13">
        <f t="shared" si="3"/>
        <v>0</v>
      </c>
    </row>
    <row r="6" spans="1:109" x14ac:dyDescent="0.15">
      <c r="C6" t="s">
        <v>86</v>
      </c>
      <c r="D6" s="5" t="s">
        <v>22</v>
      </c>
      <c r="E6" s="8">
        <f>Operations!E6</f>
        <v>11</v>
      </c>
      <c r="J6" s="13">
        <f>IF(AND(J4&gt;$E$5,J4&lt;=$E$6+$E$5),1,0)</f>
        <v>0</v>
      </c>
      <c r="K6" s="13">
        <f t="shared" ref="K6:BV6" si="4">IF(AND(K4&gt;$E$5,K4&lt;=$E$6+$E$5),1,0)</f>
        <v>0</v>
      </c>
      <c r="L6" s="13">
        <f t="shared" si="4"/>
        <v>0</v>
      </c>
      <c r="M6" s="13">
        <f t="shared" si="4"/>
        <v>0</v>
      </c>
      <c r="N6" s="13">
        <f t="shared" si="4"/>
        <v>1</v>
      </c>
      <c r="O6" s="13">
        <f t="shared" si="4"/>
        <v>1</v>
      </c>
      <c r="P6" s="13">
        <f t="shared" si="4"/>
        <v>1</v>
      </c>
      <c r="Q6" s="13">
        <f t="shared" si="4"/>
        <v>1</v>
      </c>
      <c r="R6" s="13">
        <f t="shared" si="4"/>
        <v>1</v>
      </c>
      <c r="S6" s="13">
        <f t="shared" si="4"/>
        <v>1</v>
      </c>
      <c r="T6" s="13">
        <f t="shared" si="4"/>
        <v>1</v>
      </c>
      <c r="U6" s="13">
        <f t="shared" si="4"/>
        <v>1</v>
      </c>
      <c r="V6" s="13">
        <f t="shared" si="4"/>
        <v>1</v>
      </c>
      <c r="W6" s="13">
        <f t="shared" si="4"/>
        <v>1</v>
      </c>
      <c r="X6" s="13">
        <f t="shared" si="4"/>
        <v>1</v>
      </c>
      <c r="Y6" s="13">
        <f t="shared" si="4"/>
        <v>0</v>
      </c>
      <c r="Z6" s="13">
        <f t="shared" si="4"/>
        <v>0</v>
      </c>
      <c r="AA6" s="13">
        <f t="shared" si="4"/>
        <v>0</v>
      </c>
      <c r="AB6" s="13">
        <f t="shared" si="4"/>
        <v>0</v>
      </c>
      <c r="AC6" s="13">
        <f t="shared" si="4"/>
        <v>0</v>
      </c>
      <c r="AD6" s="13">
        <f t="shared" si="4"/>
        <v>0</v>
      </c>
      <c r="AE6" s="13">
        <f t="shared" si="4"/>
        <v>0</v>
      </c>
      <c r="AF6" s="13">
        <f t="shared" si="4"/>
        <v>0</v>
      </c>
      <c r="AG6" s="13">
        <f t="shared" si="4"/>
        <v>0</v>
      </c>
      <c r="AH6" s="13">
        <f t="shared" si="4"/>
        <v>0</v>
      </c>
      <c r="AI6" s="13">
        <f t="shared" si="4"/>
        <v>0</v>
      </c>
      <c r="AJ6" s="13">
        <f t="shared" si="4"/>
        <v>0</v>
      </c>
      <c r="AK6" s="13">
        <f t="shared" si="4"/>
        <v>0</v>
      </c>
      <c r="AL6" s="13">
        <f t="shared" si="4"/>
        <v>0</v>
      </c>
      <c r="AM6" s="13">
        <f t="shared" si="4"/>
        <v>0</v>
      </c>
      <c r="AN6" s="13">
        <f t="shared" si="4"/>
        <v>0</v>
      </c>
      <c r="AO6" s="13">
        <f t="shared" si="4"/>
        <v>0</v>
      </c>
      <c r="AP6" s="13">
        <f t="shared" si="4"/>
        <v>0</v>
      </c>
      <c r="AQ6" s="13">
        <f t="shared" si="4"/>
        <v>0</v>
      </c>
      <c r="AR6" s="13">
        <f t="shared" si="4"/>
        <v>0</v>
      </c>
      <c r="AS6" s="13">
        <f t="shared" si="4"/>
        <v>0</v>
      </c>
      <c r="AT6" s="13">
        <f t="shared" si="4"/>
        <v>0</v>
      </c>
      <c r="AU6" s="13">
        <f t="shared" si="4"/>
        <v>0</v>
      </c>
      <c r="AV6" s="13">
        <f t="shared" si="4"/>
        <v>0</v>
      </c>
      <c r="AW6" s="13">
        <f t="shared" si="4"/>
        <v>0</v>
      </c>
      <c r="AX6" s="13">
        <f t="shared" si="4"/>
        <v>0</v>
      </c>
      <c r="AY6" s="13">
        <f t="shared" si="4"/>
        <v>0</v>
      </c>
      <c r="AZ6" s="13">
        <f t="shared" si="4"/>
        <v>0</v>
      </c>
      <c r="BA6" s="13">
        <f t="shared" si="4"/>
        <v>0</v>
      </c>
      <c r="BB6" s="13">
        <f t="shared" si="4"/>
        <v>0</v>
      </c>
      <c r="BC6" s="13">
        <f t="shared" si="4"/>
        <v>0</v>
      </c>
      <c r="BD6" s="13">
        <f t="shared" si="4"/>
        <v>0</v>
      </c>
      <c r="BE6" s="13">
        <f t="shared" si="4"/>
        <v>0</v>
      </c>
      <c r="BF6" s="13">
        <f t="shared" si="4"/>
        <v>0</v>
      </c>
      <c r="BG6" s="13">
        <f t="shared" si="4"/>
        <v>0</v>
      </c>
      <c r="BH6" s="13">
        <f t="shared" si="4"/>
        <v>0</v>
      </c>
      <c r="BI6" s="13">
        <f t="shared" si="4"/>
        <v>0</v>
      </c>
      <c r="BJ6" s="13">
        <f t="shared" si="4"/>
        <v>0</v>
      </c>
      <c r="BK6" s="13">
        <f t="shared" si="4"/>
        <v>0</v>
      </c>
      <c r="BL6" s="13">
        <f t="shared" si="4"/>
        <v>0</v>
      </c>
      <c r="BM6" s="13">
        <f t="shared" si="4"/>
        <v>0</v>
      </c>
      <c r="BN6" s="13">
        <f t="shared" si="4"/>
        <v>0</v>
      </c>
      <c r="BO6" s="13">
        <f t="shared" si="4"/>
        <v>0</v>
      </c>
      <c r="BP6" s="13">
        <f t="shared" si="4"/>
        <v>0</v>
      </c>
      <c r="BQ6" s="13">
        <f t="shared" si="4"/>
        <v>0</v>
      </c>
      <c r="BR6" s="13">
        <f t="shared" si="4"/>
        <v>0</v>
      </c>
      <c r="BS6" s="13">
        <f t="shared" si="4"/>
        <v>0</v>
      </c>
      <c r="BT6" s="13">
        <f t="shared" si="4"/>
        <v>0</v>
      </c>
      <c r="BU6" s="13">
        <f t="shared" si="4"/>
        <v>0</v>
      </c>
      <c r="BV6" s="13">
        <f t="shared" si="4"/>
        <v>0</v>
      </c>
      <c r="BW6" s="13">
        <f t="shared" ref="BW6:DE6" si="5">IF(AND(BW4&gt;$E$5,BW4&lt;=$E$6+$E$5),1,0)</f>
        <v>0</v>
      </c>
      <c r="BX6" s="13">
        <f t="shared" si="5"/>
        <v>0</v>
      </c>
      <c r="BY6" s="13">
        <f t="shared" si="5"/>
        <v>0</v>
      </c>
      <c r="BZ6" s="13">
        <f t="shared" si="5"/>
        <v>0</v>
      </c>
      <c r="CA6" s="13">
        <f t="shared" si="5"/>
        <v>0</v>
      </c>
      <c r="CB6" s="13">
        <f t="shared" si="5"/>
        <v>0</v>
      </c>
      <c r="CC6" s="13">
        <f t="shared" si="5"/>
        <v>0</v>
      </c>
      <c r="CD6" s="13">
        <f t="shared" si="5"/>
        <v>0</v>
      </c>
      <c r="CE6" s="13">
        <f t="shared" si="5"/>
        <v>0</v>
      </c>
      <c r="CF6" s="13">
        <f t="shared" si="5"/>
        <v>0</v>
      </c>
      <c r="CG6" s="13">
        <f t="shared" si="5"/>
        <v>0</v>
      </c>
      <c r="CH6" s="13">
        <f t="shared" si="5"/>
        <v>0</v>
      </c>
      <c r="CI6" s="13">
        <f t="shared" si="5"/>
        <v>0</v>
      </c>
      <c r="CJ6" s="13">
        <f t="shared" si="5"/>
        <v>0</v>
      </c>
      <c r="CK6" s="13">
        <f t="shared" si="5"/>
        <v>0</v>
      </c>
      <c r="CL6" s="13">
        <f t="shared" si="5"/>
        <v>0</v>
      </c>
      <c r="CM6" s="13">
        <f t="shared" si="5"/>
        <v>0</v>
      </c>
      <c r="CN6" s="13">
        <f t="shared" si="5"/>
        <v>0</v>
      </c>
      <c r="CO6" s="13">
        <f t="shared" si="5"/>
        <v>0</v>
      </c>
      <c r="CP6" s="13">
        <f t="shared" si="5"/>
        <v>0</v>
      </c>
      <c r="CQ6" s="13">
        <f t="shared" si="5"/>
        <v>0</v>
      </c>
      <c r="CR6" s="13">
        <f t="shared" si="5"/>
        <v>0</v>
      </c>
      <c r="CS6" s="13">
        <f t="shared" si="5"/>
        <v>0</v>
      </c>
      <c r="CT6" s="13">
        <f t="shared" si="5"/>
        <v>0</v>
      </c>
      <c r="CU6" s="13">
        <f t="shared" si="5"/>
        <v>0</v>
      </c>
      <c r="CV6" s="13">
        <f t="shared" si="5"/>
        <v>0</v>
      </c>
      <c r="CW6" s="13">
        <f t="shared" si="5"/>
        <v>0</v>
      </c>
      <c r="CX6" s="13">
        <f t="shared" si="5"/>
        <v>0</v>
      </c>
      <c r="CY6" s="13">
        <f t="shared" si="5"/>
        <v>0</v>
      </c>
      <c r="CZ6" s="13">
        <f t="shared" si="5"/>
        <v>0</v>
      </c>
      <c r="DA6" s="13">
        <f t="shared" si="5"/>
        <v>0</v>
      </c>
      <c r="DB6" s="13">
        <f t="shared" si="5"/>
        <v>0</v>
      </c>
      <c r="DC6" s="13">
        <f t="shared" si="5"/>
        <v>0</v>
      </c>
      <c r="DD6" s="13">
        <f t="shared" si="5"/>
        <v>0</v>
      </c>
      <c r="DE6" s="13">
        <f t="shared" si="5"/>
        <v>0</v>
      </c>
    </row>
    <row r="7" spans="1:109" x14ac:dyDescent="0.15">
      <c r="C7" s="23" t="s">
        <v>198</v>
      </c>
      <c r="J7" s="13">
        <f>IF(SUM(J27,J30)&gt;0,1,0)</f>
        <v>1</v>
      </c>
      <c r="K7" s="13">
        <f t="shared" ref="K7:BV7" si="6">IF(SUM(K27,K30)&gt;0,1,0)</f>
        <v>1</v>
      </c>
      <c r="L7" s="13">
        <f t="shared" si="6"/>
        <v>1</v>
      </c>
      <c r="M7" s="13">
        <f t="shared" ca="1" si="6"/>
        <v>1</v>
      </c>
      <c r="N7" s="13">
        <f t="shared" ca="1" si="6"/>
        <v>1</v>
      </c>
      <c r="O7" s="13">
        <f t="shared" ca="1" si="6"/>
        <v>1</v>
      </c>
      <c r="P7" s="13">
        <f t="shared" ca="1" si="6"/>
        <v>1</v>
      </c>
      <c r="Q7" s="13">
        <f t="shared" ca="1" si="6"/>
        <v>1</v>
      </c>
      <c r="R7" s="13">
        <f t="shared" ca="1" si="6"/>
        <v>1</v>
      </c>
      <c r="S7" s="13">
        <f t="shared" ca="1" si="6"/>
        <v>0</v>
      </c>
      <c r="T7" s="13">
        <f t="shared" ca="1" si="6"/>
        <v>0</v>
      </c>
      <c r="U7" s="13">
        <f t="shared" ca="1" si="6"/>
        <v>0</v>
      </c>
      <c r="V7" s="13">
        <f t="shared" ca="1" si="6"/>
        <v>0</v>
      </c>
      <c r="W7" s="13">
        <f t="shared" ca="1" si="6"/>
        <v>0</v>
      </c>
      <c r="X7" s="13">
        <f t="shared" ca="1" si="6"/>
        <v>0</v>
      </c>
      <c r="Y7" s="13">
        <f t="shared" ca="1" si="6"/>
        <v>0</v>
      </c>
      <c r="Z7" s="13">
        <f t="shared" ca="1" si="6"/>
        <v>0</v>
      </c>
      <c r="AA7" s="13">
        <f t="shared" ca="1" si="6"/>
        <v>0</v>
      </c>
      <c r="AB7" s="13">
        <f t="shared" ca="1" si="6"/>
        <v>0</v>
      </c>
      <c r="AC7" s="13">
        <f t="shared" ca="1" si="6"/>
        <v>0</v>
      </c>
      <c r="AD7" s="13">
        <f t="shared" ca="1" si="6"/>
        <v>0</v>
      </c>
      <c r="AE7" s="13">
        <f t="shared" ca="1" si="6"/>
        <v>0</v>
      </c>
      <c r="AF7" s="13">
        <f t="shared" ca="1" si="6"/>
        <v>0</v>
      </c>
      <c r="AG7" s="13">
        <f t="shared" ca="1" si="6"/>
        <v>0</v>
      </c>
      <c r="AH7" s="13">
        <f t="shared" ca="1" si="6"/>
        <v>0</v>
      </c>
      <c r="AI7" s="13">
        <f t="shared" ca="1" si="6"/>
        <v>0</v>
      </c>
      <c r="AJ7" s="13">
        <f t="shared" ca="1" si="6"/>
        <v>0</v>
      </c>
      <c r="AK7" s="13">
        <f t="shared" ca="1" si="6"/>
        <v>0</v>
      </c>
      <c r="AL7" s="13">
        <f t="shared" ca="1" si="6"/>
        <v>0</v>
      </c>
      <c r="AM7" s="13">
        <f t="shared" ca="1" si="6"/>
        <v>0</v>
      </c>
      <c r="AN7" s="13">
        <f t="shared" ca="1" si="6"/>
        <v>0</v>
      </c>
      <c r="AO7" s="13">
        <f t="shared" ca="1" si="6"/>
        <v>0</v>
      </c>
      <c r="AP7" s="13">
        <f t="shared" ca="1" si="6"/>
        <v>0</v>
      </c>
      <c r="AQ7" s="13">
        <f t="shared" ca="1" si="6"/>
        <v>0</v>
      </c>
      <c r="AR7" s="13">
        <f t="shared" ca="1" si="6"/>
        <v>0</v>
      </c>
      <c r="AS7" s="13">
        <f t="shared" ca="1" si="6"/>
        <v>0</v>
      </c>
      <c r="AT7" s="13">
        <f t="shared" ca="1" si="6"/>
        <v>0</v>
      </c>
      <c r="AU7" s="13">
        <f t="shared" ca="1" si="6"/>
        <v>0</v>
      </c>
      <c r="AV7" s="13">
        <f t="shared" ca="1" si="6"/>
        <v>0</v>
      </c>
      <c r="AW7" s="13">
        <f t="shared" ca="1" si="6"/>
        <v>0</v>
      </c>
      <c r="AX7" s="13">
        <f t="shared" ca="1" si="6"/>
        <v>0</v>
      </c>
      <c r="AY7" s="13">
        <f t="shared" ca="1" si="6"/>
        <v>0</v>
      </c>
      <c r="AZ7" s="13">
        <f t="shared" ca="1" si="6"/>
        <v>0</v>
      </c>
      <c r="BA7" s="13">
        <f t="shared" ca="1" si="6"/>
        <v>0</v>
      </c>
      <c r="BB7" s="13">
        <f t="shared" ca="1" si="6"/>
        <v>0</v>
      </c>
      <c r="BC7" s="13">
        <f t="shared" ca="1" si="6"/>
        <v>0</v>
      </c>
      <c r="BD7" s="13">
        <f t="shared" ca="1" si="6"/>
        <v>0</v>
      </c>
      <c r="BE7" s="13">
        <f t="shared" ca="1" si="6"/>
        <v>0</v>
      </c>
      <c r="BF7" s="13">
        <f t="shared" ca="1" si="6"/>
        <v>0</v>
      </c>
      <c r="BG7" s="13">
        <f t="shared" ca="1" si="6"/>
        <v>0</v>
      </c>
      <c r="BH7" s="13">
        <f t="shared" ca="1" si="6"/>
        <v>0</v>
      </c>
      <c r="BI7" s="13">
        <f t="shared" ca="1" si="6"/>
        <v>0</v>
      </c>
      <c r="BJ7" s="13">
        <f t="shared" ca="1" si="6"/>
        <v>0</v>
      </c>
      <c r="BK7" s="13">
        <f t="shared" ca="1" si="6"/>
        <v>0</v>
      </c>
      <c r="BL7" s="13">
        <f t="shared" ca="1" si="6"/>
        <v>0</v>
      </c>
      <c r="BM7" s="13">
        <f t="shared" ca="1" si="6"/>
        <v>0</v>
      </c>
      <c r="BN7" s="13">
        <f t="shared" ca="1" si="6"/>
        <v>0</v>
      </c>
      <c r="BO7" s="13">
        <f t="shared" ca="1" si="6"/>
        <v>0</v>
      </c>
      <c r="BP7" s="13">
        <f t="shared" ca="1" si="6"/>
        <v>0</v>
      </c>
      <c r="BQ7" s="13">
        <f t="shared" ca="1" si="6"/>
        <v>0</v>
      </c>
      <c r="BR7" s="13">
        <f t="shared" ca="1" si="6"/>
        <v>0</v>
      </c>
      <c r="BS7" s="13">
        <f t="shared" ca="1" si="6"/>
        <v>0</v>
      </c>
      <c r="BT7" s="13">
        <f t="shared" ca="1" si="6"/>
        <v>0</v>
      </c>
      <c r="BU7" s="13">
        <f t="shared" ca="1" si="6"/>
        <v>0</v>
      </c>
      <c r="BV7" s="13">
        <f t="shared" ca="1" si="6"/>
        <v>0</v>
      </c>
      <c r="BW7" s="13">
        <f t="shared" ref="BW7:DE7" ca="1" si="7">IF(SUM(BW27,BW30)&gt;0,1,0)</f>
        <v>0</v>
      </c>
      <c r="BX7" s="13">
        <f t="shared" ca="1" si="7"/>
        <v>0</v>
      </c>
      <c r="BY7" s="13">
        <f t="shared" ca="1" si="7"/>
        <v>0</v>
      </c>
      <c r="BZ7" s="13">
        <f t="shared" ca="1" si="7"/>
        <v>0</v>
      </c>
      <c r="CA7" s="13">
        <f t="shared" ca="1" si="7"/>
        <v>0</v>
      </c>
      <c r="CB7" s="13">
        <f t="shared" ca="1" si="7"/>
        <v>0</v>
      </c>
      <c r="CC7" s="13">
        <f t="shared" ca="1" si="7"/>
        <v>0</v>
      </c>
      <c r="CD7" s="13">
        <f t="shared" ca="1" si="7"/>
        <v>0</v>
      </c>
      <c r="CE7" s="13">
        <f t="shared" ca="1" si="7"/>
        <v>0</v>
      </c>
      <c r="CF7" s="13">
        <f t="shared" ca="1" si="7"/>
        <v>0</v>
      </c>
      <c r="CG7" s="13">
        <f t="shared" ca="1" si="7"/>
        <v>0</v>
      </c>
      <c r="CH7" s="13">
        <f t="shared" ca="1" si="7"/>
        <v>0</v>
      </c>
      <c r="CI7" s="13">
        <f t="shared" ca="1" si="7"/>
        <v>0</v>
      </c>
      <c r="CJ7" s="13">
        <f t="shared" ca="1" si="7"/>
        <v>0</v>
      </c>
      <c r="CK7" s="13">
        <f t="shared" ca="1" si="7"/>
        <v>0</v>
      </c>
      <c r="CL7" s="13">
        <f t="shared" ca="1" si="7"/>
        <v>0</v>
      </c>
      <c r="CM7" s="13">
        <f t="shared" ca="1" si="7"/>
        <v>0</v>
      </c>
      <c r="CN7" s="13">
        <f t="shared" ca="1" si="7"/>
        <v>0</v>
      </c>
      <c r="CO7" s="13">
        <f t="shared" ca="1" si="7"/>
        <v>0</v>
      </c>
      <c r="CP7" s="13">
        <f t="shared" ca="1" si="7"/>
        <v>0</v>
      </c>
      <c r="CQ7" s="13">
        <f t="shared" ca="1" si="7"/>
        <v>0</v>
      </c>
      <c r="CR7" s="13">
        <f t="shared" ca="1" si="7"/>
        <v>0</v>
      </c>
      <c r="CS7" s="13">
        <f t="shared" ca="1" si="7"/>
        <v>0</v>
      </c>
      <c r="CT7" s="13">
        <f t="shared" ca="1" si="7"/>
        <v>0</v>
      </c>
      <c r="CU7" s="13">
        <f t="shared" ca="1" si="7"/>
        <v>0</v>
      </c>
      <c r="CV7" s="13">
        <f t="shared" ca="1" si="7"/>
        <v>0</v>
      </c>
      <c r="CW7" s="13">
        <f t="shared" ca="1" si="7"/>
        <v>0</v>
      </c>
      <c r="CX7" s="13">
        <f t="shared" ca="1" si="7"/>
        <v>0</v>
      </c>
      <c r="CY7" s="13">
        <f t="shared" ca="1" si="7"/>
        <v>0</v>
      </c>
      <c r="CZ7" s="13">
        <f t="shared" ca="1" si="7"/>
        <v>0</v>
      </c>
      <c r="DA7" s="13">
        <f t="shared" ca="1" si="7"/>
        <v>0</v>
      </c>
      <c r="DB7" s="13">
        <f t="shared" ca="1" si="7"/>
        <v>0</v>
      </c>
      <c r="DC7" s="13">
        <f t="shared" ca="1" si="7"/>
        <v>0</v>
      </c>
      <c r="DD7" s="13">
        <f t="shared" ca="1" si="7"/>
        <v>0</v>
      </c>
      <c r="DE7" s="13">
        <f t="shared" ca="1" si="7"/>
        <v>0</v>
      </c>
    </row>
    <row r="8" spans="1:109" x14ac:dyDescent="0.15">
      <c r="C8" s="23" t="s">
        <v>199</v>
      </c>
      <c r="J8" s="13">
        <f ca="1">IF((OFFSET(J6,0,-$E$23,1,1))=0,0,1)</f>
        <v>0</v>
      </c>
      <c r="K8" s="13">
        <f ca="1">IF((OFFSET(K6,0,-$E$23,1,1))=0,0,IF(SUM($J$8:J8)&lt;$E$22,1,0))</f>
        <v>0</v>
      </c>
      <c r="L8" s="13">
        <f ca="1">IF((OFFSET(L6,0,-$E$23,1,1))=0,0,IF(SUM($J$8:K8)&lt;$E$22,1,0))</f>
        <v>0</v>
      </c>
      <c r="M8" s="13">
        <f ca="1">IF((OFFSET(M6,0,-$E$23,1,1))=0,0,IF(SUM($J$8:L8)&lt;$E$22,1,0))</f>
        <v>0</v>
      </c>
      <c r="N8" s="13">
        <f ca="1">IF((OFFSET(N6,0,-$E$23,1,1))=0,0,IF(SUM($J$8:M8)&lt;$E$22,1,0))</f>
        <v>1</v>
      </c>
      <c r="O8" s="13">
        <f ca="1">IF((OFFSET(O6,0,-$E$23,1,1))=0,0,IF(SUM($J$8:N8)&lt;$E$22,1,0))</f>
        <v>1</v>
      </c>
      <c r="P8" s="13">
        <f ca="1">IF((OFFSET(P6,0,-$E$23,1,1))=0,0,IF(SUM($J$8:O8)&lt;$E$22,1,0))</f>
        <v>1</v>
      </c>
      <c r="Q8" s="13">
        <f ca="1">IF((OFFSET(Q6,0,-$E$23,1,1))=0,0,IF(SUM($J$8:P8)&lt;$E$22,1,0))</f>
        <v>1</v>
      </c>
      <c r="R8" s="13">
        <f ca="1">IF((OFFSET(R6,0,-$E$23,1,1))=0,0,IF(SUM($J$8:Q8)&lt;$E$22,1,0))</f>
        <v>1</v>
      </c>
      <c r="S8" s="13">
        <f ca="1">IF((OFFSET(S6,0,-$E$23,1,1))=0,0,IF(SUM($J$8:R8)&lt;$E$22,1,0))</f>
        <v>0</v>
      </c>
      <c r="T8" s="13">
        <f ca="1">IF((OFFSET(T6,0,-$E$23,1,1))=0,0,IF(SUM($J$8:S8)&lt;$E$22,1,0))</f>
        <v>0</v>
      </c>
      <c r="U8" s="13">
        <f ca="1">IF((OFFSET(U6,0,-$E$23,1,1))=0,0,IF(SUM($J$8:T8)&lt;$E$22,1,0))</f>
        <v>0</v>
      </c>
      <c r="V8" s="13">
        <f ca="1">IF((OFFSET(V6,0,-$E$23,1,1))=0,0,IF(SUM($J$8:U8)&lt;$E$22,1,0))</f>
        <v>0</v>
      </c>
      <c r="W8" s="13">
        <f ca="1">IF((OFFSET(W6,0,-$E$23,1,1))=0,0,IF(SUM($J$8:V8)&lt;$E$22,1,0))</f>
        <v>0</v>
      </c>
      <c r="X8" s="13">
        <f ca="1">IF((OFFSET(X6,0,-$E$23,1,1))=0,0,IF(SUM($J$8:W8)&lt;$E$22,1,0))</f>
        <v>0</v>
      </c>
      <c r="Y8" s="13">
        <f ca="1">IF((OFFSET(Y6,0,-$E$23,1,1))=0,0,IF(SUM($J$8:X8)&lt;$E$22,1,0))</f>
        <v>0</v>
      </c>
      <c r="Z8" s="13">
        <f ca="1">IF((OFFSET(Z6,0,-$E$23,1,1))=0,0,IF(SUM($J$8:Y8)&lt;$E$22,1,0))</f>
        <v>0</v>
      </c>
      <c r="AA8" s="13">
        <f ca="1">IF((OFFSET(AA6,0,-$E$23,1,1))=0,0,IF(SUM($J$8:Z8)&lt;$E$22,1,0))</f>
        <v>0</v>
      </c>
      <c r="AB8" s="13">
        <f ca="1">IF((OFFSET(AB6,0,-$E$23,1,1))=0,0,IF(SUM($J$8:AA8)&lt;$E$22,1,0))</f>
        <v>0</v>
      </c>
      <c r="AC8" s="13">
        <f ca="1">IF((OFFSET(AC6,0,-$E$23,1,1))=0,0,IF(SUM($J$8:AB8)&lt;$E$22,1,0))</f>
        <v>0</v>
      </c>
      <c r="AD8" s="13">
        <f ca="1">IF((OFFSET(AD6,0,-$E$23,1,1))=0,0,IF(SUM($J$8:AC8)&lt;$E$22,1,0))</f>
        <v>0</v>
      </c>
      <c r="AE8" s="13">
        <f ca="1">IF((OFFSET(AE6,0,-$E$23,1,1))=0,0,IF(SUM($J$8:AD8)&lt;$E$22,1,0))</f>
        <v>0</v>
      </c>
      <c r="AF8" s="13">
        <f ca="1">IF((OFFSET(AF6,0,-$E$23,1,1))=0,0,IF(SUM($J$8:AE8)&lt;$E$22,1,0))</f>
        <v>0</v>
      </c>
      <c r="AG8" s="13">
        <f ca="1">IF((OFFSET(AG6,0,-$E$23,1,1))=0,0,IF(SUM($J$8:AF8)&lt;$E$22,1,0))</f>
        <v>0</v>
      </c>
      <c r="AH8" s="13">
        <f ca="1">IF((OFFSET(AH6,0,-$E$23,1,1))=0,0,IF(SUM($J$8:AG8)&lt;$E$22,1,0))</f>
        <v>0</v>
      </c>
      <c r="AI8" s="13">
        <f ca="1">IF((OFFSET(AI6,0,-$E$23,1,1))=0,0,IF(SUM($J$8:AH8)&lt;$E$22,1,0))</f>
        <v>0</v>
      </c>
      <c r="AJ8" s="13">
        <f ca="1">IF((OFFSET(AJ6,0,-$E$23,1,1))=0,0,IF(SUM($J$8:AI8)&lt;$E$22,1,0))</f>
        <v>0</v>
      </c>
      <c r="AK8" s="13">
        <f ca="1">IF((OFFSET(AK6,0,-$E$23,1,1))=0,0,IF(SUM($J$8:AJ8)&lt;$E$22,1,0))</f>
        <v>0</v>
      </c>
      <c r="AL8" s="13">
        <f ca="1">IF((OFFSET(AL6,0,-$E$23,1,1))=0,0,IF(SUM($J$8:AK8)&lt;$E$22,1,0))</f>
        <v>0</v>
      </c>
      <c r="AM8" s="13">
        <f ca="1">IF((OFFSET(AM6,0,-$E$23,1,1))=0,0,IF(SUM($J$8:AL8)&lt;$E$22,1,0))</f>
        <v>0</v>
      </c>
      <c r="AN8" s="13">
        <f ca="1">IF((OFFSET(AN6,0,-$E$23,1,1))=0,0,IF(SUM($J$8:AM8)&lt;$E$22,1,0))</f>
        <v>0</v>
      </c>
      <c r="AO8" s="13">
        <f ca="1">IF((OFFSET(AO6,0,-$E$23,1,1))=0,0,IF(SUM($J$8:AN8)&lt;$E$22,1,0))</f>
        <v>0</v>
      </c>
      <c r="AP8" s="13">
        <f ca="1">IF((OFFSET(AP6,0,-$E$23,1,1))=0,0,IF(SUM($J$8:AO8)&lt;$E$22,1,0))</f>
        <v>0</v>
      </c>
      <c r="AQ8" s="13">
        <f ca="1">IF((OFFSET(AQ6,0,-$E$23,1,1))=0,0,IF(SUM($J$8:AP8)&lt;$E$22,1,0))</f>
        <v>0</v>
      </c>
      <c r="AR8" s="13">
        <f ca="1">IF((OFFSET(AR6,0,-$E$23,1,1))=0,0,IF(SUM($J$8:AQ8)&lt;$E$22,1,0))</f>
        <v>0</v>
      </c>
      <c r="AS8" s="13">
        <f ca="1">IF((OFFSET(AS6,0,-$E$23,1,1))=0,0,IF(SUM($J$8:AR8)&lt;$E$22,1,0))</f>
        <v>0</v>
      </c>
      <c r="AT8" s="13">
        <f ca="1">IF((OFFSET(AT6,0,-$E$23,1,1))=0,0,IF(SUM($J$8:AS8)&lt;$E$22,1,0))</f>
        <v>0</v>
      </c>
      <c r="AU8" s="13">
        <f ca="1">IF((OFFSET(AU6,0,-$E$23,1,1))=0,0,IF(SUM($J$8:AT8)&lt;$E$22,1,0))</f>
        <v>0</v>
      </c>
      <c r="AV8" s="13">
        <f ca="1">IF((OFFSET(AV6,0,-$E$23,1,1))=0,0,IF(SUM($J$8:AU8)&lt;$E$22,1,0))</f>
        <v>0</v>
      </c>
      <c r="AW8" s="13">
        <f ca="1">IF((OFFSET(AW6,0,-$E$23,1,1))=0,0,IF(SUM($J$8:AV8)&lt;$E$22,1,0))</f>
        <v>0</v>
      </c>
      <c r="AX8" s="13">
        <f ca="1">IF((OFFSET(AX6,0,-$E$23,1,1))=0,0,IF(SUM($J$8:AW8)&lt;$E$22,1,0))</f>
        <v>0</v>
      </c>
      <c r="AY8" s="13">
        <f ca="1">IF((OFFSET(AY6,0,-$E$23,1,1))=0,0,IF(SUM($J$8:AX8)&lt;$E$22,1,0))</f>
        <v>0</v>
      </c>
      <c r="AZ8" s="13">
        <f ca="1">IF((OFFSET(AZ6,0,-$E$23,1,1))=0,0,IF(SUM($J$8:AY8)&lt;$E$22,1,0))</f>
        <v>0</v>
      </c>
      <c r="BA8" s="13">
        <f ca="1">IF((OFFSET(BA6,0,-$E$23,1,1))=0,0,IF(SUM($J$8:AZ8)&lt;$E$22,1,0))</f>
        <v>0</v>
      </c>
      <c r="BB8" s="13">
        <f ca="1">IF((OFFSET(BB6,0,-$E$23,1,1))=0,0,IF(SUM($J$8:BA8)&lt;$E$22,1,0))</f>
        <v>0</v>
      </c>
      <c r="BC8" s="13">
        <f ca="1">IF((OFFSET(BC6,0,-$E$23,1,1))=0,0,IF(SUM($J$8:BB8)&lt;$E$22,1,0))</f>
        <v>0</v>
      </c>
      <c r="BD8" s="13">
        <f ca="1">IF((OFFSET(BD6,0,-$E$23,1,1))=0,0,IF(SUM($J$8:BC8)&lt;$E$22,1,0))</f>
        <v>0</v>
      </c>
      <c r="BE8" s="13">
        <f ca="1">IF((OFFSET(BE6,0,-$E$23,1,1))=0,0,IF(SUM($J$8:BD8)&lt;$E$22,1,0))</f>
        <v>0</v>
      </c>
      <c r="BF8" s="13">
        <f ca="1">IF((OFFSET(BF6,0,-$E$23,1,1))=0,0,IF(SUM($J$8:BE8)&lt;$E$22,1,0))</f>
        <v>0</v>
      </c>
      <c r="BG8" s="13">
        <f ca="1">IF((OFFSET(BG6,0,-$E$23,1,1))=0,0,IF(SUM($J$8:BF8)&lt;$E$22,1,0))</f>
        <v>0</v>
      </c>
      <c r="BH8" s="13">
        <f ca="1">IF((OFFSET(BH6,0,-$E$23,1,1))=0,0,IF(SUM($J$8:BG8)&lt;$E$22,1,0))</f>
        <v>0</v>
      </c>
      <c r="BI8" s="13">
        <f ca="1">IF((OFFSET(BI6,0,-$E$23,1,1))=0,0,IF(SUM($J$8:BH8)&lt;$E$22,1,0))</f>
        <v>0</v>
      </c>
      <c r="BJ8" s="13">
        <f ca="1">IF((OFFSET(BJ6,0,-$E$23,1,1))=0,0,IF(SUM($J$8:BI8)&lt;$E$22,1,0))</f>
        <v>0</v>
      </c>
      <c r="BK8" s="13">
        <f ca="1">IF((OFFSET(BK6,0,-$E$23,1,1))=0,0,IF(SUM($J$8:BJ8)&lt;$E$22,1,0))</f>
        <v>0</v>
      </c>
      <c r="BL8" s="13">
        <f ca="1">IF((OFFSET(BL6,0,-$E$23,1,1))=0,0,IF(SUM($J$8:BK8)&lt;$E$22,1,0))</f>
        <v>0</v>
      </c>
      <c r="BM8" s="13">
        <f ca="1">IF((OFFSET(BM6,0,-$E$23,1,1))=0,0,IF(SUM($J$8:BL8)&lt;$E$22,1,0))</f>
        <v>0</v>
      </c>
      <c r="BN8" s="13">
        <f ca="1">IF((OFFSET(BN6,0,-$E$23,1,1))=0,0,IF(SUM($J$8:BM8)&lt;$E$22,1,0))</f>
        <v>0</v>
      </c>
      <c r="BO8" s="13">
        <f ca="1">IF((OFFSET(BO6,0,-$E$23,1,1))=0,0,IF(SUM($J$8:BN8)&lt;$E$22,1,0))</f>
        <v>0</v>
      </c>
      <c r="BP8" s="13">
        <f ca="1">IF((OFFSET(BP6,0,-$E$23,1,1))=0,0,IF(SUM($J$8:BO8)&lt;$E$22,1,0))</f>
        <v>0</v>
      </c>
      <c r="BQ8" s="13">
        <f ca="1">IF((OFFSET(BQ6,0,-$E$23,1,1))=0,0,IF(SUM($J$8:BP8)&lt;$E$22,1,0))</f>
        <v>0</v>
      </c>
      <c r="BR8" s="13">
        <f ca="1">IF((OFFSET(BR6,0,-$E$23,1,1))=0,0,IF(SUM($J$8:BQ8)&lt;$E$22,1,0))</f>
        <v>0</v>
      </c>
      <c r="BS8" s="13">
        <f ca="1">IF((OFFSET(BS6,0,-$E$23,1,1))=0,0,IF(SUM($J$8:BR8)&lt;$E$22,1,0))</f>
        <v>0</v>
      </c>
      <c r="BT8" s="13">
        <f ca="1">IF((OFFSET(BT6,0,-$E$23,1,1))=0,0,IF(SUM($J$8:BS8)&lt;$E$22,1,0))</f>
        <v>0</v>
      </c>
      <c r="BU8" s="13">
        <f ca="1">IF((OFFSET(BU6,0,-$E$23,1,1))=0,0,IF(SUM($J$8:BT8)&lt;$E$22,1,0))</f>
        <v>0</v>
      </c>
      <c r="BV8" s="13">
        <f ca="1">IF((OFFSET(BV6,0,-$E$23,1,1))=0,0,IF(SUM($J$8:BU8)&lt;$E$22,1,0))</f>
        <v>0</v>
      </c>
      <c r="BW8" s="13">
        <f ca="1">IF((OFFSET(BW6,0,-$E$23,1,1))=0,0,IF(SUM($J$8:BV8)&lt;$E$22,1,0))</f>
        <v>0</v>
      </c>
      <c r="BX8" s="13">
        <f ca="1">IF((OFFSET(BX6,0,-$E$23,1,1))=0,0,IF(SUM($J$8:BW8)&lt;$E$22,1,0))</f>
        <v>0</v>
      </c>
      <c r="BY8" s="13">
        <f ca="1">IF((OFFSET(BY6,0,-$E$23,1,1))=0,0,IF(SUM($J$8:BX8)&lt;$E$22,1,0))</f>
        <v>0</v>
      </c>
      <c r="BZ8" s="13">
        <f ca="1">IF((OFFSET(BZ6,0,-$E$23,1,1))=0,0,IF(SUM($J$8:BY8)&lt;$E$22,1,0))</f>
        <v>0</v>
      </c>
      <c r="CA8" s="13">
        <f ca="1">IF((OFFSET(CA6,0,-$E$23,1,1))=0,0,IF(SUM($J$8:BZ8)&lt;$E$22,1,0))</f>
        <v>0</v>
      </c>
      <c r="CB8" s="13">
        <f ca="1">IF((OFFSET(CB6,0,-$E$23,1,1))=0,0,IF(SUM($J$8:CA8)&lt;$E$22,1,0))</f>
        <v>0</v>
      </c>
      <c r="CC8" s="13">
        <f ca="1">IF((OFFSET(CC6,0,-$E$23,1,1))=0,0,IF(SUM($J$8:CB8)&lt;$E$22,1,0))</f>
        <v>0</v>
      </c>
      <c r="CD8" s="13">
        <f ca="1">IF((OFFSET(CD6,0,-$E$23,1,1))=0,0,IF(SUM($J$8:CC8)&lt;$E$22,1,0))</f>
        <v>0</v>
      </c>
      <c r="CE8" s="13">
        <f ca="1">IF((OFFSET(CE6,0,-$E$23,1,1))=0,0,IF(SUM($J$8:CD8)&lt;$E$22,1,0))</f>
        <v>0</v>
      </c>
      <c r="CF8" s="13">
        <f ca="1">IF((OFFSET(CF6,0,-$E$23,1,1))=0,0,IF(SUM($J$8:CE8)&lt;$E$22,1,0))</f>
        <v>0</v>
      </c>
      <c r="CG8" s="13">
        <f ca="1">IF((OFFSET(CG6,0,-$E$23,1,1))=0,0,IF(SUM($J$8:CF8)&lt;$E$22,1,0))</f>
        <v>0</v>
      </c>
      <c r="CH8" s="13">
        <f ca="1">IF((OFFSET(CH6,0,-$E$23,1,1))=0,0,IF(SUM($J$8:CG8)&lt;$E$22,1,0))</f>
        <v>0</v>
      </c>
      <c r="CI8" s="13">
        <f ca="1">IF((OFFSET(CI6,0,-$E$23,1,1))=0,0,IF(SUM($J$8:CH8)&lt;$E$22,1,0))</f>
        <v>0</v>
      </c>
      <c r="CJ8" s="13">
        <f ca="1">IF((OFFSET(CJ6,0,-$E$23,1,1))=0,0,IF(SUM($J$8:CI8)&lt;$E$22,1,0))</f>
        <v>0</v>
      </c>
      <c r="CK8" s="13">
        <f ca="1">IF((OFFSET(CK6,0,-$E$23,1,1))=0,0,IF(SUM($J$8:CJ8)&lt;$E$22,1,0))</f>
        <v>0</v>
      </c>
      <c r="CL8" s="13">
        <f ca="1">IF((OFFSET(CL6,0,-$E$23,1,1))=0,0,IF(SUM($J$8:CK8)&lt;$E$22,1,0))</f>
        <v>0</v>
      </c>
      <c r="CM8" s="13">
        <f ca="1">IF((OFFSET(CM6,0,-$E$23,1,1))=0,0,IF(SUM($J$8:CL8)&lt;$E$22,1,0))</f>
        <v>0</v>
      </c>
      <c r="CN8" s="13">
        <f ca="1">IF((OFFSET(CN6,0,-$E$23,1,1))=0,0,IF(SUM($J$8:CM8)&lt;$E$22,1,0))</f>
        <v>0</v>
      </c>
      <c r="CO8" s="13">
        <f ca="1">IF((OFFSET(CO6,0,-$E$23,1,1))=0,0,IF(SUM($J$8:CN8)&lt;$E$22,1,0))</f>
        <v>0</v>
      </c>
      <c r="CP8" s="13">
        <f ca="1">IF((OFFSET(CP6,0,-$E$23,1,1))=0,0,IF(SUM($J$8:CO8)&lt;$E$22,1,0))</f>
        <v>0</v>
      </c>
      <c r="CQ8" s="13">
        <f ca="1">IF((OFFSET(CQ6,0,-$E$23,1,1))=0,0,IF(SUM($J$8:CP8)&lt;$E$22,1,0))</f>
        <v>0</v>
      </c>
      <c r="CR8" s="13">
        <f ca="1">IF((OFFSET(CR6,0,-$E$23,1,1))=0,0,IF(SUM($J$8:CQ8)&lt;$E$22,1,0))</f>
        <v>0</v>
      </c>
      <c r="CS8" s="13">
        <f ca="1">IF((OFFSET(CS6,0,-$E$23,1,1))=0,0,IF(SUM($J$8:CR8)&lt;$E$22,1,0))</f>
        <v>0</v>
      </c>
      <c r="CT8" s="13">
        <f ca="1">IF((OFFSET(CT6,0,-$E$23,1,1))=0,0,IF(SUM($J$8:CS8)&lt;$E$22,1,0))</f>
        <v>0</v>
      </c>
      <c r="CU8" s="13">
        <f ca="1">IF((OFFSET(CU6,0,-$E$23,1,1))=0,0,IF(SUM($J$8:CT8)&lt;$E$22,1,0))</f>
        <v>0</v>
      </c>
      <c r="CV8" s="13">
        <f ca="1">IF((OFFSET(CV6,0,-$E$23,1,1))=0,0,IF(SUM($J$8:CU8)&lt;$E$22,1,0))</f>
        <v>0</v>
      </c>
      <c r="CW8" s="13">
        <f ca="1">IF((OFFSET(CW6,0,-$E$23,1,1))=0,0,IF(SUM($J$8:CV8)&lt;$E$22,1,0))</f>
        <v>0</v>
      </c>
      <c r="CX8" s="13">
        <f ca="1">IF((OFFSET(CX6,0,-$E$23,1,1))=0,0,IF(SUM($J$8:CW8)&lt;$E$22,1,0))</f>
        <v>0</v>
      </c>
      <c r="CY8" s="13">
        <f ca="1">IF((OFFSET(CY6,0,-$E$23,1,1))=0,0,IF(SUM($J$8:CX8)&lt;$E$22,1,0))</f>
        <v>0</v>
      </c>
      <c r="CZ8" s="13">
        <f ca="1">IF((OFFSET(CZ6,0,-$E$23,1,1))=0,0,IF(SUM($J$8:CY8)&lt;$E$22,1,0))</f>
        <v>0</v>
      </c>
      <c r="DA8" s="13">
        <f ca="1">IF((OFFSET(DA6,0,-$E$23,1,1))=0,0,IF(SUM($J$8:CZ8)&lt;$E$22,1,0))</f>
        <v>0</v>
      </c>
      <c r="DB8" s="13">
        <f ca="1">IF((OFFSET(DB6,0,-$E$23,1,1))=0,0,IF(SUM($J$8:DA8)&lt;$E$22,1,0))</f>
        <v>0</v>
      </c>
      <c r="DC8" s="13">
        <f ca="1">IF((OFFSET(DC6,0,-$E$23,1,1))=0,0,IF(SUM($J$8:DB8)&lt;$E$22,1,0))</f>
        <v>0</v>
      </c>
      <c r="DD8" s="13">
        <f ca="1">IF((OFFSET(DD6,0,-$E$23,1,1))=0,0,IF(SUM($J$8:DC8)&lt;$E$22,1,0))</f>
        <v>0</v>
      </c>
      <c r="DE8" s="13">
        <f ca="1">IF((OFFSET(DE6,0,-$E$23,1,1))=0,0,IF(SUM($J$8:DD8)&lt;$E$22,1,0))</f>
        <v>0</v>
      </c>
    </row>
    <row r="9" spans="1:109" x14ac:dyDescent="0.15">
      <c r="C9" s="23"/>
    </row>
    <row r="10" spans="1:109" ht="20" x14ac:dyDescent="0.2">
      <c r="C10" s="4" t="s">
        <v>200</v>
      </c>
    </row>
    <row r="11" spans="1:109" ht="20" x14ac:dyDescent="0.2">
      <c r="C11" s="4"/>
    </row>
    <row r="12" spans="1:109" ht="14" x14ac:dyDescent="0.15">
      <c r="C12" s="2" t="s">
        <v>201</v>
      </c>
      <c r="D12" s="5"/>
    </row>
    <row r="13" spans="1:109" ht="14" x14ac:dyDescent="0.15">
      <c r="C13" s="2"/>
      <c r="D13" s="5"/>
    </row>
    <row r="14" spans="1:109" x14ac:dyDescent="0.15">
      <c r="C14" t="s">
        <v>202</v>
      </c>
      <c r="D14" s="5" t="s">
        <v>0</v>
      </c>
      <c r="I14" s="35">
        <f>SUM(J14:DE14)</f>
        <v>7330513392.9937973</v>
      </c>
      <c r="J14" s="19">
        <f>'Financials &amp; Metrics'!J33+CorporateCF!J71</f>
        <v>-174221665.5368098</v>
      </c>
      <c r="K14" s="19">
        <f>'Financials &amp; Metrics'!K33+CorporateCF!K71</f>
        <v>-383580473.7028923</v>
      </c>
      <c r="L14" s="19">
        <f>'Financials &amp; Metrics'!L33+CorporateCF!L71</f>
        <v>-714455233.46187568</v>
      </c>
      <c r="M14" s="19">
        <f>'Financials &amp; Metrics'!M33+CorporateCF!M71</f>
        <v>-398220949.79842246</v>
      </c>
      <c r="N14" s="19">
        <f>'Financials &amp; Metrics'!N33+CorporateCF!N71</f>
        <v>1070220788.436934</v>
      </c>
      <c r="O14" s="19">
        <f>'Financials &amp; Metrics'!O33+CorporateCF!O71</f>
        <v>1186046466.8689475</v>
      </c>
      <c r="P14" s="19">
        <f>'Financials &amp; Metrics'!P33+CorporateCF!P71</f>
        <v>1241522012.7466433</v>
      </c>
      <c r="Q14" s="19">
        <f>'Financials &amp; Metrics'!Q33+CorporateCF!Q71</f>
        <v>1266895028.7272694</v>
      </c>
      <c r="R14" s="19">
        <f>'Financials &amp; Metrics'!R33+CorporateCF!R71</f>
        <v>1141846024.6935349</v>
      </c>
      <c r="S14" s="19">
        <f>'Financials &amp; Metrics'!S33+CorporateCF!S71</f>
        <v>561524641.63553977</v>
      </c>
      <c r="T14" s="19">
        <f>'Financials &amp; Metrics'!T33+CorporateCF!T71</f>
        <v>606871809.97974932</v>
      </c>
      <c r="U14" s="19">
        <f>'Financials &amp; Metrics'!U33+CorporateCF!U71</f>
        <v>667725471.05750835</v>
      </c>
      <c r="V14" s="19">
        <f>'Financials &amp; Metrics'!V33+CorporateCF!V71</f>
        <v>543332946.9207319</v>
      </c>
      <c r="W14" s="19">
        <f>'Financials &amp; Metrics'!W33+CorporateCF!W71</f>
        <v>564233409.60839903</v>
      </c>
      <c r="X14" s="19">
        <f>'Financials &amp; Metrics'!X33+CorporateCF!X71</f>
        <v>203243114.81853932</v>
      </c>
      <c r="Y14" s="19">
        <f>'Financials &amp; Metrics'!Y33+CorporateCF!Y71</f>
        <v>-52470000</v>
      </c>
      <c r="Z14" s="19">
        <f>'Financials &amp; Metrics'!Z33+CorporateCF!Z71</f>
        <v>0</v>
      </c>
      <c r="AA14" s="19">
        <f>'Financials &amp; Metrics'!AA33+CorporateCF!AA71</f>
        <v>0</v>
      </c>
      <c r="AB14" s="19">
        <f>'Financials &amp; Metrics'!AB33+CorporateCF!AB71</f>
        <v>0</v>
      </c>
      <c r="AC14" s="19">
        <f>'Financials &amp; Metrics'!AC33+CorporateCF!AC71</f>
        <v>0</v>
      </c>
      <c r="AD14" s="19">
        <f>'Financials &amp; Metrics'!AD33+CorporateCF!AD71</f>
        <v>0</v>
      </c>
      <c r="AE14" s="19">
        <f>'Financials &amp; Metrics'!AE33+CorporateCF!AE71</f>
        <v>0</v>
      </c>
      <c r="AF14" s="19">
        <f>'Financials &amp; Metrics'!AF33+CorporateCF!AF71</f>
        <v>0</v>
      </c>
      <c r="AG14" s="19">
        <f>'Financials &amp; Metrics'!AG33+CorporateCF!AG71</f>
        <v>0</v>
      </c>
      <c r="AH14" s="19">
        <f>'Financials &amp; Metrics'!AH33+CorporateCF!AH71</f>
        <v>0</v>
      </c>
      <c r="AI14" s="19">
        <f>'Financials &amp; Metrics'!AI33+CorporateCF!AI71</f>
        <v>0</v>
      </c>
      <c r="AJ14" s="19">
        <f>'Financials &amp; Metrics'!AJ33+CorporateCF!AJ71</f>
        <v>0</v>
      </c>
      <c r="AK14" s="19">
        <f>'Financials &amp; Metrics'!AK33+CorporateCF!AK71</f>
        <v>0</v>
      </c>
      <c r="AL14" s="19">
        <f>'Financials &amp; Metrics'!AL33+CorporateCF!AL71</f>
        <v>0</v>
      </c>
      <c r="AM14" s="19">
        <f>'Financials &amp; Metrics'!AM33+CorporateCF!AM71</f>
        <v>0</v>
      </c>
      <c r="AN14" s="19">
        <f>'Financials &amp; Metrics'!AN33+CorporateCF!AN71</f>
        <v>0</v>
      </c>
      <c r="AO14" s="19">
        <f>'Financials &amp; Metrics'!AO33+CorporateCF!AO71</f>
        <v>0</v>
      </c>
      <c r="AP14" s="19">
        <f>'Financials &amp; Metrics'!AP33+CorporateCF!AP71</f>
        <v>0</v>
      </c>
      <c r="AQ14" s="19">
        <f>'Financials &amp; Metrics'!AQ33+CorporateCF!AQ71</f>
        <v>0</v>
      </c>
      <c r="AR14" s="19">
        <f>'Financials &amp; Metrics'!AR33+CorporateCF!AR71</f>
        <v>0</v>
      </c>
      <c r="AS14" s="19">
        <f>'Financials &amp; Metrics'!AS33+CorporateCF!AS71</f>
        <v>0</v>
      </c>
      <c r="AT14" s="19">
        <f>'Financials &amp; Metrics'!AT33+CorporateCF!AT71</f>
        <v>0</v>
      </c>
      <c r="AU14" s="19">
        <f>'Financials &amp; Metrics'!AU33+CorporateCF!AU71</f>
        <v>0</v>
      </c>
      <c r="AV14" s="19">
        <f>'Financials &amp; Metrics'!AV33+CorporateCF!AV71</f>
        <v>0</v>
      </c>
      <c r="AW14" s="19">
        <f>'Financials &amp; Metrics'!AW33+CorporateCF!AW71</f>
        <v>0</v>
      </c>
      <c r="AX14" s="19">
        <f>'Financials &amp; Metrics'!AX33+CorporateCF!AX71</f>
        <v>0</v>
      </c>
      <c r="AY14" s="19">
        <f>'Financials &amp; Metrics'!AY33+CorporateCF!AY71</f>
        <v>0</v>
      </c>
      <c r="AZ14" s="19">
        <f>'Financials &amp; Metrics'!AZ33+CorporateCF!AZ71</f>
        <v>0</v>
      </c>
      <c r="BA14" s="19">
        <f>'Financials &amp; Metrics'!BA33+CorporateCF!BA71</f>
        <v>0</v>
      </c>
      <c r="BB14" s="19">
        <f>'Financials &amp; Metrics'!BB33+CorporateCF!BB71</f>
        <v>0</v>
      </c>
      <c r="BC14" s="19">
        <f>'Financials &amp; Metrics'!BC33+CorporateCF!BC71</f>
        <v>0</v>
      </c>
      <c r="BD14" s="19">
        <f>'Financials &amp; Metrics'!BD33+CorporateCF!BD71</f>
        <v>0</v>
      </c>
      <c r="BE14" s="19">
        <f>'Financials &amp; Metrics'!BE33+CorporateCF!BE71</f>
        <v>0</v>
      </c>
      <c r="BF14" s="19">
        <f>'Financials &amp; Metrics'!BF33+CorporateCF!BF71</f>
        <v>0</v>
      </c>
      <c r="BG14" s="19">
        <f>'Financials &amp; Metrics'!BG33+CorporateCF!BG71</f>
        <v>0</v>
      </c>
      <c r="BH14" s="19">
        <f>'Financials &amp; Metrics'!BH33+CorporateCF!BH71</f>
        <v>0</v>
      </c>
      <c r="BI14" s="19">
        <f>'Financials &amp; Metrics'!BI33+CorporateCF!BI71</f>
        <v>0</v>
      </c>
      <c r="BJ14" s="19">
        <f>'Financials &amp; Metrics'!BJ33+CorporateCF!BJ71</f>
        <v>0</v>
      </c>
      <c r="BK14" s="19">
        <f>'Financials &amp; Metrics'!BK33+CorporateCF!BK71</f>
        <v>0</v>
      </c>
      <c r="BL14" s="19">
        <f>'Financials &amp; Metrics'!BL33+CorporateCF!BL71</f>
        <v>0</v>
      </c>
      <c r="BM14" s="19">
        <f>'Financials &amp; Metrics'!BM33+CorporateCF!BM71</f>
        <v>0</v>
      </c>
      <c r="BN14" s="19">
        <f>'Financials &amp; Metrics'!BN33+CorporateCF!BN71</f>
        <v>0</v>
      </c>
      <c r="BO14" s="19">
        <f>'Financials &amp; Metrics'!BO33+CorporateCF!BO71</f>
        <v>0</v>
      </c>
      <c r="BP14" s="19">
        <f>'Financials &amp; Metrics'!BP33+CorporateCF!BP71</f>
        <v>0</v>
      </c>
      <c r="BQ14" s="19">
        <f>'Financials &amp; Metrics'!BQ33+CorporateCF!BQ71</f>
        <v>0</v>
      </c>
      <c r="BR14" s="19">
        <f>'Financials &amp; Metrics'!BR33+CorporateCF!BR71</f>
        <v>0</v>
      </c>
      <c r="BS14" s="19">
        <f>'Financials &amp; Metrics'!BS33+CorporateCF!BS71</f>
        <v>0</v>
      </c>
      <c r="BT14" s="19">
        <f>'Financials &amp; Metrics'!BT33+CorporateCF!BT71</f>
        <v>0</v>
      </c>
      <c r="BU14" s="19">
        <f>'Financials &amp; Metrics'!BU33+CorporateCF!BU71</f>
        <v>0</v>
      </c>
      <c r="BV14" s="19">
        <f>'Financials &amp; Metrics'!BV33+CorporateCF!BV71</f>
        <v>0</v>
      </c>
      <c r="BW14" s="19">
        <f>'Financials &amp; Metrics'!BW33+CorporateCF!BW71</f>
        <v>0</v>
      </c>
      <c r="BX14" s="19">
        <f>'Financials &amp; Metrics'!BX33+CorporateCF!BX71</f>
        <v>0</v>
      </c>
      <c r="BY14" s="19">
        <f>'Financials &amp; Metrics'!BY33+CorporateCF!BY71</f>
        <v>0</v>
      </c>
      <c r="BZ14" s="19">
        <f>'Financials &amp; Metrics'!BZ33+CorporateCF!BZ71</f>
        <v>0</v>
      </c>
      <c r="CA14" s="19">
        <f>'Financials &amp; Metrics'!CA33+CorporateCF!CA71</f>
        <v>0</v>
      </c>
      <c r="CB14" s="19">
        <f>'Financials &amp; Metrics'!CB33+CorporateCF!CB71</f>
        <v>0</v>
      </c>
      <c r="CC14" s="19">
        <f>'Financials &amp; Metrics'!CC33+CorporateCF!CC71</f>
        <v>0</v>
      </c>
      <c r="CD14" s="19">
        <f>'Financials &amp; Metrics'!CD33+CorporateCF!CD71</f>
        <v>0</v>
      </c>
      <c r="CE14" s="19">
        <f>'Financials &amp; Metrics'!CE33+CorporateCF!CE71</f>
        <v>0</v>
      </c>
      <c r="CF14" s="19">
        <f>'Financials &amp; Metrics'!CF33+CorporateCF!CF71</f>
        <v>0</v>
      </c>
      <c r="CG14" s="19">
        <f>'Financials &amp; Metrics'!CG33+CorporateCF!CG71</f>
        <v>0</v>
      </c>
      <c r="CH14" s="19">
        <f>'Financials &amp; Metrics'!CH33+CorporateCF!CH71</f>
        <v>0</v>
      </c>
      <c r="CI14" s="19">
        <f>'Financials &amp; Metrics'!CI33+CorporateCF!CI71</f>
        <v>0</v>
      </c>
      <c r="CJ14" s="19">
        <f>'Financials &amp; Metrics'!CJ33+CorporateCF!CJ71</f>
        <v>0</v>
      </c>
      <c r="CK14" s="19">
        <f>'Financials &amp; Metrics'!CK33+CorporateCF!CK71</f>
        <v>0</v>
      </c>
      <c r="CL14" s="19">
        <f>'Financials &amp; Metrics'!CL33+CorporateCF!CL71</f>
        <v>0</v>
      </c>
      <c r="CM14" s="19">
        <f>'Financials &amp; Metrics'!CM33+CorporateCF!CM71</f>
        <v>0</v>
      </c>
      <c r="CN14" s="19">
        <f>'Financials &amp; Metrics'!CN33+CorporateCF!CN71</f>
        <v>0</v>
      </c>
      <c r="CO14" s="19">
        <f>'Financials &amp; Metrics'!CO33+CorporateCF!CO71</f>
        <v>0</v>
      </c>
      <c r="CP14" s="19">
        <f>'Financials &amp; Metrics'!CP33+CorporateCF!CP71</f>
        <v>0</v>
      </c>
      <c r="CQ14" s="19">
        <f>'Financials &amp; Metrics'!CQ33+CorporateCF!CQ71</f>
        <v>0</v>
      </c>
      <c r="CR14" s="19">
        <f>'Financials &amp; Metrics'!CR33+CorporateCF!CR71</f>
        <v>0</v>
      </c>
      <c r="CS14" s="19">
        <f>'Financials &amp; Metrics'!CS33+CorporateCF!CS71</f>
        <v>0</v>
      </c>
      <c r="CT14" s="19">
        <f>'Financials &amp; Metrics'!CT33+CorporateCF!CT71</f>
        <v>0</v>
      </c>
      <c r="CU14" s="19">
        <f>'Financials &amp; Metrics'!CU33+CorporateCF!CU71</f>
        <v>0</v>
      </c>
      <c r="CV14" s="19">
        <f>'Financials &amp; Metrics'!CV33+CorporateCF!CV71</f>
        <v>0</v>
      </c>
      <c r="CW14" s="19">
        <f>'Financials &amp; Metrics'!CW33+CorporateCF!CW71</f>
        <v>0</v>
      </c>
      <c r="CX14" s="19">
        <f>'Financials &amp; Metrics'!CX33+CorporateCF!CX71</f>
        <v>0</v>
      </c>
      <c r="CY14" s="19">
        <f>'Financials &amp; Metrics'!CY33+CorporateCF!CY71</f>
        <v>0</v>
      </c>
      <c r="CZ14" s="19">
        <f>'Financials &amp; Metrics'!CZ33+CorporateCF!CZ71</f>
        <v>0</v>
      </c>
      <c r="DA14" s="19">
        <f>'Financials &amp; Metrics'!DA33+CorporateCF!DA71</f>
        <v>0</v>
      </c>
      <c r="DB14" s="19">
        <f>'Financials &amp; Metrics'!DB33+CorporateCF!DB71</f>
        <v>0</v>
      </c>
      <c r="DC14" s="19">
        <f>'Financials &amp; Metrics'!DC33+CorporateCF!DC71</f>
        <v>0</v>
      </c>
      <c r="DD14" s="19">
        <f>'Financials &amp; Metrics'!DD33+CorporateCF!DD71</f>
        <v>0</v>
      </c>
      <c r="DE14" s="19">
        <f>'Financials &amp; Metrics'!DE33+CorporateCF!DE71</f>
        <v>0</v>
      </c>
    </row>
    <row r="16" spans="1:109" ht="14" x14ac:dyDescent="0.15">
      <c r="C16" s="2" t="s">
        <v>203</v>
      </c>
      <c r="J16" s="37">
        <f>J14</f>
        <v>-174221665.5368098</v>
      </c>
      <c r="K16" s="37">
        <f>J16+K14</f>
        <v>-557802139.23970211</v>
      </c>
      <c r="L16" s="37">
        <f t="shared" ref="L16:Y16" si="8">K16+L14</f>
        <v>-1272257372.7015777</v>
      </c>
      <c r="M16" s="37">
        <f t="shared" si="8"/>
        <v>-1670478322.5</v>
      </c>
      <c r="N16" s="37">
        <f t="shared" si="8"/>
        <v>-600257534.06306601</v>
      </c>
      <c r="O16" s="37">
        <f t="shared" si="8"/>
        <v>585788932.8058815</v>
      </c>
      <c r="P16" s="37">
        <f t="shared" si="8"/>
        <v>1827310945.5525248</v>
      </c>
      <c r="Q16" s="37">
        <f t="shared" si="8"/>
        <v>3094205974.2797942</v>
      </c>
      <c r="R16" s="37">
        <f t="shared" si="8"/>
        <v>4236051998.9733291</v>
      </c>
      <c r="S16" s="37">
        <f t="shared" si="8"/>
        <v>4797576640.6088686</v>
      </c>
      <c r="T16" s="37">
        <f t="shared" si="8"/>
        <v>5404448450.5886183</v>
      </c>
      <c r="U16" s="37">
        <f t="shared" si="8"/>
        <v>6072173921.6461267</v>
      </c>
      <c r="V16" s="37">
        <f t="shared" si="8"/>
        <v>6615506868.5668583</v>
      </c>
      <c r="W16" s="37">
        <f t="shared" si="8"/>
        <v>7179740278.1752577</v>
      </c>
      <c r="X16" s="37">
        <f>W16+X14</f>
        <v>7382983392.9937973</v>
      </c>
      <c r="Y16" s="37">
        <f t="shared" si="8"/>
        <v>7330513392.9937973</v>
      </c>
    </row>
    <row r="18" spans="3:109" x14ac:dyDescent="0.15">
      <c r="C18" t="s">
        <v>204</v>
      </c>
      <c r="D18" s="5" t="s">
        <v>0</v>
      </c>
      <c r="E18" s="65">
        <f>CorporateCF!E12</f>
        <v>1700000000</v>
      </c>
    </row>
    <row r="19" spans="3:109" x14ac:dyDescent="0.15">
      <c r="C19" s="23" t="s">
        <v>345</v>
      </c>
      <c r="D19" s="5" t="s">
        <v>18</v>
      </c>
      <c r="E19" s="66">
        <v>0.5</v>
      </c>
    </row>
    <row r="20" spans="3:109" x14ac:dyDescent="0.15">
      <c r="D20" s="5"/>
    </row>
    <row r="21" spans="3:109" x14ac:dyDescent="0.15">
      <c r="D21" s="5"/>
    </row>
    <row r="22" spans="3:109" x14ac:dyDescent="0.15">
      <c r="C22" t="s">
        <v>205</v>
      </c>
      <c r="D22" s="5" t="s">
        <v>206</v>
      </c>
      <c r="E22" s="43">
        <v>5</v>
      </c>
    </row>
    <row r="23" spans="3:109" x14ac:dyDescent="0.15">
      <c r="C23" s="23" t="s">
        <v>207</v>
      </c>
      <c r="D23" s="5" t="s">
        <v>206</v>
      </c>
      <c r="E23" s="43">
        <v>0</v>
      </c>
    </row>
    <row r="24" spans="3:109" x14ac:dyDescent="0.15">
      <c r="C24" t="s">
        <v>208</v>
      </c>
      <c r="D24" s="5" t="s">
        <v>18</v>
      </c>
      <c r="E24" s="66">
        <v>0.09</v>
      </c>
    </row>
    <row r="25" spans="3:109" x14ac:dyDescent="0.15">
      <c r="C25" t="s">
        <v>209</v>
      </c>
      <c r="D25" s="5" t="s">
        <v>18</v>
      </c>
      <c r="E25" s="66">
        <v>0.03</v>
      </c>
    </row>
    <row r="26" spans="3:109" x14ac:dyDescent="0.15">
      <c r="D26" s="5"/>
    </row>
    <row r="27" spans="3:109" x14ac:dyDescent="0.15">
      <c r="C27" t="s">
        <v>210</v>
      </c>
      <c r="D27" s="5" t="s">
        <v>0</v>
      </c>
      <c r="I27" s="35"/>
      <c r="J27" s="19">
        <v>0</v>
      </c>
      <c r="K27" s="19">
        <f t="shared" ref="K27:BV27" si="9">J30</f>
        <v>850000000</v>
      </c>
      <c r="L27" s="19">
        <f t="shared" si="9"/>
        <v>850000000</v>
      </c>
      <c r="M27" s="19">
        <f t="shared" si="9"/>
        <v>850000000</v>
      </c>
      <c r="N27" s="19">
        <f t="shared" ca="1" si="9"/>
        <v>850000000</v>
      </c>
      <c r="O27" s="19">
        <f t="shared" ca="1" si="9"/>
        <v>680000000</v>
      </c>
      <c r="P27" s="19">
        <f t="shared" ca="1" si="9"/>
        <v>510000000</v>
      </c>
      <c r="Q27" s="19">
        <f t="shared" ca="1" si="9"/>
        <v>340000000</v>
      </c>
      <c r="R27" s="19">
        <f t="shared" ca="1" si="9"/>
        <v>170000000</v>
      </c>
      <c r="S27" s="19">
        <f t="shared" ca="1" si="9"/>
        <v>0</v>
      </c>
      <c r="T27" s="19">
        <f t="shared" ca="1" si="9"/>
        <v>0</v>
      </c>
      <c r="U27" s="19">
        <f t="shared" ca="1" si="9"/>
        <v>0</v>
      </c>
      <c r="V27" s="19">
        <f t="shared" ca="1" si="9"/>
        <v>0</v>
      </c>
      <c r="W27" s="19">
        <f t="shared" ca="1" si="9"/>
        <v>0</v>
      </c>
      <c r="X27" s="19">
        <f t="shared" ca="1" si="9"/>
        <v>0</v>
      </c>
      <c r="Y27" s="19">
        <f t="shared" ca="1" si="9"/>
        <v>0</v>
      </c>
      <c r="Z27" s="19">
        <f t="shared" ca="1" si="9"/>
        <v>0</v>
      </c>
      <c r="AA27" s="19">
        <f t="shared" ca="1" si="9"/>
        <v>0</v>
      </c>
      <c r="AB27" s="19">
        <f t="shared" ca="1" si="9"/>
        <v>0</v>
      </c>
      <c r="AC27" s="19">
        <f t="shared" ca="1" si="9"/>
        <v>0</v>
      </c>
      <c r="AD27" s="19">
        <f t="shared" ca="1" si="9"/>
        <v>0</v>
      </c>
      <c r="AE27" s="19">
        <f t="shared" ca="1" si="9"/>
        <v>0</v>
      </c>
      <c r="AF27" s="19">
        <f t="shared" ca="1" si="9"/>
        <v>0</v>
      </c>
      <c r="AG27" s="19">
        <f t="shared" ca="1" si="9"/>
        <v>0</v>
      </c>
      <c r="AH27" s="19">
        <f t="shared" ca="1" si="9"/>
        <v>0</v>
      </c>
      <c r="AI27" s="19">
        <f t="shared" ca="1" si="9"/>
        <v>0</v>
      </c>
      <c r="AJ27" s="19">
        <f t="shared" ca="1" si="9"/>
        <v>0</v>
      </c>
      <c r="AK27" s="19">
        <f t="shared" ca="1" si="9"/>
        <v>0</v>
      </c>
      <c r="AL27" s="19">
        <f t="shared" ca="1" si="9"/>
        <v>0</v>
      </c>
      <c r="AM27" s="19">
        <f t="shared" ca="1" si="9"/>
        <v>0</v>
      </c>
      <c r="AN27" s="19">
        <f t="shared" ca="1" si="9"/>
        <v>0</v>
      </c>
      <c r="AO27" s="19">
        <f t="shared" ca="1" si="9"/>
        <v>0</v>
      </c>
      <c r="AP27" s="19">
        <f t="shared" ca="1" si="9"/>
        <v>0</v>
      </c>
      <c r="AQ27" s="19">
        <f t="shared" ca="1" si="9"/>
        <v>0</v>
      </c>
      <c r="AR27" s="19">
        <f t="shared" ca="1" si="9"/>
        <v>0</v>
      </c>
      <c r="AS27" s="19">
        <f t="shared" ca="1" si="9"/>
        <v>0</v>
      </c>
      <c r="AT27" s="19">
        <f t="shared" ca="1" si="9"/>
        <v>0</v>
      </c>
      <c r="AU27" s="19">
        <f t="shared" ca="1" si="9"/>
        <v>0</v>
      </c>
      <c r="AV27" s="19">
        <f t="shared" ca="1" si="9"/>
        <v>0</v>
      </c>
      <c r="AW27" s="19">
        <f t="shared" ca="1" si="9"/>
        <v>0</v>
      </c>
      <c r="AX27" s="19">
        <f t="shared" ca="1" si="9"/>
        <v>0</v>
      </c>
      <c r="AY27" s="19">
        <f t="shared" ca="1" si="9"/>
        <v>0</v>
      </c>
      <c r="AZ27" s="19">
        <f t="shared" ca="1" si="9"/>
        <v>0</v>
      </c>
      <c r="BA27" s="19">
        <f t="shared" ca="1" si="9"/>
        <v>0</v>
      </c>
      <c r="BB27" s="19">
        <f t="shared" ca="1" si="9"/>
        <v>0</v>
      </c>
      <c r="BC27" s="19">
        <f t="shared" ca="1" si="9"/>
        <v>0</v>
      </c>
      <c r="BD27" s="19">
        <f t="shared" ca="1" si="9"/>
        <v>0</v>
      </c>
      <c r="BE27" s="19">
        <f t="shared" ca="1" si="9"/>
        <v>0</v>
      </c>
      <c r="BF27" s="19">
        <f t="shared" ca="1" si="9"/>
        <v>0</v>
      </c>
      <c r="BG27" s="19">
        <f t="shared" ca="1" si="9"/>
        <v>0</v>
      </c>
      <c r="BH27" s="19">
        <f t="shared" ca="1" si="9"/>
        <v>0</v>
      </c>
      <c r="BI27" s="19">
        <f t="shared" ca="1" si="9"/>
        <v>0</v>
      </c>
      <c r="BJ27" s="19">
        <f t="shared" ca="1" si="9"/>
        <v>0</v>
      </c>
      <c r="BK27" s="19">
        <f t="shared" ca="1" si="9"/>
        <v>0</v>
      </c>
      <c r="BL27" s="19">
        <f t="shared" ca="1" si="9"/>
        <v>0</v>
      </c>
      <c r="BM27" s="19">
        <f t="shared" ca="1" si="9"/>
        <v>0</v>
      </c>
      <c r="BN27" s="19">
        <f t="shared" ca="1" si="9"/>
        <v>0</v>
      </c>
      <c r="BO27" s="19">
        <f t="shared" ca="1" si="9"/>
        <v>0</v>
      </c>
      <c r="BP27" s="19">
        <f t="shared" ca="1" si="9"/>
        <v>0</v>
      </c>
      <c r="BQ27" s="19">
        <f t="shared" ca="1" si="9"/>
        <v>0</v>
      </c>
      <c r="BR27" s="19">
        <f t="shared" ca="1" si="9"/>
        <v>0</v>
      </c>
      <c r="BS27" s="19">
        <f t="shared" ca="1" si="9"/>
        <v>0</v>
      </c>
      <c r="BT27" s="19">
        <f t="shared" ca="1" si="9"/>
        <v>0</v>
      </c>
      <c r="BU27" s="19">
        <f t="shared" ca="1" si="9"/>
        <v>0</v>
      </c>
      <c r="BV27" s="19">
        <f t="shared" ca="1" si="9"/>
        <v>0</v>
      </c>
      <c r="BW27" s="19">
        <f t="shared" ref="BW27:DE27" ca="1" si="10">BV30</f>
        <v>0</v>
      </c>
      <c r="BX27" s="19">
        <f t="shared" ca="1" si="10"/>
        <v>0</v>
      </c>
      <c r="BY27" s="19">
        <f t="shared" ca="1" si="10"/>
        <v>0</v>
      </c>
      <c r="BZ27" s="19">
        <f t="shared" ca="1" si="10"/>
        <v>0</v>
      </c>
      <c r="CA27" s="19">
        <f t="shared" ca="1" si="10"/>
        <v>0</v>
      </c>
      <c r="CB27" s="19">
        <f t="shared" ca="1" si="10"/>
        <v>0</v>
      </c>
      <c r="CC27" s="19">
        <f t="shared" ca="1" si="10"/>
        <v>0</v>
      </c>
      <c r="CD27" s="19">
        <f t="shared" ca="1" si="10"/>
        <v>0</v>
      </c>
      <c r="CE27" s="19">
        <f t="shared" ca="1" si="10"/>
        <v>0</v>
      </c>
      <c r="CF27" s="19">
        <f t="shared" ca="1" si="10"/>
        <v>0</v>
      </c>
      <c r="CG27" s="19">
        <f t="shared" ca="1" si="10"/>
        <v>0</v>
      </c>
      <c r="CH27" s="19">
        <f t="shared" ca="1" si="10"/>
        <v>0</v>
      </c>
      <c r="CI27" s="19">
        <f t="shared" ca="1" si="10"/>
        <v>0</v>
      </c>
      <c r="CJ27" s="19">
        <f t="shared" ca="1" si="10"/>
        <v>0</v>
      </c>
      <c r="CK27" s="19">
        <f t="shared" ca="1" si="10"/>
        <v>0</v>
      </c>
      <c r="CL27" s="19">
        <f t="shared" ca="1" si="10"/>
        <v>0</v>
      </c>
      <c r="CM27" s="19">
        <f t="shared" ca="1" si="10"/>
        <v>0</v>
      </c>
      <c r="CN27" s="19">
        <f t="shared" ca="1" si="10"/>
        <v>0</v>
      </c>
      <c r="CO27" s="19">
        <f t="shared" ca="1" si="10"/>
        <v>0</v>
      </c>
      <c r="CP27" s="19">
        <f t="shared" ca="1" si="10"/>
        <v>0</v>
      </c>
      <c r="CQ27" s="19">
        <f t="shared" ca="1" si="10"/>
        <v>0</v>
      </c>
      <c r="CR27" s="19">
        <f t="shared" ca="1" si="10"/>
        <v>0</v>
      </c>
      <c r="CS27" s="19">
        <f t="shared" ca="1" si="10"/>
        <v>0</v>
      </c>
      <c r="CT27" s="19">
        <f t="shared" ca="1" si="10"/>
        <v>0</v>
      </c>
      <c r="CU27" s="19">
        <f t="shared" ca="1" si="10"/>
        <v>0</v>
      </c>
      <c r="CV27" s="19">
        <f t="shared" ca="1" si="10"/>
        <v>0</v>
      </c>
      <c r="CW27" s="19">
        <f t="shared" ca="1" si="10"/>
        <v>0</v>
      </c>
      <c r="CX27" s="19">
        <f t="shared" ca="1" si="10"/>
        <v>0</v>
      </c>
      <c r="CY27" s="19">
        <f t="shared" ca="1" si="10"/>
        <v>0</v>
      </c>
      <c r="CZ27" s="19">
        <f t="shared" ca="1" si="10"/>
        <v>0</v>
      </c>
      <c r="DA27" s="19">
        <f t="shared" ca="1" si="10"/>
        <v>0</v>
      </c>
      <c r="DB27" s="19">
        <f t="shared" ca="1" si="10"/>
        <v>0</v>
      </c>
      <c r="DC27" s="19">
        <f t="shared" ca="1" si="10"/>
        <v>0</v>
      </c>
      <c r="DD27" s="19">
        <f t="shared" ca="1" si="10"/>
        <v>0</v>
      </c>
      <c r="DE27" s="19">
        <f t="shared" ca="1" si="10"/>
        <v>0</v>
      </c>
    </row>
    <row r="28" spans="3:109" x14ac:dyDescent="0.15">
      <c r="C28" t="s">
        <v>211</v>
      </c>
      <c r="D28" s="5" t="s">
        <v>0</v>
      </c>
      <c r="I28" s="35">
        <f>SUM(J28:DE28)</f>
        <v>850000000</v>
      </c>
      <c r="J28" s="19">
        <f>E18*E19</f>
        <v>850000000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</row>
    <row r="29" spans="3:109" x14ac:dyDescent="0.15">
      <c r="C29" t="s">
        <v>212</v>
      </c>
      <c r="D29" s="5" t="s">
        <v>0</v>
      </c>
      <c r="I29" s="35">
        <f ca="1">SUM(J29:DE29)</f>
        <v>850000000</v>
      </c>
      <c r="J29" s="19"/>
      <c r="K29" s="19"/>
      <c r="L29" s="19"/>
      <c r="M29" s="19">
        <f t="shared" ref="M29:BX29" ca="1" si="11">IF(M8=1,($E$18*$E$19)/$E$22,0)</f>
        <v>0</v>
      </c>
      <c r="N29" s="19">
        <f t="shared" ca="1" si="11"/>
        <v>170000000</v>
      </c>
      <c r="O29" s="19">
        <f t="shared" ca="1" si="11"/>
        <v>170000000</v>
      </c>
      <c r="P29" s="19">
        <f t="shared" ca="1" si="11"/>
        <v>170000000</v>
      </c>
      <c r="Q29" s="19">
        <f t="shared" ca="1" si="11"/>
        <v>170000000</v>
      </c>
      <c r="R29" s="19">
        <f t="shared" ca="1" si="11"/>
        <v>170000000</v>
      </c>
      <c r="S29" s="19">
        <f t="shared" ca="1" si="11"/>
        <v>0</v>
      </c>
      <c r="T29" s="19">
        <f t="shared" ca="1" si="11"/>
        <v>0</v>
      </c>
      <c r="U29" s="19">
        <f t="shared" ca="1" si="11"/>
        <v>0</v>
      </c>
      <c r="V29" s="19">
        <f t="shared" ca="1" si="11"/>
        <v>0</v>
      </c>
      <c r="W29" s="19">
        <f t="shared" ca="1" si="11"/>
        <v>0</v>
      </c>
      <c r="X29" s="19">
        <f t="shared" ca="1" si="11"/>
        <v>0</v>
      </c>
      <c r="Y29" s="19">
        <f t="shared" ca="1" si="11"/>
        <v>0</v>
      </c>
      <c r="Z29" s="19">
        <f t="shared" ca="1" si="11"/>
        <v>0</v>
      </c>
      <c r="AA29" s="19">
        <f t="shared" ca="1" si="11"/>
        <v>0</v>
      </c>
      <c r="AB29" s="19">
        <f t="shared" ca="1" si="11"/>
        <v>0</v>
      </c>
      <c r="AC29" s="19">
        <f t="shared" ca="1" si="11"/>
        <v>0</v>
      </c>
      <c r="AD29" s="19">
        <f t="shared" ca="1" si="11"/>
        <v>0</v>
      </c>
      <c r="AE29" s="19">
        <f t="shared" ca="1" si="11"/>
        <v>0</v>
      </c>
      <c r="AF29" s="19">
        <f t="shared" ca="1" si="11"/>
        <v>0</v>
      </c>
      <c r="AG29" s="19">
        <f t="shared" ca="1" si="11"/>
        <v>0</v>
      </c>
      <c r="AH29" s="19">
        <f t="shared" ca="1" si="11"/>
        <v>0</v>
      </c>
      <c r="AI29" s="19">
        <f t="shared" ca="1" si="11"/>
        <v>0</v>
      </c>
      <c r="AJ29" s="19">
        <f t="shared" ca="1" si="11"/>
        <v>0</v>
      </c>
      <c r="AK29" s="19">
        <f t="shared" ca="1" si="11"/>
        <v>0</v>
      </c>
      <c r="AL29" s="19">
        <f t="shared" ca="1" si="11"/>
        <v>0</v>
      </c>
      <c r="AM29" s="19">
        <f t="shared" ca="1" si="11"/>
        <v>0</v>
      </c>
      <c r="AN29" s="19">
        <f t="shared" ca="1" si="11"/>
        <v>0</v>
      </c>
      <c r="AO29" s="19">
        <f t="shared" ca="1" si="11"/>
        <v>0</v>
      </c>
      <c r="AP29" s="19">
        <f t="shared" ca="1" si="11"/>
        <v>0</v>
      </c>
      <c r="AQ29" s="19">
        <f t="shared" ca="1" si="11"/>
        <v>0</v>
      </c>
      <c r="AR29" s="19">
        <f t="shared" ca="1" si="11"/>
        <v>0</v>
      </c>
      <c r="AS29" s="19">
        <f t="shared" ca="1" si="11"/>
        <v>0</v>
      </c>
      <c r="AT29" s="19">
        <f t="shared" ca="1" si="11"/>
        <v>0</v>
      </c>
      <c r="AU29" s="19">
        <f t="shared" ca="1" si="11"/>
        <v>0</v>
      </c>
      <c r="AV29" s="19">
        <f t="shared" ca="1" si="11"/>
        <v>0</v>
      </c>
      <c r="AW29" s="19">
        <f t="shared" ca="1" si="11"/>
        <v>0</v>
      </c>
      <c r="AX29" s="19">
        <f t="shared" ca="1" si="11"/>
        <v>0</v>
      </c>
      <c r="AY29" s="19">
        <f t="shared" ca="1" si="11"/>
        <v>0</v>
      </c>
      <c r="AZ29" s="19">
        <f t="shared" ca="1" si="11"/>
        <v>0</v>
      </c>
      <c r="BA29" s="19">
        <f t="shared" ca="1" si="11"/>
        <v>0</v>
      </c>
      <c r="BB29" s="19">
        <f t="shared" ca="1" si="11"/>
        <v>0</v>
      </c>
      <c r="BC29" s="19">
        <f t="shared" ca="1" si="11"/>
        <v>0</v>
      </c>
      <c r="BD29" s="19">
        <f t="shared" ca="1" si="11"/>
        <v>0</v>
      </c>
      <c r="BE29" s="19">
        <f t="shared" ca="1" si="11"/>
        <v>0</v>
      </c>
      <c r="BF29" s="19">
        <f t="shared" ca="1" si="11"/>
        <v>0</v>
      </c>
      <c r="BG29" s="19">
        <f t="shared" ca="1" si="11"/>
        <v>0</v>
      </c>
      <c r="BH29" s="19">
        <f t="shared" ca="1" si="11"/>
        <v>0</v>
      </c>
      <c r="BI29" s="19">
        <f t="shared" ca="1" si="11"/>
        <v>0</v>
      </c>
      <c r="BJ29" s="19">
        <f t="shared" ca="1" si="11"/>
        <v>0</v>
      </c>
      <c r="BK29" s="19">
        <f t="shared" ca="1" si="11"/>
        <v>0</v>
      </c>
      <c r="BL29" s="19">
        <f t="shared" ca="1" si="11"/>
        <v>0</v>
      </c>
      <c r="BM29" s="19">
        <f t="shared" ca="1" si="11"/>
        <v>0</v>
      </c>
      <c r="BN29" s="19">
        <f t="shared" ca="1" si="11"/>
        <v>0</v>
      </c>
      <c r="BO29" s="19">
        <f t="shared" ca="1" si="11"/>
        <v>0</v>
      </c>
      <c r="BP29" s="19">
        <f t="shared" ca="1" si="11"/>
        <v>0</v>
      </c>
      <c r="BQ29" s="19">
        <f t="shared" ca="1" si="11"/>
        <v>0</v>
      </c>
      <c r="BR29" s="19">
        <f t="shared" ca="1" si="11"/>
        <v>0</v>
      </c>
      <c r="BS29" s="19">
        <f t="shared" ca="1" si="11"/>
        <v>0</v>
      </c>
      <c r="BT29" s="19">
        <f t="shared" ca="1" si="11"/>
        <v>0</v>
      </c>
      <c r="BU29" s="19">
        <f t="shared" ca="1" si="11"/>
        <v>0</v>
      </c>
      <c r="BV29" s="19">
        <f t="shared" ca="1" si="11"/>
        <v>0</v>
      </c>
      <c r="BW29" s="19">
        <f t="shared" ca="1" si="11"/>
        <v>0</v>
      </c>
      <c r="BX29" s="19">
        <f t="shared" ca="1" si="11"/>
        <v>0</v>
      </c>
      <c r="BY29" s="19">
        <f t="shared" ref="BY29:DE29" ca="1" si="12">IF(BY8=1,($E$18*$E$19)/$E$22,0)</f>
        <v>0</v>
      </c>
      <c r="BZ29" s="19">
        <f t="shared" ca="1" si="12"/>
        <v>0</v>
      </c>
      <c r="CA29" s="19">
        <f t="shared" ca="1" si="12"/>
        <v>0</v>
      </c>
      <c r="CB29" s="19">
        <f t="shared" ca="1" si="12"/>
        <v>0</v>
      </c>
      <c r="CC29" s="19">
        <f t="shared" ca="1" si="12"/>
        <v>0</v>
      </c>
      <c r="CD29" s="19">
        <f t="shared" ca="1" si="12"/>
        <v>0</v>
      </c>
      <c r="CE29" s="19">
        <f t="shared" ca="1" si="12"/>
        <v>0</v>
      </c>
      <c r="CF29" s="19">
        <f t="shared" ca="1" si="12"/>
        <v>0</v>
      </c>
      <c r="CG29" s="19">
        <f t="shared" ca="1" si="12"/>
        <v>0</v>
      </c>
      <c r="CH29" s="19">
        <f t="shared" ca="1" si="12"/>
        <v>0</v>
      </c>
      <c r="CI29" s="19">
        <f t="shared" ca="1" si="12"/>
        <v>0</v>
      </c>
      <c r="CJ29" s="19">
        <f t="shared" ca="1" si="12"/>
        <v>0</v>
      </c>
      <c r="CK29" s="19">
        <f t="shared" ca="1" si="12"/>
        <v>0</v>
      </c>
      <c r="CL29" s="19">
        <f t="shared" ca="1" si="12"/>
        <v>0</v>
      </c>
      <c r="CM29" s="19">
        <f t="shared" ca="1" si="12"/>
        <v>0</v>
      </c>
      <c r="CN29" s="19">
        <f t="shared" ca="1" si="12"/>
        <v>0</v>
      </c>
      <c r="CO29" s="19">
        <f t="shared" ca="1" si="12"/>
        <v>0</v>
      </c>
      <c r="CP29" s="19">
        <f t="shared" ca="1" si="12"/>
        <v>0</v>
      </c>
      <c r="CQ29" s="19">
        <f t="shared" ca="1" si="12"/>
        <v>0</v>
      </c>
      <c r="CR29" s="19">
        <f t="shared" ca="1" si="12"/>
        <v>0</v>
      </c>
      <c r="CS29" s="19">
        <f t="shared" ca="1" si="12"/>
        <v>0</v>
      </c>
      <c r="CT29" s="19">
        <f t="shared" ca="1" si="12"/>
        <v>0</v>
      </c>
      <c r="CU29" s="19">
        <f t="shared" ca="1" si="12"/>
        <v>0</v>
      </c>
      <c r="CV29" s="19">
        <f t="shared" ca="1" si="12"/>
        <v>0</v>
      </c>
      <c r="CW29" s="19">
        <f t="shared" ca="1" si="12"/>
        <v>0</v>
      </c>
      <c r="CX29" s="19">
        <f t="shared" ca="1" si="12"/>
        <v>0</v>
      </c>
      <c r="CY29" s="19">
        <f t="shared" ca="1" si="12"/>
        <v>0</v>
      </c>
      <c r="CZ29" s="19">
        <f t="shared" ca="1" si="12"/>
        <v>0</v>
      </c>
      <c r="DA29" s="19">
        <f t="shared" ca="1" si="12"/>
        <v>0</v>
      </c>
      <c r="DB29" s="19">
        <f t="shared" ca="1" si="12"/>
        <v>0</v>
      </c>
      <c r="DC29" s="19">
        <f t="shared" ca="1" si="12"/>
        <v>0</v>
      </c>
      <c r="DD29" s="19">
        <f t="shared" ca="1" si="12"/>
        <v>0</v>
      </c>
      <c r="DE29" s="19">
        <f t="shared" ca="1" si="12"/>
        <v>0</v>
      </c>
    </row>
    <row r="30" spans="3:109" x14ac:dyDescent="0.15">
      <c r="C30" t="s">
        <v>213</v>
      </c>
      <c r="D30" s="5" t="s">
        <v>0</v>
      </c>
      <c r="I30" s="35"/>
      <c r="J30" s="19">
        <f>SUM(J27:J28)-J29</f>
        <v>850000000</v>
      </c>
      <c r="K30" s="19">
        <f t="shared" ref="K30:AG30" si="13">SUM(K27:K28)-K29</f>
        <v>850000000</v>
      </c>
      <c r="L30" s="19">
        <f t="shared" si="13"/>
        <v>850000000</v>
      </c>
      <c r="M30" s="19">
        <f t="shared" ca="1" si="13"/>
        <v>850000000</v>
      </c>
      <c r="N30" s="19">
        <f t="shared" ca="1" si="13"/>
        <v>680000000</v>
      </c>
      <c r="O30" s="19">
        <f t="shared" ca="1" si="13"/>
        <v>510000000</v>
      </c>
      <c r="P30" s="19">
        <f t="shared" ca="1" si="13"/>
        <v>340000000</v>
      </c>
      <c r="Q30" s="19">
        <f t="shared" ca="1" si="13"/>
        <v>170000000</v>
      </c>
      <c r="R30" s="19">
        <f t="shared" ca="1" si="13"/>
        <v>0</v>
      </c>
      <c r="S30" s="19">
        <f t="shared" ca="1" si="13"/>
        <v>0</v>
      </c>
      <c r="T30" s="19">
        <f t="shared" ca="1" si="13"/>
        <v>0</v>
      </c>
      <c r="U30" s="19">
        <f t="shared" ca="1" si="13"/>
        <v>0</v>
      </c>
      <c r="V30" s="19">
        <f t="shared" ca="1" si="13"/>
        <v>0</v>
      </c>
      <c r="W30" s="19">
        <f t="shared" ca="1" si="13"/>
        <v>0</v>
      </c>
      <c r="X30" s="19">
        <f t="shared" ca="1" si="13"/>
        <v>0</v>
      </c>
      <c r="Y30" s="19">
        <f t="shared" ca="1" si="13"/>
        <v>0</v>
      </c>
      <c r="Z30" s="19">
        <f t="shared" ca="1" si="13"/>
        <v>0</v>
      </c>
      <c r="AA30" s="19">
        <f t="shared" ca="1" si="13"/>
        <v>0</v>
      </c>
      <c r="AB30" s="19">
        <f t="shared" ca="1" si="13"/>
        <v>0</v>
      </c>
      <c r="AC30" s="19">
        <f t="shared" ca="1" si="13"/>
        <v>0</v>
      </c>
      <c r="AD30" s="19">
        <f t="shared" ca="1" si="13"/>
        <v>0</v>
      </c>
      <c r="AE30" s="19">
        <f t="shared" ca="1" si="13"/>
        <v>0</v>
      </c>
      <c r="AF30" s="19">
        <f t="shared" ca="1" si="13"/>
        <v>0</v>
      </c>
      <c r="AG30" s="19">
        <f t="shared" ca="1" si="13"/>
        <v>0</v>
      </c>
      <c r="AH30" s="19">
        <f t="shared" ref="AH30:CS30" ca="1" si="14">SUM(AH27:AH28)-AH29</f>
        <v>0</v>
      </c>
      <c r="AI30" s="19">
        <f t="shared" ca="1" si="14"/>
        <v>0</v>
      </c>
      <c r="AJ30" s="19">
        <f t="shared" ca="1" si="14"/>
        <v>0</v>
      </c>
      <c r="AK30" s="19">
        <f t="shared" ca="1" si="14"/>
        <v>0</v>
      </c>
      <c r="AL30" s="19">
        <f t="shared" ca="1" si="14"/>
        <v>0</v>
      </c>
      <c r="AM30" s="19">
        <f t="shared" ca="1" si="14"/>
        <v>0</v>
      </c>
      <c r="AN30" s="19">
        <f t="shared" ca="1" si="14"/>
        <v>0</v>
      </c>
      <c r="AO30" s="19">
        <f t="shared" ca="1" si="14"/>
        <v>0</v>
      </c>
      <c r="AP30" s="19">
        <f t="shared" ca="1" si="14"/>
        <v>0</v>
      </c>
      <c r="AQ30" s="19">
        <f t="shared" ca="1" si="14"/>
        <v>0</v>
      </c>
      <c r="AR30" s="19">
        <f t="shared" ca="1" si="14"/>
        <v>0</v>
      </c>
      <c r="AS30" s="19">
        <f t="shared" ca="1" si="14"/>
        <v>0</v>
      </c>
      <c r="AT30" s="19">
        <f t="shared" ca="1" si="14"/>
        <v>0</v>
      </c>
      <c r="AU30" s="19">
        <f t="shared" ca="1" si="14"/>
        <v>0</v>
      </c>
      <c r="AV30" s="19">
        <f t="shared" ca="1" si="14"/>
        <v>0</v>
      </c>
      <c r="AW30" s="19">
        <f t="shared" ca="1" si="14"/>
        <v>0</v>
      </c>
      <c r="AX30" s="19">
        <f t="shared" ca="1" si="14"/>
        <v>0</v>
      </c>
      <c r="AY30" s="19">
        <f t="shared" ca="1" si="14"/>
        <v>0</v>
      </c>
      <c r="AZ30" s="19">
        <f t="shared" ca="1" si="14"/>
        <v>0</v>
      </c>
      <c r="BA30" s="19">
        <f t="shared" ca="1" si="14"/>
        <v>0</v>
      </c>
      <c r="BB30" s="19">
        <f t="shared" ca="1" si="14"/>
        <v>0</v>
      </c>
      <c r="BC30" s="19">
        <f t="shared" ca="1" si="14"/>
        <v>0</v>
      </c>
      <c r="BD30" s="19">
        <f t="shared" ca="1" si="14"/>
        <v>0</v>
      </c>
      <c r="BE30" s="19">
        <f t="shared" ca="1" si="14"/>
        <v>0</v>
      </c>
      <c r="BF30" s="19">
        <f t="shared" ca="1" si="14"/>
        <v>0</v>
      </c>
      <c r="BG30" s="19">
        <f t="shared" ca="1" si="14"/>
        <v>0</v>
      </c>
      <c r="BH30" s="19">
        <f t="shared" ca="1" si="14"/>
        <v>0</v>
      </c>
      <c r="BI30" s="19">
        <f t="shared" ca="1" si="14"/>
        <v>0</v>
      </c>
      <c r="BJ30" s="19">
        <f t="shared" ca="1" si="14"/>
        <v>0</v>
      </c>
      <c r="BK30" s="19">
        <f t="shared" ca="1" si="14"/>
        <v>0</v>
      </c>
      <c r="BL30" s="19">
        <f t="shared" ca="1" si="14"/>
        <v>0</v>
      </c>
      <c r="BM30" s="19">
        <f t="shared" ca="1" si="14"/>
        <v>0</v>
      </c>
      <c r="BN30" s="19">
        <f t="shared" ca="1" si="14"/>
        <v>0</v>
      </c>
      <c r="BO30" s="19">
        <f t="shared" ca="1" si="14"/>
        <v>0</v>
      </c>
      <c r="BP30" s="19">
        <f t="shared" ca="1" si="14"/>
        <v>0</v>
      </c>
      <c r="BQ30" s="19">
        <f t="shared" ca="1" si="14"/>
        <v>0</v>
      </c>
      <c r="BR30" s="19">
        <f t="shared" ca="1" si="14"/>
        <v>0</v>
      </c>
      <c r="BS30" s="19">
        <f t="shared" ca="1" si="14"/>
        <v>0</v>
      </c>
      <c r="BT30" s="19">
        <f t="shared" ca="1" si="14"/>
        <v>0</v>
      </c>
      <c r="BU30" s="19">
        <f t="shared" ca="1" si="14"/>
        <v>0</v>
      </c>
      <c r="BV30" s="19">
        <f t="shared" ca="1" si="14"/>
        <v>0</v>
      </c>
      <c r="BW30" s="19">
        <f t="shared" ca="1" si="14"/>
        <v>0</v>
      </c>
      <c r="BX30" s="19">
        <f t="shared" ca="1" si="14"/>
        <v>0</v>
      </c>
      <c r="BY30" s="19">
        <f t="shared" ca="1" si="14"/>
        <v>0</v>
      </c>
      <c r="BZ30" s="19">
        <f t="shared" ca="1" si="14"/>
        <v>0</v>
      </c>
      <c r="CA30" s="19">
        <f t="shared" ca="1" si="14"/>
        <v>0</v>
      </c>
      <c r="CB30" s="19">
        <f t="shared" ca="1" si="14"/>
        <v>0</v>
      </c>
      <c r="CC30" s="19">
        <f t="shared" ca="1" si="14"/>
        <v>0</v>
      </c>
      <c r="CD30" s="19">
        <f t="shared" ca="1" si="14"/>
        <v>0</v>
      </c>
      <c r="CE30" s="19">
        <f t="shared" ca="1" si="14"/>
        <v>0</v>
      </c>
      <c r="CF30" s="19">
        <f t="shared" ca="1" si="14"/>
        <v>0</v>
      </c>
      <c r="CG30" s="19">
        <f t="shared" ca="1" si="14"/>
        <v>0</v>
      </c>
      <c r="CH30" s="19">
        <f t="shared" ca="1" si="14"/>
        <v>0</v>
      </c>
      <c r="CI30" s="19">
        <f t="shared" ca="1" si="14"/>
        <v>0</v>
      </c>
      <c r="CJ30" s="19">
        <f t="shared" ca="1" si="14"/>
        <v>0</v>
      </c>
      <c r="CK30" s="19">
        <f t="shared" ca="1" si="14"/>
        <v>0</v>
      </c>
      <c r="CL30" s="19">
        <f t="shared" ca="1" si="14"/>
        <v>0</v>
      </c>
      <c r="CM30" s="19">
        <f t="shared" ca="1" si="14"/>
        <v>0</v>
      </c>
      <c r="CN30" s="19">
        <f t="shared" ca="1" si="14"/>
        <v>0</v>
      </c>
      <c r="CO30" s="19">
        <f t="shared" ca="1" si="14"/>
        <v>0</v>
      </c>
      <c r="CP30" s="19">
        <f t="shared" ca="1" si="14"/>
        <v>0</v>
      </c>
      <c r="CQ30" s="19">
        <f t="shared" ca="1" si="14"/>
        <v>0</v>
      </c>
      <c r="CR30" s="19">
        <f t="shared" ca="1" si="14"/>
        <v>0</v>
      </c>
      <c r="CS30" s="19">
        <f t="shared" ca="1" si="14"/>
        <v>0</v>
      </c>
      <c r="CT30" s="19">
        <f t="shared" ref="CT30:DE30" ca="1" si="15">SUM(CT27:CT28)-CT29</f>
        <v>0</v>
      </c>
      <c r="CU30" s="19">
        <f t="shared" ca="1" si="15"/>
        <v>0</v>
      </c>
      <c r="CV30" s="19">
        <f t="shared" ca="1" si="15"/>
        <v>0</v>
      </c>
      <c r="CW30" s="19">
        <f t="shared" ca="1" si="15"/>
        <v>0</v>
      </c>
      <c r="CX30" s="19">
        <f t="shared" ca="1" si="15"/>
        <v>0</v>
      </c>
      <c r="CY30" s="19">
        <f t="shared" ca="1" si="15"/>
        <v>0</v>
      </c>
      <c r="CZ30" s="19">
        <f t="shared" ca="1" si="15"/>
        <v>0</v>
      </c>
      <c r="DA30" s="19">
        <f t="shared" ca="1" si="15"/>
        <v>0</v>
      </c>
      <c r="DB30" s="19">
        <f t="shared" ca="1" si="15"/>
        <v>0</v>
      </c>
      <c r="DC30" s="19">
        <f t="shared" ca="1" si="15"/>
        <v>0</v>
      </c>
      <c r="DD30" s="19">
        <f t="shared" ca="1" si="15"/>
        <v>0</v>
      </c>
      <c r="DE30" s="19">
        <f t="shared" ca="1" si="15"/>
        <v>0</v>
      </c>
    </row>
    <row r="31" spans="3:109" x14ac:dyDescent="0.15">
      <c r="D31" s="5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</row>
    <row r="32" spans="3:109" x14ac:dyDescent="0.15">
      <c r="C32" t="s">
        <v>214</v>
      </c>
      <c r="D32" s="5" t="s">
        <v>0</v>
      </c>
      <c r="I32" s="35">
        <f ca="1">SUM(J32:DE32)</f>
        <v>459000000</v>
      </c>
      <c r="J32" s="19">
        <f>AVERAGE(J27,J30)*$E$24</f>
        <v>38250000</v>
      </c>
      <c r="K32" s="19">
        <f t="shared" ref="K32:BU32" si="16">AVERAGE(K27,K30)*$E$24</f>
        <v>76500000</v>
      </c>
      <c r="L32" s="19">
        <f t="shared" si="16"/>
        <v>76500000</v>
      </c>
      <c r="M32" s="19">
        <f t="shared" ca="1" si="16"/>
        <v>76500000</v>
      </c>
      <c r="N32" s="19">
        <f t="shared" ca="1" si="16"/>
        <v>68850000</v>
      </c>
      <c r="O32" s="19">
        <f t="shared" ca="1" si="16"/>
        <v>53550000</v>
      </c>
      <c r="P32" s="19">
        <f t="shared" ca="1" si="16"/>
        <v>38250000</v>
      </c>
      <c r="Q32" s="19">
        <f t="shared" ca="1" si="16"/>
        <v>22950000</v>
      </c>
      <c r="R32" s="19">
        <f t="shared" ca="1" si="16"/>
        <v>7650000</v>
      </c>
      <c r="S32" s="19">
        <f t="shared" ca="1" si="16"/>
        <v>0</v>
      </c>
      <c r="T32" s="19">
        <f t="shared" ca="1" si="16"/>
        <v>0</v>
      </c>
      <c r="U32" s="19">
        <f t="shared" ca="1" si="16"/>
        <v>0</v>
      </c>
      <c r="V32" s="19">
        <f t="shared" ca="1" si="16"/>
        <v>0</v>
      </c>
      <c r="W32" s="19">
        <f t="shared" ca="1" si="16"/>
        <v>0</v>
      </c>
      <c r="X32" s="19">
        <f t="shared" ca="1" si="16"/>
        <v>0</v>
      </c>
      <c r="Y32" s="19">
        <f t="shared" ca="1" si="16"/>
        <v>0</v>
      </c>
      <c r="Z32" s="19">
        <f t="shared" ca="1" si="16"/>
        <v>0</v>
      </c>
      <c r="AA32" s="19">
        <f t="shared" ca="1" si="16"/>
        <v>0</v>
      </c>
      <c r="AB32" s="19">
        <f t="shared" ca="1" si="16"/>
        <v>0</v>
      </c>
      <c r="AC32" s="19">
        <f t="shared" ca="1" si="16"/>
        <v>0</v>
      </c>
      <c r="AD32" s="19">
        <f t="shared" ca="1" si="16"/>
        <v>0</v>
      </c>
      <c r="AE32" s="19">
        <f t="shared" ca="1" si="16"/>
        <v>0</v>
      </c>
      <c r="AF32" s="19">
        <f t="shared" ca="1" si="16"/>
        <v>0</v>
      </c>
      <c r="AG32" s="19">
        <f t="shared" ca="1" si="16"/>
        <v>0</v>
      </c>
      <c r="AH32" s="19">
        <f t="shared" ca="1" si="16"/>
        <v>0</v>
      </c>
      <c r="AI32" s="19">
        <f t="shared" ca="1" si="16"/>
        <v>0</v>
      </c>
      <c r="AJ32" s="19">
        <f t="shared" ca="1" si="16"/>
        <v>0</v>
      </c>
      <c r="AK32" s="19">
        <f t="shared" ca="1" si="16"/>
        <v>0</v>
      </c>
      <c r="AL32" s="19">
        <f t="shared" ca="1" si="16"/>
        <v>0</v>
      </c>
      <c r="AM32" s="19">
        <f t="shared" ca="1" si="16"/>
        <v>0</v>
      </c>
      <c r="AN32" s="19">
        <f t="shared" ca="1" si="16"/>
        <v>0</v>
      </c>
      <c r="AO32" s="19">
        <f t="shared" ca="1" si="16"/>
        <v>0</v>
      </c>
      <c r="AP32" s="19">
        <f t="shared" ca="1" si="16"/>
        <v>0</v>
      </c>
      <c r="AQ32" s="19">
        <f t="shared" ca="1" si="16"/>
        <v>0</v>
      </c>
      <c r="AR32" s="19">
        <f t="shared" ca="1" si="16"/>
        <v>0</v>
      </c>
      <c r="AS32" s="19">
        <f t="shared" ca="1" si="16"/>
        <v>0</v>
      </c>
      <c r="AT32" s="19">
        <f t="shared" ca="1" si="16"/>
        <v>0</v>
      </c>
      <c r="AU32" s="19">
        <f t="shared" ca="1" si="16"/>
        <v>0</v>
      </c>
      <c r="AV32" s="19">
        <f t="shared" ca="1" si="16"/>
        <v>0</v>
      </c>
      <c r="AW32" s="19">
        <f t="shared" ca="1" si="16"/>
        <v>0</v>
      </c>
      <c r="AX32" s="19">
        <f t="shared" ca="1" si="16"/>
        <v>0</v>
      </c>
      <c r="AY32" s="19">
        <f t="shared" ca="1" si="16"/>
        <v>0</v>
      </c>
      <c r="AZ32" s="19">
        <f t="shared" ca="1" si="16"/>
        <v>0</v>
      </c>
      <c r="BA32" s="19">
        <f t="shared" ca="1" si="16"/>
        <v>0</v>
      </c>
      <c r="BB32" s="19">
        <f t="shared" ca="1" si="16"/>
        <v>0</v>
      </c>
      <c r="BC32" s="19">
        <f t="shared" ca="1" si="16"/>
        <v>0</v>
      </c>
      <c r="BD32" s="19">
        <f t="shared" ca="1" si="16"/>
        <v>0</v>
      </c>
      <c r="BE32" s="19">
        <f t="shared" ca="1" si="16"/>
        <v>0</v>
      </c>
      <c r="BF32" s="19">
        <f t="shared" ca="1" si="16"/>
        <v>0</v>
      </c>
      <c r="BG32" s="19">
        <f t="shared" ca="1" si="16"/>
        <v>0</v>
      </c>
      <c r="BH32" s="19">
        <f t="shared" ca="1" si="16"/>
        <v>0</v>
      </c>
      <c r="BI32" s="19">
        <f t="shared" ca="1" si="16"/>
        <v>0</v>
      </c>
      <c r="BJ32" s="19">
        <f t="shared" ca="1" si="16"/>
        <v>0</v>
      </c>
      <c r="BK32" s="19">
        <f t="shared" ca="1" si="16"/>
        <v>0</v>
      </c>
      <c r="BL32" s="19">
        <f t="shared" ca="1" si="16"/>
        <v>0</v>
      </c>
      <c r="BM32" s="19">
        <f t="shared" ca="1" si="16"/>
        <v>0</v>
      </c>
      <c r="BN32" s="19">
        <f t="shared" ca="1" si="16"/>
        <v>0</v>
      </c>
      <c r="BO32" s="19">
        <f t="shared" ca="1" si="16"/>
        <v>0</v>
      </c>
      <c r="BP32" s="19">
        <f t="shared" ca="1" si="16"/>
        <v>0</v>
      </c>
      <c r="BQ32" s="19">
        <f t="shared" ca="1" si="16"/>
        <v>0</v>
      </c>
      <c r="BR32" s="19">
        <f t="shared" ca="1" si="16"/>
        <v>0</v>
      </c>
      <c r="BS32" s="19">
        <f t="shared" ca="1" si="16"/>
        <v>0</v>
      </c>
      <c r="BT32" s="19">
        <f t="shared" ca="1" si="16"/>
        <v>0</v>
      </c>
      <c r="BU32" s="19">
        <f t="shared" ca="1" si="16"/>
        <v>0</v>
      </c>
      <c r="BV32" s="19">
        <f t="shared" ref="BV32:DE32" ca="1" si="17">AVERAGE(BV27,BV30)*$E$24</f>
        <v>0</v>
      </c>
      <c r="BW32" s="19">
        <f t="shared" ca="1" si="17"/>
        <v>0</v>
      </c>
      <c r="BX32" s="19">
        <f t="shared" ca="1" si="17"/>
        <v>0</v>
      </c>
      <c r="BY32" s="19">
        <f t="shared" ca="1" si="17"/>
        <v>0</v>
      </c>
      <c r="BZ32" s="19">
        <f t="shared" ca="1" si="17"/>
        <v>0</v>
      </c>
      <c r="CA32" s="19">
        <f t="shared" ca="1" si="17"/>
        <v>0</v>
      </c>
      <c r="CB32" s="19">
        <f t="shared" ca="1" si="17"/>
        <v>0</v>
      </c>
      <c r="CC32" s="19">
        <f t="shared" ca="1" si="17"/>
        <v>0</v>
      </c>
      <c r="CD32" s="19">
        <f t="shared" ca="1" si="17"/>
        <v>0</v>
      </c>
      <c r="CE32" s="19">
        <f t="shared" ca="1" si="17"/>
        <v>0</v>
      </c>
      <c r="CF32" s="19">
        <f t="shared" ca="1" si="17"/>
        <v>0</v>
      </c>
      <c r="CG32" s="19">
        <f t="shared" ca="1" si="17"/>
        <v>0</v>
      </c>
      <c r="CH32" s="19">
        <f t="shared" ca="1" si="17"/>
        <v>0</v>
      </c>
      <c r="CI32" s="19">
        <f t="shared" ca="1" si="17"/>
        <v>0</v>
      </c>
      <c r="CJ32" s="19">
        <f t="shared" ca="1" si="17"/>
        <v>0</v>
      </c>
      <c r="CK32" s="19">
        <f t="shared" ca="1" si="17"/>
        <v>0</v>
      </c>
      <c r="CL32" s="19">
        <f t="shared" ca="1" si="17"/>
        <v>0</v>
      </c>
      <c r="CM32" s="19">
        <f t="shared" ca="1" si="17"/>
        <v>0</v>
      </c>
      <c r="CN32" s="19">
        <f t="shared" ca="1" si="17"/>
        <v>0</v>
      </c>
      <c r="CO32" s="19">
        <f t="shared" ca="1" si="17"/>
        <v>0</v>
      </c>
      <c r="CP32" s="19">
        <f t="shared" ca="1" si="17"/>
        <v>0</v>
      </c>
      <c r="CQ32" s="19">
        <f t="shared" ca="1" si="17"/>
        <v>0</v>
      </c>
      <c r="CR32" s="19">
        <f t="shared" ca="1" si="17"/>
        <v>0</v>
      </c>
      <c r="CS32" s="19">
        <f t="shared" ca="1" si="17"/>
        <v>0</v>
      </c>
      <c r="CT32" s="19">
        <f t="shared" ca="1" si="17"/>
        <v>0</v>
      </c>
      <c r="CU32" s="19">
        <f t="shared" ca="1" si="17"/>
        <v>0</v>
      </c>
      <c r="CV32" s="19">
        <f t="shared" ca="1" si="17"/>
        <v>0</v>
      </c>
      <c r="CW32" s="19">
        <f t="shared" ca="1" si="17"/>
        <v>0</v>
      </c>
      <c r="CX32" s="19">
        <f t="shared" ca="1" si="17"/>
        <v>0</v>
      </c>
      <c r="CY32" s="19">
        <f t="shared" ca="1" si="17"/>
        <v>0</v>
      </c>
      <c r="CZ32" s="19">
        <f t="shared" ca="1" si="17"/>
        <v>0</v>
      </c>
      <c r="DA32" s="19">
        <f t="shared" ca="1" si="17"/>
        <v>0</v>
      </c>
      <c r="DB32" s="19">
        <f t="shared" ca="1" si="17"/>
        <v>0</v>
      </c>
      <c r="DC32" s="19">
        <f t="shared" ca="1" si="17"/>
        <v>0</v>
      </c>
      <c r="DD32" s="19">
        <f t="shared" ca="1" si="17"/>
        <v>0</v>
      </c>
      <c r="DE32" s="19">
        <f t="shared" ca="1" si="17"/>
        <v>0</v>
      </c>
    </row>
    <row r="33" spans="3:109" x14ac:dyDescent="0.15">
      <c r="C33" t="s">
        <v>215</v>
      </c>
      <c r="D33" s="5" t="s">
        <v>0</v>
      </c>
      <c r="I33" s="35">
        <f>SUM(J33:DE33)</f>
        <v>25500000</v>
      </c>
      <c r="J33" s="19">
        <f>E25*E19*E18</f>
        <v>25500000</v>
      </c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</row>
    <row r="34" spans="3:109" x14ac:dyDescent="0.15">
      <c r="D34" s="5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</row>
    <row r="35" spans="3:109" x14ac:dyDescent="0.15">
      <c r="C35" t="s">
        <v>216</v>
      </c>
      <c r="D35" s="5"/>
      <c r="I35" s="35">
        <f ca="1">SUM(J35:DE35)</f>
        <v>1334500000</v>
      </c>
      <c r="J35" s="19">
        <f t="shared" ref="J35:BU35" si="18">SUM(J32:J33,J29)</f>
        <v>63750000</v>
      </c>
      <c r="K35" s="19">
        <f t="shared" si="18"/>
        <v>76500000</v>
      </c>
      <c r="L35" s="19">
        <f t="shared" si="18"/>
        <v>76500000</v>
      </c>
      <c r="M35" s="19">
        <f t="shared" ca="1" si="18"/>
        <v>76500000</v>
      </c>
      <c r="N35" s="19">
        <f t="shared" ca="1" si="18"/>
        <v>238850000</v>
      </c>
      <c r="O35" s="19">
        <f t="shared" ca="1" si="18"/>
        <v>223550000</v>
      </c>
      <c r="P35" s="19">
        <f t="shared" ca="1" si="18"/>
        <v>208250000</v>
      </c>
      <c r="Q35" s="19">
        <f t="shared" ca="1" si="18"/>
        <v>192950000</v>
      </c>
      <c r="R35" s="19">
        <f t="shared" ca="1" si="18"/>
        <v>177650000</v>
      </c>
      <c r="S35" s="19">
        <f t="shared" ca="1" si="18"/>
        <v>0</v>
      </c>
      <c r="T35" s="19">
        <f t="shared" ca="1" si="18"/>
        <v>0</v>
      </c>
      <c r="U35" s="19">
        <f t="shared" ca="1" si="18"/>
        <v>0</v>
      </c>
      <c r="V35" s="19">
        <f t="shared" ca="1" si="18"/>
        <v>0</v>
      </c>
      <c r="W35" s="19">
        <f t="shared" ca="1" si="18"/>
        <v>0</v>
      </c>
      <c r="X35" s="19">
        <f t="shared" ca="1" si="18"/>
        <v>0</v>
      </c>
      <c r="Y35" s="19">
        <f t="shared" ca="1" si="18"/>
        <v>0</v>
      </c>
      <c r="Z35" s="19">
        <f t="shared" ca="1" si="18"/>
        <v>0</v>
      </c>
      <c r="AA35" s="19">
        <f t="shared" ca="1" si="18"/>
        <v>0</v>
      </c>
      <c r="AB35" s="19">
        <f t="shared" ca="1" si="18"/>
        <v>0</v>
      </c>
      <c r="AC35" s="19">
        <f t="shared" ca="1" si="18"/>
        <v>0</v>
      </c>
      <c r="AD35" s="19">
        <f t="shared" ca="1" si="18"/>
        <v>0</v>
      </c>
      <c r="AE35" s="19">
        <f t="shared" ca="1" si="18"/>
        <v>0</v>
      </c>
      <c r="AF35" s="19">
        <f t="shared" ca="1" si="18"/>
        <v>0</v>
      </c>
      <c r="AG35" s="19">
        <f t="shared" ca="1" si="18"/>
        <v>0</v>
      </c>
      <c r="AH35" s="19">
        <f t="shared" ca="1" si="18"/>
        <v>0</v>
      </c>
      <c r="AI35" s="19">
        <f t="shared" ca="1" si="18"/>
        <v>0</v>
      </c>
      <c r="AJ35" s="19">
        <f t="shared" ca="1" si="18"/>
        <v>0</v>
      </c>
      <c r="AK35" s="19">
        <f t="shared" ca="1" si="18"/>
        <v>0</v>
      </c>
      <c r="AL35" s="19">
        <f t="shared" ca="1" si="18"/>
        <v>0</v>
      </c>
      <c r="AM35" s="19">
        <f t="shared" ca="1" si="18"/>
        <v>0</v>
      </c>
      <c r="AN35" s="19">
        <f t="shared" ca="1" si="18"/>
        <v>0</v>
      </c>
      <c r="AO35" s="19">
        <f t="shared" ca="1" si="18"/>
        <v>0</v>
      </c>
      <c r="AP35" s="19">
        <f t="shared" ca="1" si="18"/>
        <v>0</v>
      </c>
      <c r="AQ35" s="19">
        <f t="shared" ca="1" si="18"/>
        <v>0</v>
      </c>
      <c r="AR35" s="19">
        <f t="shared" ca="1" si="18"/>
        <v>0</v>
      </c>
      <c r="AS35" s="19">
        <f t="shared" ca="1" si="18"/>
        <v>0</v>
      </c>
      <c r="AT35" s="19">
        <f t="shared" ca="1" si="18"/>
        <v>0</v>
      </c>
      <c r="AU35" s="19">
        <f t="shared" ca="1" si="18"/>
        <v>0</v>
      </c>
      <c r="AV35" s="19">
        <f t="shared" ca="1" si="18"/>
        <v>0</v>
      </c>
      <c r="AW35" s="19">
        <f t="shared" ca="1" si="18"/>
        <v>0</v>
      </c>
      <c r="AX35" s="19">
        <f t="shared" ca="1" si="18"/>
        <v>0</v>
      </c>
      <c r="AY35" s="19">
        <f t="shared" ca="1" si="18"/>
        <v>0</v>
      </c>
      <c r="AZ35" s="19">
        <f t="shared" ca="1" si="18"/>
        <v>0</v>
      </c>
      <c r="BA35" s="19">
        <f t="shared" ca="1" si="18"/>
        <v>0</v>
      </c>
      <c r="BB35" s="19">
        <f t="shared" ca="1" si="18"/>
        <v>0</v>
      </c>
      <c r="BC35" s="19">
        <f t="shared" ca="1" si="18"/>
        <v>0</v>
      </c>
      <c r="BD35" s="19">
        <f t="shared" ca="1" si="18"/>
        <v>0</v>
      </c>
      <c r="BE35" s="19">
        <f t="shared" ca="1" si="18"/>
        <v>0</v>
      </c>
      <c r="BF35" s="19">
        <f t="shared" ca="1" si="18"/>
        <v>0</v>
      </c>
      <c r="BG35" s="19">
        <f t="shared" ca="1" si="18"/>
        <v>0</v>
      </c>
      <c r="BH35" s="19">
        <f t="shared" ca="1" si="18"/>
        <v>0</v>
      </c>
      <c r="BI35" s="19">
        <f t="shared" ca="1" si="18"/>
        <v>0</v>
      </c>
      <c r="BJ35" s="19">
        <f t="shared" ca="1" si="18"/>
        <v>0</v>
      </c>
      <c r="BK35" s="19">
        <f t="shared" ca="1" si="18"/>
        <v>0</v>
      </c>
      <c r="BL35" s="19">
        <f t="shared" ca="1" si="18"/>
        <v>0</v>
      </c>
      <c r="BM35" s="19">
        <f t="shared" ca="1" si="18"/>
        <v>0</v>
      </c>
      <c r="BN35" s="19">
        <f t="shared" ca="1" si="18"/>
        <v>0</v>
      </c>
      <c r="BO35" s="19">
        <f t="shared" ca="1" si="18"/>
        <v>0</v>
      </c>
      <c r="BP35" s="19">
        <f t="shared" ca="1" si="18"/>
        <v>0</v>
      </c>
      <c r="BQ35" s="19">
        <f t="shared" ca="1" si="18"/>
        <v>0</v>
      </c>
      <c r="BR35" s="19">
        <f t="shared" ca="1" si="18"/>
        <v>0</v>
      </c>
      <c r="BS35" s="19">
        <f t="shared" ca="1" si="18"/>
        <v>0</v>
      </c>
      <c r="BT35" s="19">
        <f t="shared" ca="1" si="18"/>
        <v>0</v>
      </c>
      <c r="BU35" s="19">
        <f t="shared" ca="1" si="18"/>
        <v>0</v>
      </c>
      <c r="BV35" s="19">
        <f t="shared" ref="BV35:DE35" ca="1" si="19">SUM(BV32:BV33,BV29)</f>
        <v>0</v>
      </c>
      <c r="BW35" s="19">
        <f t="shared" ca="1" si="19"/>
        <v>0</v>
      </c>
      <c r="BX35" s="19">
        <f t="shared" ca="1" si="19"/>
        <v>0</v>
      </c>
      <c r="BY35" s="19">
        <f t="shared" ca="1" si="19"/>
        <v>0</v>
      </c>
      <c r="BZ35" s="19">
        <f t="shared" ca="1" si="19"/>
        <v>0</v>
      </c>
      <c r="CA35" s="19">
        <f t="shared" ca="1" si="19"/>
        <v>0</v>
      </c>
      <c r="CB35" s="19">
        <f t="shared" ca="1" si="19"/>
        <v>0</v>
      </c>
      <c r="CC35" s="19">
        <f t="shared" ca="1" si="19"/>
        <v>0</v>
      </c>
      <c r="CD35" s="19">
        <f t="shared" ca="1" si="19"/>
        <v>0</v>
      </c>
      <c r="CE35" s="19">
        <f t="shared" ca="1" si="19"/>
        <v>0</v>
      </c>
      <c r="CF35" s="19">
        <f t="shared" ca="1" si="19"/>
        <v>0</v>
      </c>
      <c r="CG35" s="19">
        <f t="shared" ca="1" si="19"/>
        <v>0</v>
      </c>
      <c r="CH35" s="19">
        <f t="shared" ca="1" si="19"/>
        <v>0</v>
      </c>
      <c r="CI35" s="19">
        <f t="shared" ca="1" si="19"/>
        <v>0</v>
      </c>
      <c r="CJ35" s="19">
        <f t="shared" ca="1" si="19"/>
        <v>0</v>
      </c>
      <c r="CK35" s="19">
        <f t="shared" ca="1" si="19"/>
        <v>0</v>
      </c>
      <c r="CL35" s="19">
        <f t="shared" ca="1" si="19"/>
        <v>0</v>
      </c>
      <c r="CM35" s="19">
        <f t="shared" ca="1" si="19"/>
        <v>0</v>
      </c>
      <c r="CN35" s="19">
        <f t="shared" ca="1" si="19"/>
        <v>0</v>
      </c>
      <c r="CO35" s="19">
        <f t="shared" ca="1" si="19"/>
        <v>0</v>
      </c>
      <c r="CP35" s="19">
        <f t="shared" ca="1" si="19"/>
        <v>0</v>
      </c>
      <c r="CQ35" s="19">
        <f t="shared" ca="1" si="19"/>
        <v>0</v>
      </c>
      <c r="CR35" s="19">
        <f t="shared" ca="1" si="19"/>
        <v>0</v>
      </c>
      <c r="CS35" s="19">
        <f t="shared" ca="1" si="19"/>
        <v>0</v>
      </c>
      <c r="CT35" s="19">
        <f t="shared" ca="1" si="19"/>
        <v>0</v>
      </c>
      <c r="CU35" s="19">
        <f t="shared" ca="1" si="19"/>
        <v>0</v>
      </c>
      <c r="CV35" s="19">
        <f t="shared" ca="1" si="19"/>
        <v>0</v>
      </c>
      <c r="CW35" s="19">
        <f t="shared" ca="1" si="19"/>
        <v>0</v>
      </c>
      <c r="CX35" s="19">
        <f t="shared" ca="1" si="19"/>
        <v>0</v>
      </c>
      <c r="CY35" s="19">
        <f t="shared" ca="1" si="19"/>
        <v>0</v>
      </c>
      <c r="CZ35" s="19">
        <f t="shared" ca="1" si="19"/>
        <v>0</v>
      </c>
      <c r="DA35" s="19">
        <f t="shared" ca="1" si="19"/>
        <v>0</v>
      </c>
      <c r="DB35" s="19">
        <f t="shared" ca="1" si="19"/>
        <v>0</v>
      </c>
      <c r="DC35" s="19">
        <f t="shared" ca="1" si="19"/>
        <v>0</v>
      </c>
      <c r="DD35" s="19">
        <f t="shared" ca="1" si="19"/>
        <v>0</v>
      </c>
      <c r="DE35" s="19">
        <f t="shared" ca="1" si="19"/>
        <v>0</v>
      </c>
    </row>
    <row r="36" spans="3:109" x14ac:dyDescent="0.15">
      <c r="D36" s="5"/>
    </row>
    <row r="37" spans="3:109" ht="14" x14ac:dyDescent="0.15">
      <c r="C37" s="2" t="s">
        <v>217</v>
      </c>
      <c r="D37" s="5"/>
    </row>
    <row r="38" spans="3:109" x14ac:dyDescent="0.15">
      <c r="D38" s="5"/>
      <c r="M38" s="67"/>
    </row>
    <row r="39" spans="3:109" x14ac:dyDescent="0.15">
      <c r="C39" t="s">
        <v>218</v>
      </c>
      <c r="D39" s="5"/>
      <c r="J39" s="14">
        <f ca="1">IF(SUM(J6:J7)=2,NPV(0.08,J14:INDIRECT(ADDRESS(13,9+SUM($J$7:$DE$7))))/J35,0)</f>
        <v>0</v>
      </c>
      <c r="K39" s="14">
        <f ca="1">IF(SUM(K6:K7)=2,NPV(0.08,K14:INDIRECT(ADDRESS(13,9+SUM($J$7:$DE$7))))/K35,0)</f>
        <v>0</v>
      </c>
      <c r="L39" s="14">
        <f ca="1">IF(SUM(L6:L7)=2,NPV(0.08,L14:INDIRECT(ADDRESS(13,9+SUM($J$7:$DE$7))))/L35,0)</f>
        <v>0</v>
      </c>
      <c r="M39" s="14">
        <f ca="1">IF(SUM(M6:M7)=2,NPV(0.08,M14:INDIRECT(ADDRESS(13,9+SUM($J$7:$DE$7))))/M35,0)</f>
        <v>0</v>
      </c>
      <c r="N39" s="14">
        <f ca="1">IF(SUM(N6:N7)=2,NPV(0.08,N14:INDIRECT(ADDRESS(13,9+SUM($J$7:$DE$7))))/N35,0)</f>
        <v>19.684638640744712</v>
      </c>
      <c r="O39" s="14">
        <f ca="1">IF(SUM(O6:O7)=2,NPV(0.08,O14:INDIRECT(ADDRESS(13,9+SUM($J$7:$DE$7))))/O35,0)</f>
        <v>17.927037468361842</v>
      </c>
      <c r="P39" s="14">
        <f ca="1">IF(SUM(P6:P7)=2,NPV(0.08,P14:INDIRECT(ADDRESS(13,9+SUM($J$7:$DE$7))))/P35,0)</f>
        <v>15.088354848823656</v>
      </c>
      <c r="Q39" s="14">
        <f ca="1">IF(SUM(Q6:Q7)=2,NPV(0.08,Q14:INDIRECT(ADDRESS(13,9+SUM($J$7:$DE$7))))/Q35,0)</f>
        <v>11.153147842976342</v>
      </c>
      <c r="R39" s="14">
        <f ca="1">IF(SUM(R6:R7)=2,NPV(0.08,R14:INDIRECT(ADDRESS(13,9+SUM($J$7:$DE$7))))/R35,0)</f>
        <v>5.9513922751432524</v>
      </c>
      <c r="S39" s="14">
        <f ca="1">IF(SUM(S6:S7)=2,NPV(0.08,S14:INDIRECT(ADDRESS(13,9+SUM($J$7:$DE$7))))/S35,0)</f>
        <v>0</v>
      </c>
      <c r="T39" s="14">
        <f ca="1">IF(SUM(T6:T7)=2,NPV(0.08,T14:INDIRECT(ADDRESS(13,9+SUM($J$7:$DE$7))))/T35,0)</f>
        <v>0</v>
      </c>
      <c r="U39" s="14">
        <f ca="1">IF(SUM(U6:U7)=2,NPV(0.08,U14:INDIRECT(ADDRESS(13,9+SUM($J$7:$DE$7))))/U35,0)</f>
        <v>0</v>
      </c>
      <c r="V39" s="14">
        <f ca="1">IF(SUM(V6:V7)=2,NPV(0.08,V14:INDIRECT(ADDRESS(13,9+SUM($J$7:$DE$7))))/V35,0)</f>
        <v>0</v>
      </c>
      <c r="W39" s="14">
        <f ca="1">IF(SUM(W6:W7)=2,NPV(0.08,W14:INDIRECT(ADDRESS(13,9+SUM($J$7:$DE$7))))/W35,0)</f>
        <v>0</v>
      </c>
      <c r="X39" s="14">
        <f ca="1">IF(SUM(X6:X7)=2,NPV(0.08,X14:INDIRECT(ADDRESS(13,9+SUM($J$7:$DE$7))))/X35,0)</f>
        <v>0</v>
      </c>
      <c r="Y39" s="14">
        <f ca="1">IF(SUM(Y6:Y7)=2,NPV(0.08,Y14:INDIRECT(ADDRESS(13,9+SUM($J$7:$DE$7))))/Y35,0)</f>
        <v>0</v>
      </c>
      <c r="Z39" s="14">
        <f ca="1">IF(SUM(Z6:Z7)=2,NPV(0.08,Z14:INDIRECT(ADDRESS(13,9+SUM($J$7:$DE$7))))/Z35,0)</f>
        <v>0</v>
      </c>
      <c r="AA39" s="14">
        <f ca="1">IF(SUM(AA6:AA7)=2,NPV(0.08,AA14:INDIRECT(ADDRESS(13,9+SUM($J$7:$DE$7))))/AA35,0)</f>
        <v>0</v>
      </c>
      <c r="AB39" s="14">
        <f ca="1">IF(SUM(AB6:AB7)=2,NPV(0.08,AB14:INDIRECT(ADDRESS(13,9+SUM($J$7:$DE$7))))/AB35,0)</f>
        <v>0</v>
      </c>
      <c r="AC39" s="14">
        <f ca="1">IF(SUM(AC6:AC7)=2,NPV(0.08,AC14:INDIRECT(ADDRESS(13,9+SUM($J$7:$DE$7))))/AC35,0)</f>
        <v>0</v>
      </c>
      <c r="AD39" s="14">
        <f ca="1">IF(SUM(AD6:AD7)=2,NPV(0.08,AD14:INDIRECT(ADDRESS(13,9+SUM($J$7:$DE$7))))/AD35,0)</f>
        <v>0</v>
      </c>
      <c r="AE39" s="14">
        <f ca="1">IF(SUM(AE6:AE7)=2,NPV(0.08,AE14:INDIRECT(ADDRESS(13,9+SUM($J$7:$DE$7))))/AE35,0)</f>
        <v>0</v>
      </c>
      <c r="AF39" s="14">
        <f ca="1">IF(SUM(AF6:AF7)=2,NPV(0.08,AF14:INDIRECT(ADDRESS(13,9+SUM($J$7:$DE$7))))/AF35,0)</f>
        <v>0</v>
      </c>
      <c r="AG39" s="14">
        <f ca="1">IF(SUM(AG6:AG7)=2,NPV(0.08,AG14:INDIRECT(ADDRESS(13,9+SUM($J$7:$DE$7))))/AG35,0)</f>
        <v>0</v>
      </c>
      <c r="AH39" s="14">
        <f ca="1">IF(SUM(AH6:AH7)=2,NPV(0.08,AH14:INDIRECT(ADDRESS(13,9+SUM($J$7:$DE$7))))/AH35,0)</f>
        <v>0</v>
      </c>
      <c r="AI39" s="14">
        <f ca="1">IF(SUM(AI6:AI7)=2,NPV(0.08,AI14:INDIRECT(ADDRESS(13,9+SUM($J$7:$DE$7))))/AI35,0)</f>
        <v>0</v>
      </c>
      <c r="AJ39" s="14">
        <f ca="1">IF(SUM(AJ6:AJ7)=2,NPV(0.08,AJ14:INDIRECT(ADDRESS(13,9+SUM($J$7:$DE$7))))/AJ35,0)</f>
        <v>0</v>
      </c>
      <c r="AK39" s="14">
        <f ca="1">IF(SUM(AK6:AK7)=2,NPV(0.08,AK14:INDIRECT(ADDRESS(13,9+SUM($J$7:$DE$7))))/AK35,0)</f>
        <v>0</v>
      </c>
      <c r="AL39" s="14">
        <f ca="1">IF(SUM(AL6:AL7)=2,NPV(0.08,AL14:INDIRECT(ADDRESS(13,9+SUM($J$7:$DE$7))))/AL35,0)</f>
        <v>0</v>
      </c>
      <c r="AM39" s="14">
        <f ca="1">IF(SUM(AM6:AM7)=2,NPV(0.08,AM14:INDIRECT(ADDRESS(13,9+SUM($J$7:$DE$7))))/AM35,0)</f>
        <v>0</v>
      </c>
      <c r="AN39" s="14">
        <f ca="1">IF(SUM(AN6:AN7)=2,NPV(0.08,AN14:INDIRECT(ADDRESS(13,9+SUM($J$7:$DE$7))))/AN35,0)</f>
        <v>0</v>
      </c>
      <c r="AO39" s="14">
        <f ca="1">IF(SUM(AO6:AO7)=2,NPV(0.08,AO14:INDIRECT(ADDRESS(13,9+SUM($J$7:$DE$7))))/AO35,0)</f>
        <v>0</v>
      </c>
      <c r="AP39" s="14">
        <f ca="1">IF(SUM(AP6:AP7)=2,NPV(0.08,AP14:INDIRECT(ADDRESS(13,9+SUM($J$7:$DE$7))))/AP35,0)</f>
        <v>0</v>
      </c>
      <c r="AQ39" s="14">
        <f ca="1">IF(SUM(AQ6:AQ7)=2,NPV(0.08,AQ14:INDIRECT(ADDRESS(13,9+SUM($J$7:$DE$7))))/AQ35,0)</f>
        <v>0</v>
      </c>
      <c r="AR39" s="14">
        <f ca="1">IF(SUM(AR6:AR7)=2,NPV(0.08,AR14:INDIRECT(ADDRESS(13,9+SUM($J$7:$DE$7))))/AR35,0)</f>
        <v>0</v>
      </c>
      <c r="AS39" s="14">
        <f ca="1">IF(SUM(AS6:AS7)=2,NPV(0.08,AS14:INDIRECT(ADDRESS(13,9+SUM($J$7:$DE$7))))/AS35,0)</f>
        <v>0</v>
      </c>
      <c r="AT39" s="14">
        <f ca="1">IF(SUM(AT6:AT7)=2,NPV(0.08,AT14:INDIRECT(ADDRESS(13,9+SUM($J$7:$DE$7))))/AT35,0)</f>
        <v>0</v>
      </c>
      <c r="AU39" s="14">
        <f ca="1">IF(SUM(AU6:AU7)=2,NPV(0.08,AU14:INDIRECT(ADDRESS(13,9+SUM($J$7:$DE$7))))/AU35,0)</f>
        <v>0</v>
      </c>
      <c r="AV39" s="14">
        <f ca="1">IF(SUM(AV6:AV7)=2,NPV(0.08,AV14:INDIRECT(ADDRESS(13,9+SUM($J$7:$DE$7))))/AV35,0)</f>
        <v>0</v>
      </c>
      <c r="AW39" s="14">
        <f ca="1">IF(SUM(AW6:AW7)=2,NPV(0.08,AW14:INDIRECT(ADDRESS(13,9+SUM($J$7:$DE$7))))/AW35,0)</f>
        <v>0</v>
      </c>
      <c r="AX39" s="14">
        <f ca="1">IF(SUM(AX6:AX7)=2,NPV(0.08,AX14:INDIRECT(ADDRESS(13,9+SUM($J$7:$DE$7))))/AX35,0)</f>
        <v>0</v>
      </c>
      <c r="AY39" s="14">
        <f ca="1">IF(SUM(AY6:AY7)=2,NPV(0.08,AY14:INDIRECT(ADDRESS(13,9+SUM($J$7:$DE$7))))/AY35,0)</f>
        <v>0</v>
      </c>
      <c r="AZ39" s="14">
        <f ca="1">IF(SUM(AZ6:AZ7)=2,NPV(0.08,AZ14:INDIRECT(ADDRESS(13,9+SUM($J$7:$DE$7))))/AZ35,0)</f>
        <v>0</v>
      </c>
      <c r="BA39" s="14">
        <f ca="1">IF(SUM(BA6:BA7)=2,NPV(0.08,BA14:INDIRECT(ADDRESS(13,9+SUM($J$7:$DE$7))))/BA35,0)</f>
        <v>0</v>
      </c>
      <c r="BB39" s="14">
        <f ca="1">IF(SUM(BB6:BB7)=2,NPV(0.08,BB14:INDIRECT(ADDRESS(13,9+SUM($J$7:$DE$7))))/BB35,0)</f>
        <v>0</v>
      </c>
      <c r="BC39" s="14">
        <f ca="1">IF(SUM(BC6:BC7)=2,NPV(0.08,BC14:INDIRECT(ADDRESS(13,9+SUM($J$7:$DE$7))))/BC35,0)</f>
        <v>0</v>
      </c>
      <c r="BD39" s="14">
        <f ca="1">IF(SUM(BD6:BD7)=2,NPV(0.08,BD14:INDIRECT(ADDRESS(13,9+SUM($J$7:$DE$7))))/BD35,0)</f>
        <v>0</v>
      </c>
      <c r="BE39" s="14">
        <f ca="1">IF(SUM(BE6:BE7)=2,NPV(0.08,BE14:INDIRECT(ADDRESS(13,9+SUM($J$7:$DE$7))))/BE35,0)</f>
        <v>0</v>
      </c>
      <c r="BF39" s="14">
        <f ca="1">IF(SUM(BF6:BF7)=2,NPV(0.08,BF14:INDIRECT(ADDRESS(13,9+SUM($J$7:$DE$7))))/BF35,0)</f>
        <v>0</v>
      </c>
      <c r="BG39" s="14">
        <f ca="1">IF(SUM(BG6:BG7)=2,NPV(0.08,BG14:INDIRECT(ADDRESS(13,9+SUM($J$7:$DE$7))))/BG35,0)</f>
        <v>0</v>
      </c>
      <c r="BH39" s="14">
        <f ca="1">IF(SUM(BH6:BH7)=2,NPV(0.08,BH14:INDIRECT(ADDRESS(13,9+SUM($J$7:$DE$7))))/BH35,0)</f>
        <v>0</v>
      </c>
      <c r="BI39" s="14">
        <f ca="1">IF(SUM(BI6:BI7)=2,NPV(0.08,BI14:INDIRECT(ADDRESS(13,9+SUM($J$7:$DE$7))))/BI35,0)</f>
        <v>0</v>
      </c>
      <c r="BJ39" s="14">
        <f ca="1">IF(SUM(BJ6:BJ7)=2,NPV(0.08,BJ14:INDIRECT(ADDRESS(13,9+SUM($J$7:$DE$7))))/BJ35,0)</f>
        <v>0</v>
      </c>
      <c r="BK39" s="14">
        <f ca="1">IF(SUM(BK6:BK7)=2,NPV(0.08,BK14:INDIRECT(ADDRESS(13,9+SUM($J$7:$DE$7))))/BK35,0)</f>
        <v>0</v>
      </c>
      <c r="BL39" s="14">
        <f ca="1">IF(SUM(BL6:BL7)=2,NPV(0.08,BL14:INDIRECT(ADDRESS(13,9+SUM($J$7:$DE$7))))/BL35,0)</f>
        <v>0</v>
      </c>
      <c r="BM39" s="14">
        <f ca="1">IF(SUM(BM6:BM7)=2,NPV(0.08,BM14:INDIRECT(ADDRESS(13,9+SUM($J$7:$DE$7))))/BM35,0)</f>
        <v>0</v>
      </c>
      <c r="BN39" s="14">
        <f ca="1">IF(SUM(BN6:BN7)=2,NPV(0.08,BN14:INDIRECT(ADDRESS(13,9+SUM($J$7:$DE$7))))/BN35,0)</f>
        <v>0</v>
      </c>
      <c r="BO39" s="14">
        <f ca="1">IF(SUM(BO6:BO7)=2,NPV(0.08,BO14:INDIRECT(ADDRESS(13,9+SUM($J$7:$DE$7))))/BO35,0)</f>
        <v>0</v>
      </c>
      <c r="BP39" s="14">
        <f ca="1">IF(SUM(BP6:BP7)=2,NPV(0.08,BP14:INDIRECT(ADDRESS(13,9+SUM($J$7:$DE$7))))/BP35,0)</f>
        <v>0</v>
      </c>
      <c r="BQ39" s="14">
        <f ca="1">IF(SUM(BQ6:BQ7)=2,NPV(0.08,BQ14:INDIRECT(ADDRESS(13,9+SUM($J$7:$DE$7))))/BQ35,0)</f>
        <v>0</v>
      </c>
      <c r="BR39" s="14">
        <f ca="1">IF(SUM(BR6:BR7)=2,NPV(0.08,BR14:INDIRECT(ADDRESS(13,9+SUM($J$7:$DE$7))))/BR35,0)</f>
        <v>0</v>
      </c>
      <c r="BS39" s="14">
        <f ca="1">IF(SUM(BS6:BS7)=2,NPV(0.08,BS14:INDIRECT(ADDRESS(13,9+SUM($J$7:$DE$7))))/BS35,0)</f>
        <v>0</v>
      </c>
      <c r="BT39" s="14">
        <f ca="1">IF(SUM(BT6:BT7)=2,NPV(0.08,BT14:INDIRECT(ADDRESS(13,9+SUM($J$7:$DE$7))))/BT35,0)</f>
        <v>0</v>
      </c>
      <c r="BU39" s="14">
        <f ca="1">IF(SUM(BU6:BU7)=2,NPV(0.08,BU14:INDIRECT(ADDRESS(13,9+SUM($J$7:$DE$7))))/BU35,0)</f>
        <v>0</v>
      </c>
      <c r="BV39" s="14">
        <f ca="1">IF(SUM(BV6:BV7)=2,NPV(0.08,BV14:INDIRECT(ADDRESS(13,9+SUM($J$7:$DE$7))))/BV35,0)</f>
        <v>0</v>
      </c>
      <c r="BW39" s="14">
        <f ca="1">IF(SUM(BW6:BW7)=2,NPV(0.08,BW14:INDIRECT(ADDRESS(13,9+SUM($J$7:$DE$7))))/BW35,0)</f>
        <v>0</v>
      </c>
      <c r="BX39" s="14">
        <f ca="1">IF(SUM(BX6:BX7)=2,NPV(0.08,BX14:INDIRECT(ADDRESS(13,9+SUM($J$7:$DE$7))))/BX35,0)</f>
        <v>0</v>
      </c>
      <c r="BY39" s="14">
        <f ca="1">IF(SUM(BY6:BY7)=2,NPV(0.08,BY14:INDIRECT(ADDRESS(13,9+SUM($J$7:$DE$7))))/BY35,0)</f>
        <v>0</v>
      </c>
      <c r="BZ39" s="14">
        <f ca="1">IF(SUM(BZ6:BZ7)=2,NPV(0.08,BZ14:INDIRECT(ADDRESS(13,9+SUM($J$7:$DE$7))))/BZ35,0)</f>
        <v>0</v>
      </c>
      <c r="CA39" s="14">
        <f ca="1">IF(SUM(CA6:CA7)=2,NPV(0.08,CA14:INDIRECT(ADDRESS(13,9+SUM($J$7:$DE$7))))/CA35,0)</f>
        <v>0</v>
      </c>
      <c r="CB39" s="14">
        <f ca="1">IF(SUM(CB6:CB7)=2,NPV(0.08,CB14:INDIRECT(ADDRESS(13,9+SUM($J$7:$DE$7))))/CB35,0)</f>
        <v>0</v>
      </c>
      <c r="CC39" s="14">
        <f ca="1">IF(SUM(CC6:CC7)=2,NPV(0.08,CC14:INDIRECT(ADDRESS(13,9+SUM($J$7:$DE$7))))/CC35,0)</f>
        <v>0</v>
      </c>
      <c r="CD39" s="14">
        <f ca="1">IF(SUM(CD6:CD7)=2,NPV(0.08,CD14:INDIRECT(ADDRESS(13,9+SUM($J$7:$DE$7))))/CD35,0)</f>
        <v>0</v>
      </c>
      <c r="CE39" s="14">
        <f ca="1">IF(SUM(CE6:CE7)=2,NPV(0.08,CE14:INDIRECT(ADDRESS(13,9+SUM($J$7:$DE$7))))/CE35,0)</f>
        <v>0</v>
      </c>
      <c r="CF39" s="14">
        <f ca="1">IF(SUM(CF6:CF7)=2,NPV(0.08,CF14:INDIRECT(ADDRESS(13,9+SUM($J$7:$DE$7))))/CF35,0)</f>
        <v>0</v>
      </c>
      <c r="CG39" s="14">
        <f ca="1">IF(SUM(CG6:CG7)=2,NPV(0.08,CG14:INDIRECT(ADDRESS(13,9+SUM($J$7:$DE$7))))/CG35,0)</f>
        <v>0</v>
      </c>
      <c r="CH39" s="14">
        <f ca="1">IF(SUM(CH6:CH7)=2,NPV(0.08,CH14:INDIRECT(ADDRESS(13,9+SUM($J$7:$DE$7))))/CH35,0)</f>
        <v>0</v>
      </c>
      <c r="CI39" s="14">
        <f ca="1">IF(SUM(CI6:CI7)=2,NPV(0.08,CI14:INDIRECT(ADDRESS(13,9+SUM($J$7:$DE$7))))/CI35,0)</f>
        <v>0</v>
      </c>
      <c r="CJ39" s="14">
        <f ca="1">IF(SUM(CJ6:CJ7)=2,NPV(0.08,CJ14:INDIRECT(ADDRESS(13,9+SUM($J$7:$DE$7))))/CJ35,0)</f>
        <v>0</v>
      </c>
      <c r="CK39" s="14">
        <f ca="1">IF(SUM(CK6:CK7)=2,NPV(0.08,CK14:INDIRECT(ADDRESS(13,9+SUM($J$7:$DE$7))))/CK35,0)</f>
        <v>0</v>
      </c>
      <c r="CL39" s="14">
        <f ca="1">IF(SUM(CL6:CL7)=2,NPV(0.08,CL14:INDIRECT(ADDRESS(13,9+SUM($J$7:$DE$7))))/CL35,0)</f>
        <v>0</v>
      </c>
      <c r="CM39" s="14">
        <f ca="1">IF(SUM(CM6:CM7)=2,NPV(0.08,CM14:INDIRECT(ADDRESS(13,9+SUM($J$7:$DE$7))))/CM35,0)</f>
        <v>0</v>
      </c>
      <c r="CN39" s="14">
        <f ca="1">IF(SUM(CN6:CN7)=2,NPV(0.08,CN14:INDIRECT(ADDRESS(13,9+SUM($J$7:$DE$7))))/CN35,0)</f>
        <v>0</v>
      </c>
      <c r="CO39" s="14">
        <f ca="1">IF(SUM(CO6:CO7)=2,NPV(0.08,CO14:INDIRECT(ADDRESS(13,9+SUM($J$7:$DE$7))))/CO35,0)</f>
        <v>0</v>
      </c>
      <c r="CP39" s="14">
        <f ca="1">IF(SUM(CP6:CP7)=2,NPV(0.08,CP14:INDIRECT(ADDRESS(13,9+SUM($J$7:$DE$7))))/CP35,0)</f>
        <v>0</v>
      </c>
      <c r="CQ39" s="14">
        <f ca="1">IF(SUM(CQ6:CQ7)=2,NPV(0.08,CQ14:INDIRECT(ADDRESS(13,9+SUM($J$7:$DE$7))))/CQ35,0)</f>
        <v>0</v>
      </c>
      <c r="CR39" s="14">
        <f ca="1">IF(SUM(CR6:CR7)=2,NPV(0.08,CR14:INDIRECT(ADDRESS(13,9+SUM($J$7:$DE$7))))/CR35,0)</f>
        <v>0</v>
      </c>
      <c r="CS39" s="14">
        <f ca="1">IF(SUM(CS6:CS7)=2,NPV(0.08,CS14:INDIRECT(ADDRESS(13,9+SUM($J$7:$DE$7))))/CS35,0)</f>
        <v>0</v>
      </c>
      <c r="CT39" s="14">
        <f ca="1">IF(SUM(CT6:CT7)=2,NPV(0.08,CT14:INDIRECT(ADDRESS(13,9+SUM($J$7:$DE$7))))/CT35,0)</f>
        <v>0</v>
      </c>
      <c r="CU39" s="14">
        <f ca="1">IF(SUM(CU6:CU7)=2,NPV(0.08,CU14:INDIRECT(ADDRESS(13,9+SUM($J$7:$DE$7))))/CU35,0)</f>
        <v>0</v>
      </c>
      <c r="CV39" s="14">
        <f ca="1">IF(SUM(CV6:CV7)=2,NPV(0.08,CV14:INDIRECT(ADDRESS(13,9+SUM($J$7:$DE$7))))/CV35,0)</f>
        <v>0</v>
      </c>
      <c r="CW39" s="14">
        <f ca="1">IF(SUM(CW6:CW7)=2,NPV(0.08,CW14:INDIRECT(ADDRESS(13,9+SUM($J$7:$DE$7))))/CW35,0)</f>
        <v>0</v>
      </c>
      <c r="CX39" s="14">
        <f ca="1">IF(SUM(CX6:CX7)=2,NPV(0.08,CX14:INDIRECT(ADDRESS(13,9+SUM($J$7:$DE$7))))/CX35,0)</f>
        <v>0</v>
      </c>
      <c r="CY39" s="14">
        <f ca="1">IF(SUM(CY6:CY7)=2,NPV(0.08,CY14:INDIRECT(ADDRESS(13,9+SUM($J$7:$DE$7))))/CY35,0)</f>
        <v>0</v>
      </c>
      <c r="CZ39" s="14">
        <f ca="1">IF(SUM(CZ6:CZ7)=2,NPV(0.08,CZ14:INDIRECT(ADDRESS(13,9+SUM($J$7:$DE$7))))/CZ35,0)</f>
        <v>0</v>
      </c>
      <c r="DA39" s="14">
        <f ca="1">IF(SUM(DA6:DA7)=2,NPV(0.08,DA14:INDIRECT(ADDRESS(13,9+SUM($J$7:$DE$7))))/DA35,0)</f>
        <v>0</v>
      </c>
      <c r="DB39" s="14">
        <f ca="1">IF(SUM(DB6:DB7)=2,NPV(0.08,DB14:INDIRECT(ADDRESS(13,9+SUM($J$7:$DE$7))))/DB35,0)</f>
        <v>0</v>
      </c>
      <c r="DC39" s="14">
        <f ca="1">IF(SUM(DC6:DC7)=2,NPV(0.08,DC14:INDIRECT(ADDRESS(13,9+SUM($J$7:$DE$7))))/DC35,0)</f>
        <v>0</v>
      </c>
      <c r="DD39" s="14">
        <f ca="1">IF(SUM(DD6:DD7)=2,NPV(0.08,DD14:INDIRECT(ADDRESS(13,9+SUM($J$7:$DE$7))))/DD35,0)</f>
        <v>0</v>
      </c>
      <c r="DE39" s="14">
        <f ca="1">IF(SUM(DE6:DE7)=2,NPV(0.08,DE14:INDIRECT(ADDRESS(13,9+SUM($J$7:$DE$7))))/DE35,0)</f>
        <v>0</v>
      </c>
    </row>
    <row r="40" spans="3:109" x14ac:dyDescent="0.15">
      <c r="C40" t="s">
        <v>219</v>
      </c>
      <c r="D40" s="5"/>
      <c r="J40" s="14">
        <f>IF(SUM(J6:J7)=2,NPV(0.08,J14:$DE$14)/J35,0)</f>
        <v>0</v>
      </c>
      <c r="K40" s="14">
        <f>IF(SUM(K6:K7)=2,NPV(0.08,K14:$DE$14)/K35,0)</f>
        <v>0</v>
      </c>
      <c r="L40" s="14">
        <f>IF(SUM(L6:L7)=2,NPV(0.08,L14:$DE$14)/L35,0)</f>
        <v>0</v>
      </c>
      <c r="M40" s="14">
        <f ca="1">IF(SUM(M6:M7)=2,NPV(0.08,M14:$DE$14)/M35,0)</f>
        <v>0</v>
      </c>
      <c r="N40" s="14">
        <f ca="1">IF(SUM(N6:N7)=2,NPV(0.08,N14:$DE$14)/N35,0)</f>
        <v>26.668908506725007</v>
      </c>
      <c r="O40" s="14">
        <f ca="1">IF(SUM(O6:O7)=2,NPV(0.08,O14:$DE$14)/O35,0)</f>
        <v>25.986300658201014</v>
      </c>
      <c r="P40" s="14">
        <f ca="1">IF(SUM(P6:P7)=2,NPV(0.08,P14:$DE$14)/P35,0)</f>
        <v>24.431836956749851</v>
      </c>
      <c r="Q40" s="14">
        <f ca="1">IF(SUM(Q6:Q7)=2,NPV(0.08,Q14:$DE$14)/Q35,0)</f>
        <v>22.044272802259485</v>
      </c>
      <c r="R40" s="14">
        <f ca="1">IF(SUM(R6:R7)=2,NPV(0.08,R14:$DE$14)/R35,0)</f>
        <v>18.726838184319586</v>
      </c>
      <c r="S40" s="14">
        <f ca="1">IF(SUM(S6:S7)=2,NPV(0.08,S14:$DE$14)/S35,0)</f>
        <v>0</v>
      </c>
      <c r="T40" s="14">
        <f ca="1">IF(SUM(T6:T7)=2,NPV(0.08,T14:$DE$14)/T35,0)</f>
        <v>0</v>
      </c>
      <c r="U40" s="14">
        <f ca="1">IF(SUM(U6:U7)=2,NPV(0.08,U14:$DE$14)/U35,0)</f>
        <v>0</v>
      </c>
      <c r="V40" s="14">
        <f ca="1">IF(SUM(V6:V7)=2,NPV(0.08,V14:$DE$14)/V35,0)</f>
        <v>0</v>
      </c>
      <c r="W40" s="14">
        <f ca="1">IF(SUM(W6:W7)=2,NPV(0.08,W14:$DE$14)/W35,0)</f>
        <v>0</v>
      </c>
      <c r="X40" s="14">
        <f ca="1">IF(SUM(X6:X7)=2,NPV(0.08,X14:$DE$14)/X35,0)</f>
        <v>0</v>
      </c>
      <c r="Y40" s="14">
        <f ca="1">IF(SUM(Y6:Y7)=2,NPV(0.08,Y14:$DE$14)/Y35,0)</f>
        <v>0</v>
      </c>
      <c r="Z40" s="14">
        <f ca="1">IF(SUM(Z6:Z7)=2,NPV(0.08,Z14:$DE$14)/Z35,0)</f>
        <v>0</v>
      </c>
      <c r="AA40" s="14">
        <f ca="1">IF(SUM(AA6:AA7)=2,NPV(0.08,AA14:$DE$14)/AA35,0)</f>
        <v>0</v>
      </c>
      <c r="AB40" s="14">
        <f ca="1">IF(SUM(AB6:AB7)=2,NPV(0.08,AB14:$DE$14)/AB35,0)</f>
        <v>0</v>
      </c>
      <c r="AC40" s="14">
        <f ca="1">IF(SUM(AC6:AC7)=2,NPV(0.08,AC14:$DE$14)/AC35,0)</f>
        <v>0</v>
      </c>
      <c r="AD40" s="14">
        <f ca="1">IF(SUM(AD6:AD7)=2,NPV(0.08,AD14:$DE$14)/AD35,0)</f>
        <v>0</v>
      </c>
      <c r="AE40" s="14">
        <f ca="1">IF(SUM(AE6:AE7)=2,NPV(0.08,AE14:$DE$14)/AE35,0)</f>
        <v>0</v>
      </c>
      <c r="AF40" s="14">
        <f ca="1">IF(SUM(AF6:AF7)=2,NPV(0.08,AF14:$DE$14)/AF35,0)</f>
        <v>0</v>
      </c>
      <c r="AG40" s="14">
        <f ca="1">IF(SUM(AG6:AG7)=2,NPV(0.08,AG14:$DE$14)/AG35,0)</f>
        <v>0</v>
      </c>
      <c r="AH40" s="14">
        <f ca="1">IF(SUM(AH6:AH7)=2,NPV(0.08,AH14:$DE$14)/AH35,0)</f>
        <v>0</v>
      </c>
      <c r="AI40" s="14">
        <f ca="1">IF(SUM(AI6:AI7)=2,NPV(0.08,AI14:$DE$14)/AI35,0)</f>
        <v>0</v>
      </c>
      <c r="AJ40" s="14">
        <f ca="1">IF(SUM(AJ6:AJ7)=2,NPV(0.08,AJ14:$DE$14)/AJ35,0)</f>
        <v>0</v>
      </c>
      <c r="AK40" s="14">
        <f ca="1">IF(SUM(AK6:AK7)=2,NPV(0.08,AK14:$DE$14)/AK35,0)</f>
        <v>0</v>
      </c>
      <c r="AL40" s="14">
        <f ca="1">IF(SUM(AL6:AL7)=2,NPV(0.08,AL14:$DE$14)/AL35,0)</f>
        <v>0</v>
      </c>
      <c r="AM40" s="14">
        <f ca="1">IF(SUM(AM6:AM7)=2,NPV(0.08,AM14:$DE$14)/AM35,0)</f>
        <v>0</v>
      </c>
      <c r="AN40" s="14">
        <f ca="1">IF(SUM(AN6:AN7)=2,NPV(0.08,AN14:$DE$14)/AN35,0)</f>
        <v>0</v>
      </c>
      <c r="AO40" s="14">
        <f ca="1">IF(SUM(AO6:AO7)=2,NPV(0.08,AO14:$DE$14)/AO35,0)</f>
        <v>0</v>
      </c>
      <c r="AP40" s="14">
        <f ca="1">IF(SUM(AP6:AP7)=2,NPV(0.08,AP14:$DE$14)/AP35,0)</f>
        <v>0</v>
      </c>
      <c r="AQ40" s="14">
        <f ca="1">IF(SUM(AQ6:AQ7)=2,NPV(0.08,AQ14:$DE$14)/AQ35,0)</f>
        <v>0</v>
      </c>
      <c r="AR40" s="14">
        <f ca="1">IF(SUM(AR6:AR7)=2,NPV(0.08,AR14:$DE$14)/AR35,0)</f>
        <v>0</v>
      </c>
      <c r="AS40" s="14">
        <f ca="1">IF(SUM(AS6:AS7)=2,NPV(0.08,AS14:$DE$14)/AS35,0)</f>
        <v>0</v>
      </c>
      <c r="AT40" s="14">
        <f ca="1">IF(SUM(AT6:AT7)=2,NPV(0.08,AT14:$DE$14)/AT35,0)</f>
        <v>0</v>
      </c>
      <c r="AU40" s="14">
        <f ca="1">IF(SUM(AU6:AU7)=2,NPV(0.08,AU14:$DE$14)/AU35,0)</f>
        <v>0</v>
      </c>
      <c r="AV40" s="14">
        <f ca="1">IF(SUM(AV6:AV7)=2,NPV(0.08,AV14:$DE$14)/AV35,0)</f>
        <v>0</v>
      </c>
      <c r="AW40" s="14">
        <f ca="1">IF(SUM(AW6:AW7)=2,NPV(0.08,AW14:$DE$14)/AW35,0)</f>
        <v>0</v>
      </c>
      <c r="AX40" s="14">
        <f ca="1">IF(SUM(AX6:AX7)=2,NPV(0.08,AX14:$DE$14)/AX35,0)</f>
        <v>0</v>
      </c>
      <c r="AY40" s="14">
        <f ca="1">IF(SUM(AY6:AY7)=2,NPV(0.08,AY14:$DE$14)/AY35,0)</f>
        <v>0</v>
      </c>
      <c r="AZ40" s="14">
        <f ca="1">IF(SUM(AZ6:AZ7)=2,NPV(0.08,AZ14:$DE$14)/AZ35,0)</f>
        <v>0</v>
      </c>
      <c r="BA40" s="14">
        <f ca="1">IF(SUM(BA6:BA7)=2,NPV(0.08,BA14:$DE$14)/BA35,0)</f>
        <v>0</v>
      </c>
      <c r="BB40" s="14">
        <f ca="1">IF(SUM(BB6:BB7)=2,NPV(0.08,BB14:$DE$14)/BB35,0)</f>
        <v>0</v>
      </c>
      <c r="BC40" s="14">
        <f ca="1">IF(SUM(BC6:BC7)=2,NPV(0.08,BC14:$DE$14)/BC35,0)</f>
        <v>0</v>
      </c>
      <c r="BD40" s="14">
        <f ca="1">IF(SUM(BD6:BD7)=2,NPV(0.08,BD14:$DE$14)/BD35,0)</f>
        <v>0</v>
      </c>
      <c r="BE40" s="14">
        <f ca="1">IF(SUM(BE6:BE7)=2,NPV(0.08,BE14:$DE$14)/BE35,0)</f>
        <v>0</v>
      </c>
      <c r="BF40" s="14">
        <f ca="1">IF(SUM(BF6:BF7)=2,NPV(0.08,BF14:$DE$14)/BF35,0)</f>
        <v>0</v>
      </c>
      <c r="BG40" s="14">
        <f ca="1">IF(SUM(BG6:BG7)=2,NPV(0.08,BG14:$DE$14)/BG35,0)</f>
        <v>0</v>
      </c>
      <c r="BH40" s="14">
        <f ca="1">IF(SUM(BH6:BH7)=2,NPV(0.08,BH14:$DE$14)/BH35,0)</f>
        <v>0</v>
      </c>
      <c r="BI40" s="14">
        <f ca="1">IF(SUM(BI6:BI7)=2,NPV(0.08,BI14:$DE$14)/BI35,0)</f>
        <v>0</v>
      </c>
      <c r="BJ40" s="14">
        <f ca="1">IF(SUM(BJ6:BJ7)=2,NPV(0.08,BJ14:$DE$14)/BJ35,0)</f>
        <v>0</v>
      </c>
      <c r="BK40" s="14">
        <f ca="1">IF(SUM(BK6:BK7)=2,NPV(0.08,BK14:$DE$14)/BK35,0)</f>
        <v>0</v>
      </c>
      <c r="BL40" s="14">
        <f ca="1">IF(SUM(BL6:BL7)=2,NPV(0.08,BL14:$DE$14)/BL35,0)</f>
        <v>0</v>
      </c>
      <c r="BM40" s="14">
        <f ca="1">IF(SUM(BM6:BM7)=2,NPV(0.08,BM14:$DE$14)/BM35,0)</f>
        <v>0</v>
      </c>
      <c r="BN40" s="14">
        <f ca="1">IF(SUM(BN6:BN7)=2,NPV(0.08,BN14:$DE$14)/BN35,0)</f>
        <v>0</v>
      </c>
      <c r="BO40" s="14">
        <f ca="1">IF(SUM(BO6:BO7)=2,NPV(0.08,BO14:$DE$14)/BO35,0)</f>
        <v>0</v>
      </c>
      <c r="BP40" s="14">
        <f ca="1">IF(SUM(BP6:BP7)=2,NPV(0.08,BP14:$DE$14)/BP35,0)</f>
        <v>0</v>
      </c>
      <c r="BQ40" s="14">
        <f ca="1">IF(SUM(BQ6:BQ7)=2,NPV(0.08,BQ14:$DE$14)/BQ35,0)</f>
        <v>0</v>
      </c>
      <c r="BR40" s="14">
        <f ca="1">IF(SUM(BR6:BR7)=2,NPV(0.08,BR14:$DE$14)/BR35,0)</f>
        <v>0</v>
      </c>
      <c r="BS40" s="14">
        <f ca="1">IF(SUM(BS6:BS7)=2,NPV(0.08,BS14:$DE$14)/BS35,0)</f>
        <v>0</v>
      </c>
      <c r="BT40" s="14">
        <f ca="1">IF(SUM(BT6:BT7)=2,NPV(0.08,BT14:$DE$14)/BT35,0)</f>
        <v>0</v>
      </c>
      <c r="BU40" s="14">
        <f ca="1">IF(SUM(BU6:BU7)=2,NPV(0.08,BU14:$DE$14)/BU35,0)</f>
        <v>0</v>
      </c>
      <c r="BV40" s="14">
        <f ca="1">IF(SUM(BV6:BV7)=2,NPV(0.08,BV14:$DE$14)/BV35,0)</f>
        <v>0</v>
      </c>
      <c r="BW40" s="14">
        <f ca="1">IF(SUM(BW6:BW7)=2,NPV(0.08,BW14:$DE$14)/BW35,0)</f>
        <v>0</v>
      </c>
      <c r="BX40" s="14">
        <f ca="1">IF(SUM(BX6:BX7)=2,NPV(0.08,BX14:$DE$14)/BX35,0)</f>
        <v>0</v>
      </c>
      <c r="BY40" s="14">
        <f ca="1">IF(SUM(BY6:BY7)=2,NPV(0.08,BY14:$DE$14)/BY35,0)</f>
        <v>0</v>
      </c>
      <c r="BZ40" s="14">
        <f ca="1">IF(SUM(BZ6:BZ7)=2,NPV(0.08,BZ14:$DE$14)/BZ35,0)</f>
        <v>0</v>
      </c>
      <c r="CA40" s="14">
        <f ca="1">IF(SUM(CA6:CA7)=2,NPV(0.08,CA14:$DE$14)/CA35,0)</f>
        <v>0</v>
      </c>
      <c r="CB40" s="14">
        <f ca="1">IF(SUM(CB6:CB7)=2,NPV(0.08,CB14:$DE$14)/CB35,0)</f>
        <v>0</v>
      </c>
      <c r="CC40" s="14">
        <f ca="1">IF(SUM(CC6:CC7)=2,NPV(0.08,CC14:$DE$14)/CC35,0)</f>
        <v>0</v>
      </c>
      <c r="CD40" s="14">
        <f ca="1">IF(SUM(CD6:CD7)=2,NPV(0.08,CD14:$DE$14)/CD35,0)</f>
        <v>0</v>
      </c>
      <c r="CE40" s="14">
        <f ca="1">IF(SUM(CE6:CE7)=2,NPV(0.08,CE14:$DE$14)/CE35,0)</f>
        <v>0</v>
      </c>
      <c r="CF40" s="14">
        <f ca="1">IF(SUM(CF6:CF7)=2,NPV(0.08,CF14:$DE$14)/CF35,0)</f>
        <v>0</v>
      </c>
      <c r="CG40" s="14">
        <f ca="1">IF(SUM(CG6:CG7)=2,NPV(0.08,CG14:$DE$14)/CG35,0)</f>
        <v>0</v>
      </c>
      <c r="CH40" s="14">
        <f ca="1">IF(SUM(CH6:CH7)=2,NPV(0.08,CH14:$DE$14)/CH35,0)</f>
        <v>0</v>
      </c>
      <c r="CI40" s="14">
        <f ca="1">IF(SUM(CI6:CI7)=2,NPV(0.08,CI14:$DE$14)/CI35,0)</f>
        <v>0</v>
      </c>
      <c r="CJ40" s="14">
        <f ca="1">IF(SUM(CJ6:CJ7)=2,NPV(0.08,CJ14:$DE$14)/CJ35,0)</f>
        <v>0</v>
      </c>
      <c r="CK40" s="14">
        <f ca="1">IF(SUM(CK6:CK7)=2,NPV(0.08,CK14:$DE$14)/CK35,0)</f>
        <v>0</v>
      </c>
      <c r="CL40" s="14">
        <f ca="1">IF(SUM(CL6:CL7)=2,NPV(0.08,CL14:$DE$14)/CL35,0)</f>
        <v>0</v>
      </c>
      <c r="CM40" s="14">
        <f ca="1">IF(SUM(CM6:CM7)=2,NPV(0.08,CM14:$DE$14)/CM35,0)</f>
        <v>0</v>
      </c>
      <c r="CN40" s="14">
        <f ca="1">IF(SUM(CN6:CN7)=2,NPV(0.08,CN14:$DE$14)/CN35,0)</f>
        <v>0</v>
      </c>
      <c r="CO40" s="14">
        <f ca="1">IF(SUM(CO6:CO7)=2,NPV(0.08,CO14:$DE$14)/CO35,0)</f>
        <v>0</v>
      </c>
      <c r="CP40" s="14">
        <f ca="1">IF(SUM(CP6:CP7)=2,NPV(0.08,CP14:$DE$14)/CP35,0)</f>
        <v>0</v>
      </c>
      <c r="CQ40" s="14">
        <f ca="1">IF(SUM(CQ6:CQ7)=2,NPV(0.08,CQ14:$DE$14)/CQ35,0)</f>
        <v>0</v>
      </c>
      <c r="CR40" s="14">
        <f ca="1">IF(SUM(CR6:CR7)=2,NPV(0.08,CR14:$DE$14)/CR35,0)</f>
        <v>0</v>
      </c>
      <c r="CS40" s="14">
        <f ca="1">IF(SUM(CS6:CS7)=2,NPV(0.08,CS14:$DE$14)/CS35,0)</f>
        <v>0</v>
      </c>
      <c r="CT40" s="14">
        <f ca="1">IF(SUM(CT6:CT7)=2,NPV(0.08,CT14:$DE$14)/CT35,0)</f>
        <v>0</v>
      </c>
      <c r="CU40" s="14">
        <f ca="1">IF(SUM(CU6:CU7)=2,NPV(0.08,CU14:$DE$14)/CU35,0)</f>
        <v>0</v>
      </c>
      <c r="CV40" s="14">
        <f ca="1">IF(SUM(CV6:CV7)=2,NPV(0.08,CV14:$DE$14)/CV35,0)</f>
        <v>0</v>
      </c>
      <c r="CW40" s="14">
        <f ca="1">IF(SUM(CW6:CW7)=2,NPV(0.08,CW14:$DE$14)/CW35,0)</f>
        <v>0</v>
      </c>
      <c r="CX40" s="14">
        <f ca="1">IF(SUM(CX6:CX7)=2,NPV(0.08,CX14:$DE$14)/CX35,0)</f>
        <v>0</v>
      </c>
      <c r="CY40" s="14">
        <f ca="1">IF(SUM(CY6:CY7)=2,NPV(0.08,CY14:$DE$14)/CY35,0)</f>
        <v>0</v>
      </c>
      <c r="CZ40" s="14">
        <f ca="1">IF(SUM(CZ6:CZ7)=2,NPV(0.08,CZ14:$DE$14)/CZ35,0)</f>
        <v>0</v>
      </c>
      <c r="DA40" s="14">
        <f ca="1">IF(SUM(DA6:DA7)=2,NPV(0.08,DA14:$DE$14)/DA35,0)</f>
        <v>0</v>
      </c>
      <c r="DB40" s="14">
        <f ca="1">IF(SUM(DB6:DB7)=2,NPV(0.08,DB14:$DE$14)/DB35,0)</f>
        <v>0</v>
      </c>
      <c r="DC40" s="14">
        <f ca="1">IF(SUM(DC6:DC7)=2,NPV(0.08,DC14:$DE$14)/DC35,0)</f>
        <v>0</v>
      </c>
      <c r="DD40" s="14">
        <f ca="1">IF(SUM(DD6:DD7)=2,NPV(0.08,DD14:$DE$14)/DD35,0)</f>
        <v>0</v>
      </c>
      <c r="DE40" s="14">
        <f ca="1">IF(SUM(DE6:DE7)=2,NPV(0.08,DE14:$DE$14)/DE35,0)</f>
        <v>0</v>
      </c>
    </row>
    <row r="41" spans="3:109" x14ac:dyDescent="0.15">
      <c r="D41" s="5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</row>
    <row r="42" spans="3:109" x14ac:dyDescent="0.15">
      <c r="C42" t="s">
        <v>220</v>
      </c>
      <c r="D42" s="5"/>
      <c r="J42" s="14">
        <f t="shared" ref="J42:L42" si="20">IF(SUM(J6:J7)=2,J14/J35,0)</f>
        <v>0</v>
      </c>
      <c r="K42" s="14">
        <f t="shared" si="20"/>
        <v>0</v>
      </c>
      <c r="L42" s="14">
        <f t="shared" si="20"/>
        <v>0</v>
      </c>
      <c r="M42" s="14">
        <f ca="1">IF(SUM(M6:M7)=2,M14/M35,0)</f>
        <v>0</v>
      </c>
      <c r="N42" s="14">
        <f t="shared" ref="N42:BY42" ca="1" si="21">IF(SUM(N6:N7)=2,N14/N35,0)</f>
        <v>4.4807234181994309</v>
      </c>
      <c r="O42" s="14">
        <f t="shared" ca="1" si="21"/>
        <v>5.305508686508376</v>
      </c>
      <c r="P42" s="14">
        <f t="shared" ca="1" si="21"/>
        <v>5.9616903373188155</v>
      </c>
      <c r="Q42" s="14">
        <f t="shared" ca="1" si="21"/>
        <v>6.5659239633442308</v>
      </c>
      <c r="R42" s="14">
        <f t="shared" ca="1" si="21"/>
        <v>6.4275036571547135</v>
      </c>
      <c r="S42" s="14">
        <f t="shared" ca="1" si="21"/>
        <v>0</v>
      </c>
      <c r="T42" s="14">
        <f t="shared" ca="1" si="21"/>
        <v>0</v>
      </c>
      <c r="U42" s="14">
        <f t="shared" ca="1" si="21"/>
        <v>0</v>
      </c>
      <c r="V42" s="14">
        <f t="shared" ca="1" si="21"/>
        <v>0</v>
      </c>
      <c r="W42" s="14">
        <f t="shared" ca="1" si="21"/>
        <v>0</v>
      </c>
      <c r="X42" s="14">
        <f t="shared" ca="1" si="21"/>
        <v>0</v>
      </c>
      <c r="Y42" s="14">
        <f t="shared" ca="1" si="21"/>
        <v>0</v>
      </c>
      <c r="Z42" s="14">
        <f t="shared" ca="1" si="21"/>
        <v>0</v>
      </c>
      <c r="AA42" s="14">
        <f t="shared" ca="1" si="21"/>
        <v>0</v>
      </c>
      <c r="AB42" s="14">
        <f t="shared" ca="1" si="21"/>
        <v>0</v>
      </c>
      <c r="AC42" s="14">
        <f t="shared" ca="1" si="21"/>
        <v>0</v>
      </c>
      <c r="AD42" s="14">
        <f t="shared" ca="1" si="21"/>
        <v>0</v>
      </c>
      <c r="AE42" s="14">
        <f t="shared" ca="1" si="21"/>
        <v>0</v>
      </c>
      <c r="AF42" s="14">
        <f t="shared" ca="1" si="21"/>
        <v>0</v>
      </c>
      <c r="AG42" s="14">
        <f t="shared" ca="1" si="21"/>
        <v>0</v>
      </c>
      <c r="AH42" s="14">
        <f t="shared" ca="1" si="21"/>
        <v>0</v>
      </c>
      <c r="AI42" s="14">
        <f t="shared" ca="1" si="21"/>
        <v>0</v>
      </c>
      <c r="AJ42" s="14">
        <f t="shared" ca="1" si="21"/>
        <v>0</v>
      </c>
      <c r="AK42" s="14">
        <f t="shared" ca="1" si="21"/>
        <v>0</v>
      </c>
      <c r="AL42" s="14">
        <f t="shared" ca="1" si="21"/>
        <v>0</v>
      </c>
      <c r="AM42" s="14">
        <f t="shared" ca="1" si="21"/>
        <v>0</v>
      </c>
      <c r="AN42" s="14">
        <f t="shared" ca="1" si="21"/>
        <v>0</v>
      </c>
      <c r="AO42" s="14">
        <f t="shared" ca="1" si="21"/>
        <v>0</v>
      </c>
      <c r="AP42" s="14">
        <f t="shared" ca="1" si="21"/>
        <v>0</v>
      </c>
      <c r="AQ42" s="14">
        <f t="shared" ca="1" si="21"/>
        <v>0</v>
      </c>
      <c r="AR42" s="14">
        <f t="shared" ca="1" si="21"/>
        <v>0</v>
      </c>
      <c r="AS42" s="14">
        <f t="shared" ca="1" si="21"/>
        <v>0</v>
      </c>
      <c r="AT42" s="14">
        <f t="shared" ca="1" si="21"/>
        <v>0</v>
      </c>
      <c r="AU42" s="14">
        <f t="shared" ca="1" si="21"/>
        <v>0</v>
      </c>
      <c r="AV42" s="14">
        <f t="shared" ca="1" si="21"/>
        <v>0</v>
      </c>
      <c r="AW42" s="14">
        <f t="shared" ca="1" si="21"/>
        <v>0</v>
      </c>
      <c r="AX42" s="14">
        <f t="shared" ca="1" si="21"/>
        <v>0</v>
      </c>
      <c r="AY42" s="14">
        <f t="shared" ca="1" si="21"/>
        <v>0</v>
      </c>
      <c r="AZ42" s="14">
        <f t="shared" ca="1" si="21"/>
        <v>0</v>
      </c>
      <c r="BA42" s="14">
        <f t="shared" ca="1" si="21"/>
        <v>0</v>
      </c>
      <c r="BB42" s="14">
        <f t="shared" ca="1" si="21"/>
        <v>0</v>
      </c>
      <c r="BC42" s="14">
        <f t="shared" ca="1" si="21"/>
        <v>0</v>
      </c>
      <c r="BD42" s="14">
        <f t="shared" ca="1" si="21"/>
        <v>0</v>
      </c>
      <c r="BE42" s="14">
        <f t="shared" ca="1" si="21"/>
        <v>0</v>
      </c>
      <c r="BF42" s="14">
        <f t="shared" ca="1" si="21"/>
        <v>0</v>
      </c>
      <c r="BG42" s="14">
        <f t="shared" ca="1" si="21"/>
        <v>0</v>
      </c>
      <c r="BH42" s="14">
        <f t="shared" ca="1" si="21"/>
        <v>0</v>
      </c>
      <c r="BI42" s="14">
        <f t="shared" ca="1" si="21"/>
        <v>0</v>
      </c>
      <c r="BJ42" s="14">
        <f t="shared" ca="1" si="21"/>
        <v>0</v>
      </c>
      <c r="BK42" s="14">
        <f t="shared" ca="1" si="21"/>
        <v>0</v>
      </c>
      <c r="BL42" s="14">
        <f t="shared" ca="1" si="21"/>
        <v>0</v>
      </c>
      <c r="BM42" s="14">
        <f t="shared" ca="1" si="21"/>
        <v>0</v>
      </c>
      <c r="BN42" s="14">
        <f t="shared" ca="1" si="21"/>
        <v>0</v>
      </c>
      <c r="BO42" s="14">
        <f t="shared" ca="1" si="21"/>
        <v>0</v>
      </c>
      <c r="BP42" s="14">
        <f t="shared" ca="1" si="21"/>
        <v>0</v>
      </c>
      <c r="BQ42" s="14">
        <f t="shared" ca="1" si="21"/>
        <v>0</v>
      </c>
      <c r="BR42" s="14">
        <f t="shared" ca="1" si="21"/>
        <v>0</v>
      </c>
      <c r="BS42" s="14">
        <f t="shared" ca="1" si="21"/>
        <v>0</v>
      </c>
      <c r="BT42" s="14">
        <f t="shared" ca="1" si="21"/>
        <v>0</v>
      </c>
      <c r="BU42" s="14">
        <f t="shared" ca="1" si="21"/>
        <v>0</v>
      </c>
      <c r="BV42" s="14">
        <f t="shared" ca="1" si="21"/>
        <v>0</v>
      </c>
      <c r="BW42" s="14">
        <f t="shared" ca="1" si="21"/>
        <v>0</v>
      </c>
      <c r="BX42" s="14">
        <f t="shared" ca="1" si="21"/>
        <v>0</v>
      </c>
      <c r="BY42" s="14">
        <f t="shared" ca="1" si="21"/>
        <v>0</v>
      </c>
      <c r="BZ42" s="14">
        <f t="shared" ref="BZ42:DE42" ca="1" si="22">IF(SUM(BZ6:BZ7)=2,BZ14/BZ35,0)</f>
        <v>0</v>
      </c>
      <c r="CA42" s="14">
        <f t="shared" ca="1" si="22"/>
        <v>0</v>
      </c>
      <c r="CB42" s="14">
        <f t="shared" ca="1" si="22"/>
        <v>0</v>
      </c>
      <c r="CC42" s="14">
        <f t="shared" ca="1" si="22"/>
        <v>0</v>
      </c>
      <c r="CD42" s="14">
        <f t="shared" ca="1" si="22"/>
        <v>0</v>
      </c>
      <c r="CE42" s="14">
        <f t="shared" ca="1" si="22"/>
        <v>0</v>
      </c>
      <c r="CF42" s="14">
        <f t="shared" ca="1" si="22"/>
        <v>0</v>
      </c>
      <c r="CG42" s="14">
        <f t="shared" ca="1" si="22"/>
        <v>0</v>
      </c>
      <c r="CH42" s="14">
        <f t="shared" ca="1" si="22"/>
        <v>0</v>
      </c>
      <c r="CI42" s="14">
        <f t="shared" ca="1" si="22"/>
        <v>0</v>
      </c>
      <c r="CJ42" s="14">
        <f t="shared" ca="1" si="22"/>
        <v>0</v>
      </c>
      <c r="CK42" s="14">
        <f t="shared" ca="1" si="22"/>
        <v>0</v>
      </c>
      <c r="CL42" s="14">
        <f t="shared" ca="1" si="22"/>
        <v>0</v>
      </c>
      <c r="CM42" s="14">
        <f t="shared" ca="1" si="22"/>
        <v>0</v>
      </c>
      <c r="CN42" s="14">
        <f t="shared" ca="1" si="22"/>
        <v>0</v>
      </c>
      <c r="CO42" s="14">
        <f t="shared" ca="1" si="22"/>
        <v>0</v>
      </c>
      <c r="CP42" s="14">
        <f t="shared" ca="1" si="22"/>
        <v>0</v>
      </c>
      <c r="CQ42" s="14">
        <f t="shared" ca="1" si="22"/>
        <v>0</v>
      </c>
      <c r="CR42" s="14">
        <f t="shared" ca="1" si="22"/>
        <v>0</v>
      </c>
      <c r="CS42" s="14">
        <f t="shared" ca="1" si="22"/>
        <v>0</v>
      </c>
      <c r="CT42" s="14">
        <f t="shared" ca="1" si="22"/>
        <v>0</v>
      </c>
      <c r="CU42" s="14">
        <f t="shared" ca="1" si="22"/>
        <v>0</v>
      </c>
      <c r="CV42" s="14">
        <f t="shared" ca="1" si="22"/>
        <v>0</v>
      </c>
      <c r="CW42" s="14">
        <f t="shared" ca="1" si="22"/>
        <v>0</v>
      </c>
      <c r="CX42" s="14">
        <f t="shared" ca="1" si="22"/>
        <v>0</v>
      </c>
      <c r="CY42" s="14">
        <f t="shared" ca="1" si="22"/>
        <v>0</v>
      </c>
      <c r="CZ42" s="14">
        <f t="shared" ca="1" si="22"/>
        <v>0</v>
      </c>
      <c r="DA42" s="14">
        <f t="shared" ca="1" si="22"/>
        <v>0</v>
      </c>
      <c r="DB42" s="14">
        <f t="shared" ca="1" si="22"/>
        <v>0</v>
      </c>
      <c r="DC42" s="14">
        <f t="shared" ca="1" si="22"/>
        <v>0</v>
      </c>
      <c r="DD42" s="14">
        <f t="shared" ca="1" si="22"/>
        <v>0</v>
      </c>
      <c r="DE42" s="14">
        <f t="shared" ca="1" si="22"/>
        <v>0</v>
      </c>
    </row>
    <row r="43" spans="3:109" x14ac:dyDescent="0.15">
      <c r="D43" s="5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</row>
    <row r="44" spans="3:109" x14ac:dyDescent="0.15">
      <c r="C44" t="s">
        <v>221</v>
      </c>
      <c r="D44" s="5"/>
      <c r="J44" s="56">
        <f>SUM(Operations!J37:'Operations'!DB37)/Operations!$I$37</f>
        <v>1</v>
      </c>
      <c r="K44" s="56">
        <f>SUM(Operations!K37:'Operations'!DC37)/Operations!$I$37</f>
        <v>1</v>
      </c>
      <c r="L44" s="56">
        <f>SUM(Operations!L37:'Operations'!DD37)/Operations!$I$37</f>
        <v>1</v>
      </c>
      <c r="M44" s="56">
        <f>SUM(Operations!M37:'Operations'!DE37)/Operations!$I$37</f>
        <v>1</v>
      </c>
      <c r="N44" s="56">
        <f>SUM(Operations!N37:'Operations'!DF37)/Operations!$I$37</f>
        <v>0.99678012879484823</v>
      </c>
      <c r="O44" s="56">
        <f>SUM(Operations!O37:'Operations'!DG37)/Operations!$I$37</f>
        <v>0.93997240110395586</v>
      </c>
      <c r="P44" s="56">
        <f>SUM(Operations!P37:'Operations'!DH37)/Operations!$I$37</f>
        <v>0.84245630174793007</v>
      </c>
      <c r="Q44" s="56">
        <f>SUM(Operations!Q37:'Operations'!DI37)/Operations!$I$37</f>
        <v>0.74816007359705616</v>
      </c>
      <c r="R44" s="56">
        <f>SUM(Operations!R37:'Operations'!DJ37)/Operations!$I$37</f>
        <v>0.63983440662373503</v>
      </c>
      <c r="S44" s="56">
        <f>SUM(Operations!S37:'Operations'!DK37)/Operations!$I$37</f>
        <v>0.53495860165593379</v>
      </c>
      <c r="T44" s="56">
        <f>SUM(Operations!T37:'Operations'!DL37)/Operations!$I$37</f>
        <v>0.43054277828886844</v>
      </c>
      <c r="U44" s="56">
        <f>SUM(Operations!U37:'Operations'!DM37)/Operations!$I$37</f>
        <v>0.32589696412143515</v>
      </c>
      <c r="V44" s="56">
        <f>SUM(Operations!V37:'Operations'!DN37)/Operations!$I$37</f>
        <v>0.22125114995400183</v>
      </c>
      <c r="W44" s="56">
        <f>SUM(Operations!W37:'Operations'!DO37)/Operations!$I$37</f>
        <v>0.13638454461821528</v>
      </c>
      <c r="X44" s="56">
        <f>SUM(Operations!X37:'Operations'!DP37)/Operations!$I$37</f>
        <v>5.9337626494940204E-2</v>
      </c>
      <c r="Y44" s="56">
        <f>SUM(Operations!Y37:'Operations'!DQ37)/Operations!$I$37</f>
        <v>0</v>
      </c>
      <c r="Z44" s="56">
        <f>SUM(Operations!Z37:'Operations'!DR37)/Operations!$I$37</f>
        <v>0</v>
      </c>
      <c r="AA44" s="56">
        <f>SUM(Operations!AA37:'Operations'!DS37)/Operations!$I$37</f>
        <v>0</v>
      </c>
      <c r="AB44" s="56">
        <f>SUM(Operations!AB37:'Operations'!DT37)/Operations!$I$37</f>
        <v>0</v>
      </c>
      <c r="AC44" s="56">
        <f>SUM(Operations!AC37:'Operations'!DU37)/Operations!$I$37</f>
        <v>0</v>
      </c>
      <c r="AD44" s="56">
        <f>SUM(Operations!AD37:'Operations'!DV37)/Operations!$I$37</f>
        <v>0</v>
      </c>
      <c r="AE44" s="56">
        <f>SUM(Operations!AE37:'Operations'!DW37)/Operations!$I$37</f>
        <v>0</v>
      </c>
      <c r="AF44" s="56">
        <f>SUM(Operations!AF37:'Operations'!DX37)/Operations!$I$37</f>
        <v>0</v>
      </c>
      <c r="AG44" s="56">
        <f>SUM(Operations!AG37:'Operations'!DY37)/Operations!$I$37</f>
        <v>0</v>
      </c>
      <c r="AH44" s="56">
        <f>SUM(Operations!AH37:'Operations'!DZ37)/Operations!$I$37</f>
        <v>0</v>
      </c>
      <c r="AI44" s="56">
        <f>SUM(Operations!AI37:'Operations'!EA37)/Operations!$I$37</f>
        <v>0</v>
      </c>
      <c r="AJ44" s="56">
        <f>SUM(Operations!AJ37:'Operations'!EB37)/Operations!$I$37</f>
        <v>0</v>
      </c>
      <c r="AK44" s="56">
        <f>SUM(Operations!AK37:'Operations'!EC37)/Operations!$I$37</f>
        <v>0</v>
      </c>
      <c r="AL44" s="56">
        <f>SUM(Operations!AL37:'Operations'!ED37)/Operations!$I$37</f>
        <v>0</v>
      </c>
      <c r="AM44" s="56">
        <f>SUM(Operations!AM37:'Operations'!EE37)/Operations!$I$37</f>
        <v>0</v>
      </c>
      <c r="AN44" s="56">
        <f>SUM(Operations!AN37:'Operations'!EF37)/Operations!$I$37</f>
        <v>0</v>
      </c>
      <c r="AO44" s="56">
        <f>SUM(Operations!AO37:'Operations'!EG37)/Operations!$I$37</f>
        <v>0</v>
      </c>
      <c r="AP44" s="56">
        <f>SUM(Operations!AP37:'Operations'!EH37)/Operations!$I$37</f>
        <v>0</v>
      </c>
      <c r="AQ44" s="56">
        <f>SUM(Operations!AQ37:'Operations'!EI37)/Operations!$I$37</f>
        <v>0</v>
      </c>
      <c r="AR44" s="56">
        <f>SUM(Operations!AR37:'Operations'!EJ37)/Operations!$I$37</f>
        <v>0</v>
      </c>
      <c r="AS44" s="56">
        <f>SUM(Operations!AS37:'Operations'!EK37)/Operations!$I$37</f>
        <v>0</v>
      </c>
      <c r="AT44" s="56">
        <f>SUM(Operations!AT37:'Operations'!EL37)/Operations!$I$37</f>
        <v>0</v>
      </c>
      <c r="AU44" s="56">
        <f>SUM(Operations!AU37:'Operations'!EM37)/Operations!$I$37</f>
        <v>0</v>
      </c>
      <c r="AV44" s="56">
        <f>SUM(Operations!AV37:'Operations'!EN37)/Operations!$I$37</f>
        <v>0</v>
      </c>
      <c r="AW44" s="56">
        <f>SUM(Operations!AW37:'Operations'!EO37)/Operations!$I$37</f>
        <v>0</v>
      </c>
      <c r="AX44" s="56">
        <f>SUM(Operations!AX37:'Operations'!EP37)/Operations!$I$37</f>
        <v>0</v>
      </c>
      <c r="AY44" s="56">
        <f>SUM(Operations!AY37:'Operations'!EQ37)/Operations!$I$37</f>
        <v>0</v>
      </c>
      <c r="AZ44" s="56">
        <f>SUM(Operations!AZ37:'Operations'!ER37)/Operations!$I$37</f>
        <v>0</v>
      </c>
      <c r="BA44" s="56">
        <f>SUM(Operations!BA37:'Operations'!ES37)/Operations!$I$37</f>
        <v>0</v>
      </c>
      <c r="BB44" s="56">
        <f>SUM(Operations!BB37:'Operations'!ET37)/Operations!$I$37</f>
        <v>0</v>
      </c>
      <c r="BC44" s="56">
        <f>SUM(Operations!BC37:'Operations'!EU37)/Operations!$I$37</f>
        <v>0</v>
      </c>
      <c r="BD44" s="56">
        <f>SUM(Operations!BD37:'Operations'!EV37)/Operations!$I$37</f>
        <v>0</v>
      </c>
      <c r="BE44" s="56">
        <f>SUM(Operations!BE37:'Operations'!EW37)/Operations!$I$37</f>
        <v>0</v>
      </c>
      <c r="BF44" s="56">
        <f>SUM(Operations!BF37:'Operations'!EX37)/Operations!$I$37</f>
        <v>0</v>
      </c>
      <c r="BG44" s="56">
        <f>SUM(Operations!BG37:'Operations'!EY37)/Operations!$I$37</f>
        <v>0</v>
      </c>
      <c r="BH44" s="56">
        <f>SUM(Operations!BH37:'Operations'!EZ37)/Operations!$I$37</f>
        <v>0</v>
      </c>
      <c r="BI44" s="56">
        <f>SUM(Operations!BI37:'Operations'!FA37)/Operations!$I$37</f>
        <v>0</v>
      </c>
      <c r="BJ44" s="56">
        <f>SUM(Operations!BJ37:'Operations'!FB37)/Operations!$I$37</f>
        <v>0</v>
      </c>
      <c r="BK44" s="56">
        <f>SUM(Operations!BK37:'Operations'!FC37)/Operations!$I$37</f>
        <v>0</v>
      </c>
      <c r="BL44" s="56">
        <f>SUM(Operations!BL37:'Operations'!FD37)/Operations!$I$37</f>
        <v>0</v>
      </c>
      <c r="BM44" s="56">
        <f>SUM(Operations!BM37:'Operations'!FE37)/Operations!$I$37</f>
        <v>0</v>
      </c>
      <c r="BN44" s="56">
        <f>SUM(Operations!BN37:'Operations'!FF37)/Operations!$I$37</f>
        <v>0</v>
      </c>
      <c r="BO44" s="56">
        <f>SUM(Operations!BO37:'Operations'!FG37)/Operations!$I$37</f>
        <v>0</v>
      </c>
      <c r="BP44" s="56">
        <f>SUM(Operations!BP37:'Operations'!FH37)/Operations!$I$37</f>
        <v>0</v>
      </c>
      <c r="BQ44" s="56">
        <f>SUM(Operations!BQ37:'Operations'!FI37)/Operations!$I$37</f>
        <v>0</v>
      </c>
      <c r="BR44" s="56">
        <f>SUM(Operations!BR37:'Operations'!FJ37)/Operations!$I$37</f>
        <v>0</v>
      </c>
      <c r="BS44" s="56">
        <f>SUM(Operations!BS37:'Operations'!FK37)/Operations!$I$37</f>
        <v>0</v>
      </c>
      <c r="BT44" s="56">
        <f>SUM(Operations!BT37:'Operations'!FL37)/Operations!$I$37</f>
        <v>0</v>
      </c>
      <c r="BU44" s="56">
        <f>SUM(Operations!BU37:'Operations'!FM37)/Operations!$I$37</f>
        <v>0</v>
      </c>
      <c r="BV44" s="56">
        <f>SUM(Operations!BV37:'Operations'!FN37)/Operations!$I$37</f>
        <v>0</v>
      </c>
      <c r="BW44" s="56">
        <f>SUM(Operations!BW37:'Operations'!FO37)/Operations!$I$37</f>
        <v>0</v>
      </c>
      <c r="BX44" s="56">
        <f>SUM(Operations!BX37:'Operations'!FP37)/Operations!$I$37</f>
        <v>0</v>
      </c>
      <c r="BY44" s="56">
        <f>SUM(Operations!BY37:'Operations'!FQ37)/Operations!$I$37</f>
        <v>0</v>
      </c>
      <c r="BZ44" s="56">
        <f>SUM(Operations!BZ37:'Operations'!FR37)/Operations!$I$37</f>
        <v>0</v>
      </c>
      <c r="CA44" s="56">
        <f>SUM(Operations!CA37:'Operations'!FS37)/Operations!$I$37</f>
        <v>0</v>
      </c>
      <c r="CB44" s="56">
        <f>SUM(Operations!CB37:'Operations'!FT37)/Operations!$I$37</f>
        <v>0</v>
      </c>
      <c r="CC44" s="56">
        <f>SUM(Operations!CC37:'Operations'!FU37)/Operations!$I$37</f>
        <v>0</v>
      </c>
      <c r="CD44" s="56">
        <f>SUM(Operations!CD37:'Operations'!FV37)/Operations!$I$37</f>
        <v>0</v>
      </c>
      <c r="CE44" s="56">
        <f>SUM(Operations!CE37:'Operations'!FW37)/Operations!$I$37</f>
        <v>0</v>
      </c>
      <c r="CF44" s="56">
        <f>SUM(Operations!CF37:'Operations'!FX37)/Operations!$I$37</f>
        <v>0</v>
      </c>
      <c r="CG44" s="56">
        <f>SUM(Operations!CG37:'Operations'!FY37)/Operations!$I$37</f>
        <v>0</v>
      </c>
      <c r="CH44" s="56">
        <f>SUM(Operations!CH37:'Operations'!FZ37)/Operations!$I$37</f>
        <v>0</v>
      </c>
      <c r="CI44" s="56">
        <f>SUM(Operations!CI37:'Operations'!GA37)/Operations!$I$37</f>
        <v>0</v>
      </c>
      <c r="CJ44" s="56">
        <f>SUM(Operations!CJ37:'Operations'!GB37)/Operations!$I$37</f>
        <v>0</v>
      </c>
      <c r="CK44" s="56">
        <f>SUM(Operations!CK37:'Operations'!GC37)/Operations!$I$37</f>
        <v>0</v>
      </c>
      <c r="CL44" s="56">
        <f>SUM(Operations!CL37:'Operations'!GD37)/Operations!$I$37</f>
        <v>0</v>
      </c>
      <c r="CM44" s="56">
        <f>SUM(Operations!CM37:'Operations'!GE37)/Operations!$I$37</f>
        <v>0</v>
      </c>
      <c r="CN44" s="56">
        <f>SUM(Operations!CN37:'Operations'!GF37)/Operations!$I$37</f>
        <v>0</v>
      </c>
      <c r="CO44" s="56">
        <f>SUM(Operations!CO37:'Operations'!GG37)/Operations!$I$37</f>
        <v>0</v>
      </c>
      <c r="CP44" s="56">
        <f>SUM(Operations!CP37:'Operations'!GH37)/Operations!$I$37</f>
        <v>0</v>
      </c>
      <c r="CQ44" s="56">
        <f>SUM(Operations!CQ37:'Operations'!GI37)/Operations!$I$37</f>
        <v>0</v>
      </c>
      <c r="CR44" s="56">
        <f>SUM(Operations!CR37:'Operations'!GJ37)/Operations!$I$37</f>
        <v>0</v>
      </c>
      <c r="CS44" s="56">
        <f>SUM(Operations!CS37:'Operations'!GK37)/Operations!$I$37</f>
        <v>0</v>
      </c>
      <c r="CT44" s="56">
        <f>SUM(Operations!CT37:'Operations'!GL37)/Operations!$I$37</f>
        <v>0</v>
      </c>
      <c r="CU44" s="56">
        <f>SUM(Operations!CU37:'Operations'!GM37)/Operations!$I$37</f>
        <v>0</v>
      </c>
      <c r="CV44" s="56">
        <f>SUM(Operations!CV37:'Operations'!GN37)/Operations!$I$37</f>
        <v>0</v>
      </c>
      <c r="CW44" s="56">
        <f>SUM(Operations!CW37:'Operations'!GO37)/Operations!$I$37</f>
        <v>0</v>
      </c>
      <c r="CX44" s="56">
        <f>SUM(Operations!CX37:'Operations'!GP37)/Operations!$I$37</f>
        <v>0</v>
      </c>
      <c r="CY44" s="56">
        <f>SUM(Operations!CY37:'Operations'!GQ37)/Operations!$I$37</f>
        <v>0</v>
      </c>
      <c r="CZ44" s="56">
        <f>SUM(Operations!CZ37:'Operations'!GR37)/Operations!$I$37</f>
        <v>0</v>
      </c>
      <c r="DA44" s="56">
        <f>SUM(Operations!DA37:'Operations'!GS37)/Operations!$I$37</f>
        <v>0</v>
      </c>
      <c r="DB44" s="56">
        <f>SUM(Operations!DB37:'Operations'!GT37)/Operations!$I$37</f>
        <v>0</v>
      </c>
      <c r="DC44" s="56">
        <f>SUM(Operations!DC37:'Operations'!GU37)/Operations!$I$37</f>
        <v>0</v>
      </c>
      <c r="DD44" s="56">
        <f>SUM(Operations!DD37:'Operations'!GV37)/Operations!$I$37</f>
        <v>0</v>
      </c>
      <c r="DE44" s="56">
        <f>SUM(Operations!DE37:'Operations'!GW37)/Operations!$I$37</f>
        <v>0</v>
      </c>
    </row>
    <row r="45" spans="3:109" x14ac:dyDescent="0.15">
      <c r="D45" s="5"/>
    </row>
    <row r="46" spans="3:109" ht="14" x14ac:dyDescent="0.15">
      <c r="C46" s="1" t="s">
        <v>222</v>
      </c>
      <c r="D46" s="5"/>
    </row>
    <row r="47" spans="3:109" ht="14" x14ac:dyDescent="0.15">
      <c r="C47" s="1"/>
      <c r="D47" s="5"/>
    </row>
    <row r="48" spans="3:109" x14ac:dyDescent="0.15">
      <c r="C48" s="23" t="s">
        <v>223</v>
      </c>
      <c r="D48" s="5"/>
      <c r="J48" s="68" t="str">
        <f t="shared" ref="J48:L48" ca="1" si="23">IF(J39&lt;1.75,"NO","YES")</f>
        <v>NO</v>
      </c>
      <c r="K48" s="68" t="str">
        <f t="shared" ca="1" si="23"/>
        <v>NO</v>
      </c>
      <c r="L48" s="68" t="str">
        <f t="shared" ca="1" si="23"/>
        <v>NO</v>
      </c>
      <c r="M48" s="68" t="str">
        <f ca="1">IF(M39&lt;1.75,"NO","YES")</f>
        <v>NO</v>
      </c>
      <c r="N48" s="68" t="str">
        <f t="shared" ref="N48:BY48" ca="1" si="24">IF(N39&lt;1.75,"NO","YES")</f>
        <v>YES</v>
      </c>
      <c r="O48" s="68" t="str">
        <f t="shared" ca="1" si="24"/>
        <v>YES</v>
      </c>
      <c r="P48" s="68" t="str">
        <f t="shared" ca="1" si="24"/>
        <v>YES</v>
      </c>
      <c r="Q48" s="68" t="str">
        <f t="shared" ca="1" si="24"/>
        <v>YES</v>
      </c>
      <c r="R48" s="68" t="str">
        <f t="shared" ca="1" si="24"/>
        <v>YES</v>
      </c>
      <c r="S48" s="68" t="str">
        <f t="shared" ca="1" si="24"/>
        <v>NO</v>
      </c>
      <c r="T48" s="68" t="str">
        <f t="shared" ca="1" si="24"/>
        <v>NO</v>
      </c>
      <c r="U48" s="68" t="str">
        <f t="shared" ca="1" si="24"/>
        <v>NO</v>
      </c>
      <c r="V48" s="68" t="str">
        <f t="shared" ca="1" si="24"/>
        <v>NO</v>
      </c>
      <c r="W48" s="68" t="str">
        <f t="shared" ca="1" si="24"/>
        <v>NO</v>
      </c>
      <c r="X48" s="68" t="str">
        <f t="shared" ca="1" si="24"/>
        <v>NO</v>
      </c>
      <c r="Y48" s="68" t="str">
        <f t="shared" ca="1" si="24"/>
        <v>NO</v>
      </c>
      <c r="Z48" s="68" t="str">
        <f t="shared" ca="1" si="24"/>
        <v>NO</v>
      </c>
      <c r="AA48" s="68" t="str">
        <f t="shared" ca="1" si="24"/>
        <v>NO</v>
      </c>
      <c r="AB48" s="68" t="str">
        <f t="shared" ca="1" si="24"/>
        <v>NO</v>
      </c>
      <c r="AC48" s="68" t="str">
        <f t="shared" ca="1" si="24"/>
        <v>NO</v>
      </c>
      <c r="AD48" s="68" t="str">
        <f t="shared" ca="1" si="24"/>
        <v>NO</v>
      </c>
      <c r="AE48" s="68" t="str">
        <f t="shared" ca="1" si="24"/>
        <v>NO</v>
      </c>
      <c r="AF48" s="68" t="str">
        <f t="shared" ca="1" si="24"/>
        <v>NO</v>
      </c>
      <c r="AG48" s="68" t="str">
        <f t="shared" ca="1" si="24"/>
        <v>NO</v>
      </c>
      <c r="AH48" s="68" t="str">
        <f t="shared" ca="1" si="24"/>
        <v>NO</v>
      </c>
      <c r="AI48" s="68" t="str">
        <f t="shared" ca="1" si="24"/>
        <v>NO</v>
      </c>
      <c r="AJ48" s="68" t="str">
        <f t="shared" ca="1" si="24"/>
        <v>NO</v>
      </c>
      <c r="AK48" s="68" t="str">
        <f t="shared" ca="1" si="24"/>
        <v>NO</v>
      </c>
      <c r="AL48" s="68" t="str">
        <f t="shared" ca="1" si="24"/>
        <v>NO</v>
      </c>
      <c r="AM48" s="68" t="str">
        <f t="shared" ca="1" si="24"/>
        <v>NO</v>
      </c>
      <c r="AN48" s="68" t="str">
        <f t="shared" ca="1" si="24"/>
        <v>NO</v>
      </c>
      <c r="AO48" s="68" t="str">
        <f t="shared" ca="1" si="24"/>
        <v>NO</v>
      </c>
      <c r="AP48" s="68" t="str">
        <f t="shared" ca="1" si="24"/>
        <v>NO</v>
      </c>
      <c r="AQ48" s="68" t="str">
        <f t="shared" ca="1" si="24"/>
        <v>NO</v>
      </c>
      <c r="AR48" s="68" t="str">
        <f t="shared" ca="1" si="24"/>
        <v>NO</v>
      </c>
      <c r="AS48" s="68" t="str">
        <f t="shared" ca="1" si="24"/>
        <v>NO</v>
      </c>
      <c r="AT48" s="68" t="str">
        <f t="shared" ca="1" si="24"/>
        <v>NO</v>
      </c>
      <c r="AU48" s="68" t="str">
        <f t="shared" ca="1" si="24"/>
        <v>NO</v>
      </c>
      <c r="AV48" s="68" t="str">
        <f t="shared" ca="1" si="24"/>
        <v>NO</v>
      </c>
      <c r="AW48" s="68" t="str">
        <f t="shared" ca="1" si="24"/>
        <v>NO</v>
      </c>
      <c r="AX48" s="68" t="str">
        <f t="shared" ca="1" si="24"/>
        <v>NO</v>
      </c>
      <c r="AY48" s="68" t="str">
        <f t="shared" ca="1" si="24"/>
        <v>NO</v>
      </c>
      <c r="AZ48" s="68" t="str">
        <f t="shared" ca="1" si="24"/>
        <v>NO</v>
      </c>
      <c r="BA48" s="68" t="str">
        <f t="shared" ca="1" si="24"/>
        <v>NO</v>
      </c>
      <c r="BB48" s="68" t="str">
        <f t="shared" ca="1" si="24"/>
        <v>NO</v>
      </c>
      <c r="BC48" s="68" t="str">
        <f t="shared" ca="1" si="24"/>
        <v>NO</v>
      </c>
      <c r="BD48" s="68" t="str">
        <f t="shared" ca="1" si="24"/>
        <v>NO</v>
      </c>
      <c r="BE48" s="68" t="str">
        <f t="shared" ca="1" si="24"/>
        <v>NO</v>
      </c>
      <c r="BF48" s="68" t="str">
        <f t="shared" ca="1" si="24"/>
        <v>NO</v>
      </c>
      <c r="BG48" s="68" t="str">
        <f t="shared" ca="1" si="24"/>
        <v>NO</v>
      </c>
      <c r="BH48" s="68" t="str">
        <f t="shared" ca="1" si="24"/>
        <v>NO</v>
      </c>
      <c r="BI48" s="68" t="str">
        <f t="shared" ca="1" si="24"/>
        <v>NO</v>
      </c>
      <c r="BJ48" s="68" t="str">
        <f t="shared" ca="1" si="24"/>
        <v>NO</v>
      </c>
      <c r="BK48" s="68" t="str">
        <f t="shared" ca="1" si="24"/>
        <v>NO</v>
      </c>
      <c r="BL48" s="68" t="str">
        <f t="shared" ca="1" si="24"/>
        <v>NO</v>
      </c>
      <c r="BM48" s="68" t="str">
        <f t="shared" ca="1" si="24"/>
        <v>NO</v>
      </c>
      <c r="BN48" s="68" t="str">
        <f t="shared" ca="1" si="24"/>
        <v>NO</v>
      </c>
      <c r="BO48" s="68" t="str">
        <f t="shared" ca="1" si="24"/>
        <v>NO</v>
      </c>
      <c r="BP48" s="68" t="str">
        <f t="shared" ca="1" si="24"/>
        <v>NO</v>
      </c>
      <c r="BQ48" s="68" t="str">
        <f t="shared" ca="1" si="24"/>
        <v>NO</v>
      </c>
      <c r="BR48" s="68" t="str">
        <f t="shared" ca="1" si="24"/>
        <v>NO</v>
      </c>
      <c r="BS48" s="68" t="str">
        <f t="shared" ca="1" si="24"/>
        <v>NO</v>
      </c>
      <c r="BT48" s="68" t="str">
        <f t="shared" ca="1" si="24"/>
        <v>NO</v>
      </c>
      <c r="BU48" s="68" t="str">
        <f t="shared" ca="1" si="24"/>
        <v>NO</v>
      </c>
      <c r="BV48" s="68" t="str">
        <f t="shared" ca="1" si="24"/>
        <v>NO</v>
      </c>
      <c r="BW48" s="68" t="str">
        <f t="shared" ca="1" si="24"/>
        <v>NO</v>
      </c>
      <c r="BX48" s="68" t="str">
        <f t="shared" ca="1" si="24"/>
        <v>NO</v>
      </c>
      <c r="BY48" s="68" t="str">
        <f t="shared" ca="1" si="24"/>
        <v>NO</v>
      </c>
      <c r="BZ48" s="68" t="str">
        <f t="shared" ref="BZ48:DE48" ca="1" si="25">IF(BZ39&lt;1.75,"NO","YES")</f>
        <v>NO</v>
      </c>
      <c r="CA48" s="68" t="str">
        <f t="shared" ca="1" si="25"/>
        <v>NO</v>
      </c>
      <c r="CB48" s="68" t="str">
        <f t="shared" ca="1" si="25"/>
        <v>NO</v>
      </c>
      <c r="CC48" s="68" t="str">
        <f t="shared" ca="1" si="25"/>
        <v>NO</v>
      </c>
      <c r="CD48" s="68" t="str">
        <f t="shared" ca="1" si="25"/>
        <v>NO</v>
      </c>
      <c r="CE48" s="68" t="str">
        <f t="shared" ca="1" si="25"/>
        <v>NO</v>
      </c>
      <c r="CF48" s="68" t="str">
        <f t="shared" ca="1" si="25"/>
        <v>NO</v>
      </c>
      <c r="CG48" s="68" t="str">
        <f t="shared" ca="1" si="25"/>
        <v>NO</v>
      </c>
      <c r="CH48" s="68" t="str">
        <f t="shared" ca="1" si="25"/>
        <v>NO</v>
      </c>
      <c r="CI48" s="68" t="str">
        <f t="shared" ca="1" si="25"/>
        <v>NO</v>
      </c>
      <c r="CJ48" s="68" t="str">
        <f t="shared" ca="1" si="25"/>
        <v>NO</v>
      </c>
      <c r="CK48" s="68" t="str">
        <f t="shared" ca="1" si="25"/>
        <v>NO</v>
      </c>
      <c r="CL48" s="68" t="str">
        <f t="shared" ca="1" si="25"/>
        <v>NO</v>
      </c>
      <c r="CM48" s="68" t="str">
        <f t="shared" ca="1" si="25"/>
        <v>NO</v>
      </c>
      <c r="CN48" s="68" t="str">
        <f t="shared" ca="1" si="25"/>
        <v>NO</v>
      </c>
      <c r="CO48" s="68" t="str">
        <f t="shared" ca="1" si="25"/>
        <v>NO</v>
      </c>
      <c r="CP48" s="68" t="str">
        <f t="shared" ca="1" si="25"/>
        <v>NO</v>
      </c>
      <c r="CQ48" s="68" t="str">
        <f t="shared" ca="1" si="25"/>
        <v>NO</v>
      </c>
      <c r="CR48" s="68" t="str">
        <f t="shared" ca="1" si="25"/>
        <v>NO</v>
      </c>
      <c r="CS48" s="68" t="str">
        <f t="shared" ca="1" si="25"/>
        <v>NO</v>
      </c>
      <c r="CT48" s="68" t="str">
        <f t="shared" ca="1" si="25"/>
        <v>NO</v>
      </c>
      <c r="CU48" s="68" t="str">
        <f t="shared" ca="1" si="25"/>
        <v>NO</v>
      </c>
      <c r="CV48" s="68" t="str">
        <f t="shared" ca="1" si="25"/>
        <v>NO</v>
      </c>
      <c r="CW48" s="68" t="str">
        <f t="shared" ca="1" si="25"/>
        <v>NO</v>
      </c>
      <c r="CX48" s="68" t="str">
        <f t="shared" ca="1" si="25"/>
        <v>NO</v>
      </c>
      <c r="CY48" s="68" t="str">
        <f t="shared" ca="1" si="25"/>
        <v>NO</v>
      </c>
      <c r="CZ48" s="68" t="str">
        <f t="shared" ca="1" si="25"/>
        <v>NO</v>
      </c>
      <c r="DA48" s="68" t="str">
        <f t="shared" ca="1" si="25"/>
        <v>NO</v>
      </c>
      <c r="DB48" s="68" t="str">
        <f t="shared" ca="1" si="25"/>
        <v>NO</v>
      </c>
      <c r="DC48" s="68" t="str">
        <f t="shared" ca="1" si="25"/>
        <v>NO</v>
      </c>
      <c r="DD48" s="68" t="str">
        <f t="shared" ca="1" si="25"/>
        <v>NO</v>
      </c>
      <c r="DE48" s="68" t="str">
        <f t="shared" ca="1" si="25"/>
        <v>NO</v>
      </c>
    </row>
    <row r="49" spans="3:109" x14ac:dyDescent="0.15">
      <c r="C49" s="23" t="s">
        <v>224</v>
      </c>
      <c r="D49" s="5"/>
      <c r="J49" s="68" t="str">
        <f t="shared" ref="J49:BU49" si="26">IF(J40&lt;2.5,"NO","YES")</f>
        <v>NO</v>
      </c>
      <c r="K49" s="68" t="str">
        <f t="shared" si="26"/>
        <v>NO</v>
      </c>
      <c r="L49" s="68" t="str">
        <f t="shared" si="26"/>
        <v>NO</v>
      </c>
      <c r="M49" s="68" t="str">
        <f t="shared" ca="1" si="26"/>
        <v>NO</v>
      </c>
      <c r="N49" s="68" t="str">
        <f t="shared" ca="1" si="26"/>
        <v>YES</v>
      </c>
      <c r="O49" s="68" t="str">
        <f t="shared" ca="1" si="26"/>
        <v>YES</v>
      </c>
      <c r="P49" s="68" t="str">
        <f t="shared" ca="1" si="26"/>
        <v>YES</v>
      </c>
      <c r="Q49" s="68" t="str">
        <f t="shared" ca="1" si="26"/>
        <v>YES</v>
      </c>
      <c r="R49" s="68" t="str">
        <f t="shared" ca="1" si="26"/>
        <v>YES</v>
      </c>
      <c r="S49" s="68" t="str">
        <f t="shared" ca="1" si="26"/>
        <v>NO</v>
      </c>
      <c r="T49" s="68" t="str">
        <f t="shared" ca="1" si="26"/>
        <v>NO</v>
      </c>
      <c r="U49" s="68" t="str">
        <f t="shared" ca="1" si="26"/>
        <v>NO</v>
      </c>
      <c r="V49" s="68" t="str">
        <f t="shared" ca="1" si="26"/>
        <v>NO</v>
      </c>
      <c r="W49" s="68" t="str">
        <f t="shared" ca="1" si="26"/>
        <v>NO</v>
      </c>
      <c r="X49" s="68" t="str">
        <f t="shared" ca="1" si="26"/>
        <v>NO</v>
      </c>
      <c r="Y49" s="68" t="str">
        <f t="shared" ca="1" si="26"/>
        <v>NO</v>
      </c>
      <c r="Z49" s="68" t="str">
        <f t="shared" ca="1" si="26"/>
        <v>NO</v>
      </c>
      <c r="AA49" s="68" t="str">
        <f t="shared" ca="1" si="26"/>
        <v>NO</v>
      </c>
      <c r="AB49" s="68" t="str">
        <f t="shared" ca="1" si="26"/>
        <v>NO</v>
      </c>
      <c r="AC49" s="68" t="str">
        <f t="shared" ca="1" si="26"/>
        <v>NO</v>
      </c>
      <c r="AD49" s="68" t="str">
        <f t="shared" ca="1" si="26"/>
        <v>NO</v>
      </c>
      <c r="AE49" s="68" t="str">
        <f t="shared" ca="1" si="26"/>
        <v>NO</v>
      </c>
      <c r="AF49" s="68" t="str">
        <f t="shared" ca="1" si="26"/>
        <v>NO</v>
      </c>
      <c r="AG49" s="68" t="str">
        <f t="shared" ca="1" si="26"/>
        <v>NO</v>
      </c>
      <c r="AH49" s="68" t="str">
        <f t="shared" ca="1" si="26"/>
        <v>NO</v>
      </c>
      <c r="AI49" s="68" t="str">
        <f t="shared" ca="1" si="26"/>
        <v>NO</v>
      </c>
      <c r="AJ49" s="68" t="str">
        <f t="shared" ca="1" si="26"/>
        <v>NO</v>
      </c>
      <c r="AK49" s="68" t="str">
        <f t="shared" ca="1" si="26"/>
        <v>NO</v>
      </c>
      <c r="AL49" s="68" t="str">
        <f t="shared" ca="1" si="26"/>
        <v>NO</v>
      </c>
      <c r="AM49" s="68" t="str">
        <f t="shared" ca="1" si="26"/>
        <v>NO</v>
      </c>
      <c r="AN49" s="68" t="str">
        <f t="shared" ca="1" si="26"/>
        <v>NO</v>
      </c>
      <c r="AO49" s="68" t="str">
        <f t="shared" ca="1" si="26"/>
        <v>NO</v>
      </c>
      <c r="AP49" s="68" t="str">
        <f t="shared" ca="1" si="26"/>
        <v>NO</v>
      </c>
      <c r="AQ49" s="68" t="str">
        <f t="shared" ca="1" si="26"/>
        <v>NO</v>
      </c>
      <c r="AR49" s="68" t="str">
        <f t="shared" ca="1" si="26"/>
        <v>NO</v>
      </c>
      <c r="AS49" s="68" t="str">
        <f t="shared" ca="1" si="26"/>
        <v>NO</v>
      </c>
      <c r="AT49" s="68" t="str">
        <f t="shared" ca="1" si="26"/>
        <v>NO</v>
      </c>
      <c r="AU49" s="68" t="str">
        <f t="shared" ca="1" si="26"/>
        <v>NO</v>
      </c>
      <c r="AV49" s="68" t="str">
        <f t="shared" ca="1" si="26"/>
        <v>NO</v>
      </c>
      <c r="AW49" s="68" t="str">
        <f t="shared" ca="1" si="26"/>
        <v>NO</v>
      </c>
      <c r="AX49" s="68" t="str">
        <f t="shared" ca="1" si="26"/>
        <v>NO</v>
      </c>
      <c r="AY49" s="68" t="str">
        <f t="shared" ca="1" si="26"/>
        <v>NO</v>
      </c>
      <c r="AZ49" s="68" t="str">
        <f t="shared" ca="1" si="26"/>
        <v>NO</v>
      </c>
      <c r="BA49" s="68" t="str">
        <f t="shared" ca="1" si="26"/>
        <v>NO</v>
      </c>
      <c r="BB49" s="68" t="str">
        <f t="shared" ca="1" si="26"/>
        <v>NO</v>
      </c>
      <c r="BC49" s="68" t="str">
        <f t="shared" ca="1" si="26"/>
        <v>NO</v>
      </c>
      <c r="BD49" s="68" t="str">
        <f t="shared" ca="1" si="26"/>
        <v>NO</v>
      </c>
      <c r="BE49" s="68" t="str">
        <f t="shared" ca="1" si="26"/>
        <v>NO</v>
      </c>
      <c r="BF49" s="68" t="str">
        <f t="shared" ca="1" si="26"/>
        <v>NO</v>
      </c>
      <c r="BG49" s="68" t="str">
        <f t="shared" ca="1" si="26"/>
        <v>NO</v>
      </c>
      <c r="BH49" s="68" t="str">
        <f t="shared" ca="1" si="26"/>
        <v>NO</v>
      </c>
      <c r="BI49" s="68" t="str">
        <f t="shared" ca="1" si="26"/>
        <v>NO</v>
      </c>
      <c r="BJ49" s="68" t="str">
        <f t="shared" ca="1" si="26"/>
        <v>NO</v>
      </c>
      <c r="BK49" s="68" t="str">
        <f t="shared" ca="1" si="26"/>
        <v>NO</v>
      </c>
      <c r="BL49" s="68" t="str">
        <f t="shared" ca="1" si="26"/>
        <v>NO</v>
      </c>
      <c r="BM49" s="68" t="str">
        <f t="shared" ca="1" si="26"/>
        <v>NO</v>
      </c>
      <c r="BN49" s="68" t="str">
        <f t="shared" ca="1" si="26"/>
        <v>NO</v>
      </c>
      <c r="BO49" s="68" t="str">
        <f t="shared" ca="1" si="26"/>
        <v>NO</v>
      </c>
      <c r="BP49" s="68" t="str">
        <f t="shared" ca="1" si="26"/>
        <v>NO</v>
      </c>
      <c r="BQ49" s="68" t="str">
        <f t="shared" ca="1" si="26"/>
        <v>NO</v>
      </c>
      <c r="BR49" s="68" t="str">
        <f t="shared" ca="1" si="26"/>
        <v>NO</v>
      </c>
      <c r="BS49" s="68" t="str">
        <f t="shared" ca="1" si="26"/>
        <v>NO</v>
      </c>
      <c r="BT49" s="68" t="str">
        <f t="shared" ca="1" si="26"/>
        <v>NO</v>
      </c>
      <c r="BU49" s="68" t="str">
        <f t="shared" ca="1" si="26"/>
        <v>NO</v>
      </c>
      <c r="BV49" s="68" t="str">
        <f t="shared" ref="BV49:DE49" ca="1" si="27">IF(BV40&lt;2.5,"NO","YES")</f>
        <v>NO</v>
      </c>
      <c r="BW49" s="68" t="str">
        <f t="shared" ca="1" si="27"/>
        <v>NO</v>
      </c>
      <c r="BX49" s="68" t="str">
        <f t="shared" ca="1" si="27"/>
        <v>NO</v>
      </c>
      <c r="BY49" s="68" t="str">
        <f t="shared" ca="1" si="27"/>
        <v>NO</v>
      </c>
      <c r="BZ49" s="68" t="str">
        <f t="shared" ca="1" si="27"/>
        <v>NO</v>
      </c>
      <c r="CA49" s="68" t="str">
        <f t="shared" ca="1" si="27"/>
        <v>NO</v>
      </c>
      <c r="CB49" s="68" t="str">
        <f t="shared" ca="1" si="27"/>
        <v>NO</v>
      </c>
      <c r="CC49" s="68" t="str">
        <f t="shared" ca="1" si="27"/>
        <v>NO</v>
      </c>
      <c r="CD49" s="68" t="str">
        <f t="shared" ca="1" si="27"/>
        <v>NO</v>
      </c>
      <c r="CE49" s="68" t="str">
        <f t="shared" ca="1" si="27"/>
        <v>NO</v>
      </c>
      <c r="CF49" s="68" t="str">
        <f t="shared" ca="1" si="27"/>
        <v>NO</v>
      </c>
      <c r="CG49" s="68" t="str">
        <f t="shared" ca="1" si="27"/>
        <v>NO</v>
      </c>
      <c r="CH49" s="68" t="str">
        <f t="shared" ca="1" si="27"/>
        <v>NO</v>
      </c>
      <c r="CI49" s="68" t="str">
        <f t="shared" ca="1" si="27"/>
        <v>NO</v>
      </c>
      <c r="CJ49" s="68" t="str">
        <f t="shared" ca="1" si="27"/>
        <v>NO</v>
      </c>
      <c r="CK49" s="68" t="str">
        <f t="shared" ca="1" si="27"/>
        <v>NO</v>
      </c>
      <c r="CL49" s="68" t="str">
        <f t="shared" ca="1" si="27"/>
        <v>NO</v>
      </c>
      <c r="CM49" s="68" t="str">
        <f t="shared" ca="1" si="27"/>
        <v>NO</v>
      </c>
      <c r="CN49" s="68" t="str">
        <f t="shared" ca="1" si="27"/>
        <v>NO</v>
      </c>
      <c r="CO49" s="68" t="str">
        <f t="shared" ca="1" si="27"/>
        <v>NO</v>
      </c>
      <c r="CP49" s="68" t="str">
        <f t="shared" ca="1" si="27"/>
        <v>NO</v>
      </c>
      <c r="CQ49" s="68" t="str">
        <f t="shared" ca="1" si="27"/>
        <v>NO</v>
      </c>
      <c r="CR49" s="68" t="str">
        <f t="shared" ca="1" si="27"/>
        <v>NO</v>
      </c>
      <c r="CS49" s="68" t="str">
        <f t="shared" ca="1" si="27"/>
        <v>NO</v>
      </c>
      <c r="CT49" s="68" t="str">
        <f t="shared" ca="1" si="27"/>
        <v>NO</v>
      </c>
      <c r="CU49" s="68" t="str">
        <f t="shared" ca="1" si="27"/>
        <v>NO</v>
      </c>
      <c r="CV49" s="68" t="str">
        <f t="shared" ca="1" si="27"/>
        <v>NO</v>
      </c>
      <c r="CW49" s="68" t="str">
        <f t="shared" ca="1" si="27"/>
        <v>NO</v>
      </c>
      <c r="CX49" s="68" t="str">
        <f t="shared" ca="1" si="27"/>
        <v>NO</v>
      </c>
      <c r="CY49" s="68" t="str">
        <f t="shared" ca="1" si="27"/>
        <v>NO</v>
      </c>
      <c r="CZ49" s="68" t="str">
        <f t="shared" ca="1" si="27"/>
        <v>NO</v>
      </c>
      <c r="DA49" s="68" t="str">
        <f t="shared" ca="1" si="27"/>
        <v>NO</v>
      </c>
      <c r="DB49" s="68" t="str">
        <f t="shared" ca="1" si="27"/>
        <v>NO</v>
      </c>
      <c r="DC49" s="68" t="str">
        <f t="shared" ca="1" si="27"/>
        <v>NO</v>
      </c>
      <c r="DD49" s="68" t="str">
        <f t="shared" ca="1" si="27"/>
        <v>NO</v>
      </c>
      <c r="DE49" s="68" t="str">
        <f t="shared" ca="1" si="27"/>
        <v>NO</v>
      </c>
    </row>
    <row r="50" spans="3:109" x14ac:dyDescent="0.15">
      <c r="D50" s="5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69"/>
      <c r="CA50" s="69"/>
      <c r="CB50" s="69"/>
      <c r="CC50" s="69"/>
      <c r="CD50" s="69"/>
      <c r="CE50" s="69"/>
      <c r="CF50" s="69"/>
      <c r="CG50" s="69"/>
      <c r="CH50" s="69"/>
      <c r="CI50" s="69"/>
      <c r="CJ50" s="69"/>
      <c r="CK50" s="69"/>
      <c r="CL50" s="69"/>
      <c r="CM50" s="69"/>
      <c r="CN50" s="69"/>
      <c r="CO50" s="69"/>
      <c r="CP50" s="69"/>
      <c r="CQ50" s="69"/>
      <c r="CR50" s="69"/>
      <c r="CS50" s="69"/>
      <c r="CT50" s="69"/>
      <c r="CU50" s="69"/>
      <c r="CV50" s="69"/>
      <c r="CW50" s="69"/>
      <c r="CX50" s="69"/>
      <c r="CY50" s="69"/>
      <c r="CZ50" s="69"/>
      <c r="DA50" s="69"/>
      <c r="DB50" s="69"/>
      <c r="DC50" s="69"/>
      <c r="DD50" s="69"/>
      <c r="DE50" s="69"/>
    </row>
    <row r="51" spans="3:109" x14ac:dyDescent="0.15">
      <c r="C51" s="23" t="s">
        <v>225</v>
      </c>
      <c r="D51" s="5"/>
      <c r="J51" s="68" t="str">
        <f t="shared" ref="J51:BU51" si="28">IF(J42&lt;1.5,"NO","YES")</f>
        <v>NO</v>
      </c>
      <c r="K51" s="68" t="str">
        <f t="shared" si="28"/>
        <v>NO</v>
      </c>
      <c r="L51" s="68" t="str">
        <f t="shared" si="28"/>
        <v>NO</v>
      </c>
      <c r="M51" s="68" t="str">
        <f t="shared" ca="1" si="28"/>
        <v>NO</v>
      </c>
      <c r="N51" s="68" t="str">
        <f t="shared" ca="1" si="28"/>
        <v>YES</v>
      </c>
      <c r="O51" s="68" t="str">
        <f t="shared" ca="1" si="28"/>
        <v>YES</v>
      </c>
      <c r="P51" s="68" t="str">
        <f t="shared" ca="1" si="28"/>
        <v>YES</v>
      </c>
      <c r="Q51" s="68" t="str">
        <f t="shared" ca="1" si="28"/>
        <v>YES</v>
      </c>
      <c r="R51" s="68" t="str">
        <f t="shared" ca="1" si="28"/>
        <v>YES</v>
      </c>
      <c r="S51" s="68" t="str">
        <f t="shared" ca="1" si="28"/>
        <v>NO</v>
      </c>
      <c r="T51" s="68" t="str">
        <f t="shared" ca="1" si="28"/>
        <v>NO</v>
      </c>
      <c r="U51" s="68" t="str">
        <f t="shared" ca="1" si="28"/>
        <v>NO</v>
      </c>
      <c r="V51" s="68" t="str">
        <f t="shared" ca="1" si="28"/>
        <v>NO</v>
      </c>
      <c r="W51" s="68" t="str">
        <f t="shared" ca="1" si="28"/>
        <v>NO</v>
      </c>
      <c r="X51" s="68" t="str">
        <f t="shared" ca="1" si="28"/>
        <v>NO</v>
      </c>
      <c r="Y51" s="68" t="str">
        <f t="shared" ca="1" si="28"/>
        <v>NO</v>
      </c>
      <c r="Z51" s="68" t="str">
        <f t="shared" ca="1" si="28"/>
        <v>NO</v>
      </c>
      <c r="AA51" s="68" t="str">
        <f t="shared" ca="1" si="28"/>
        <v>NO</v>
      </c>
      <c r="AB51" s="68" t="str">
        <f t="shared" ca="1" si="28"/>
        <v>NO</v>
      </c>
      <c r="AC51" s="68" t="str">
        <f t="shared" ca="1" si="28"/>
        <v>NO</v>
      </c>
      <c r="AD51" s="68" t="str">
        <f t="shared" ca="1" si="28"/>
        <v>NO</v>
      </c>
      <c r="AE51" s="68" t="str">
        <f t="shared" ca="1" si="28"/>
        <v>NO</v>
      </c>
      <c r="AF51" s="68" t="str">
        <f t="shared" ca="1" si="28"/>
        <v>NO</v>
      </c>
      <c r="AG51" s="68" t="str">
        <f t="shared" ca="1" si="28"/>
        <v>NO</v>
      </c>
      <c r="AH51" s="68" t="str">
        <f t="shared" ca="1" si="28"/>
        <v>NO</v>
      </c>
      <c r="AI51" s="68" t="str">
        <f t="shared" ca="1" si="28"/>
        <v>NO</v>
      </c>
      <c r="AJ51" s="68" t="str">
        <f t="shared" ca="1" si="28"/>
        <v>NO</v>
      </c>
      <c r="AK51" s="68" t="str">
        <f t="shared" ca="1" si="28"/>
        <v>NO</v>
      </c>
      <c r="AL51" s="68" t="str">
        <f t="shared" ca="1" si="28"/>
        <v>NO</v>
      </c>
      <c r="AM51" s="68" t="str">
        <f t="shared" ca="1" si="28"/>
        <v>NO</v>
      </c>
      <c r="AN51" s="68" t="str">
        <f t="shared" ca="1" si="28"/>
        <v>NO</v>
      </c>
      <c r="AO51" s="68" t="str">
        <f t="shared" ca="1" si="28"/>
        <v>NO</v>
      </c>
      <c r="AP51" s="68" t="str">
        <f t="shared" ca="1" si="28"/>
        <v>NO</v>
      </c>
      <c r="AQ51" s="68" t="str">
        <f t="shared" ca="1" si="28"/>
        <v>NO</v>
      </c>
      <c r="AR51" s="68" t="str">
        <f t="shared" ca="1" si="28"/>
        <v>NO</v>
      </c>
      <c r="AS51" s="68" t="str">
        <f t="shared" ca="1" si="28"/>
        <v>NO</v>
      </c>
      <c r="AT51" s="68" t="str">
        <f t="shared" ca="1" si="28"/>
        <v>NO</v>
      </c>
      <c r="AU51" s="68" t="str">
        <f t="shared" ca="1" si="28"/>
        <v>NO</v>
      </c>
      <c r="AV51" s="68" t="str">
        <f t="shared" ca="1" si="28"/>
        <v>NO</v>
      </c>
      <c r="AW51" s="68" t="str">
        <f t="shared" ca="1" si="28"/>
        <v>NO</v>
      </c>
      <c r="AX51" s="68" t="str">
        <f t="shared" ca="1" si="28"/>
        <v>NO</v>
      </c>
      <c r="AY51" s="68" t="str">
        <f t="shared" ca="1" si="28"/>
        <v>NO</v>
      </c>
      <c r="AZ51" s="68" t="str">
        <f t="shared" ca="1" si="28"/>
        <v>NO</v>
      </c>
      <c r="BA51" s="68" t="str">
        <f t="shared" ca="1" si="28"/>
        <v>NO</v>
      </c>
      <c r="BB51" s="68" t="str">
        <f t="shared" ca="1" si="28"/>
        <v>NO</v>
      </c>
      <c r="BC51" s="68" t="str">
        <f t="shared" ca="1" si="28"/>
        <v>NO</v>
      </c>
      <c r="BD51" s="68" t="str">
        <f t="shared" ca="1" si="28"/>
        <v>NO</v>
      </c>
      <c r="BE51" s="68" t="str">
        <f t="shared" ca="1" si="28"/>
        <v>NO</v>
      </c>
      <c r="BF51" s="68" t="str">
        <f t="shared" ca="1" si="28"/>
        <v>NO</v>
      </c>
      <c r="BG51" s="68" t="str">
        <f t="shared" ca="1" si="28"/>
        <v>NO</v>
      </c>
      <c r="BH51" s="68" t="str">
        <f t="shared" ca="1" si="28"/>
        <v>NO</v>
      </c>
      <c r="BI51" s="68" t="str">
        <f t="shared" ca="1" si="28"/>
        <v>NO</v>
      </c>
      <c r="BJ51" s="68" t="str">
        <f t="shared" ca="1" si="28"/>
        <v>NO</v>
      </c>
      <c r="BK51" s="68" t="str">
        <f t="shared" ca="1" si="28"/>
        <v>NO</v>
      </c>
      <c r="BL51" s="68" t="str">
        <f t="shared" ca="1" si="28"/>
        <v>NO</v>
      </c>
      <c r="BM51" s="68" t="str">
        <f t="shared" ca="1" si="28"/>
        <v>NO</v>
      </c>
      <c r="BN51" s="68" t="str">
        <f t="shared" ca="1" si="28"/>
        <v>NO</v>
      </c>
      <c r="BO51" s="68" t="str">
        <f t="shared" ca="1" si="28"/>
        <v>NO</v>
      </c>
      <c r="BP51" s="68" t="str">
        <f t="shared" ca="1" si="28"/>
        <v>NO</v>
      </c>
      <c r="BQ51" s="68" t="str">
        <f t="shared" ca="1" si="28"/>
        <v>NO</v>
      </c>
      <c r="BR51" s="68" t="str">
        <f t="shared" ca="1" si="28"/>
        <v>NO</v>
      </c>
      <c r="BS51" s="68" t="str">
        <f t="shared" ca="1" si="28"/>
        <v>NO</v>
      </c>
      <c r="BT51" s="68" t="str">
        <f t="shared" ca="1" si="28"/>
        <v>NO</v>
      </c>
      <c r="BU51" s="68" t="str">
        <f t="shared" ca="1" si="28"/>
        <v>NO</v>
      </c>
      <c r="BV51" s="68" t="str">
        <f t="shared" ref="BV51:DE51" ca="1" si="29">IF(BV42&lt;1.5,"NO","YES")</f>
        <v>NO</v>
      </c>
      <c r="BW51" s="68" t="str">
        <f t="shared" ca="1" si="29"/>
        <v>NO</v>
      </c>
      <c r="BX51" s="68" t="str">
        <f t="shared" ca="1" si="29"/>
        <v>NO</v>
      </c>
      <c r="BY51" s="68" t="str">
        <f t="shared" ca="1" si="29"/>
        <v>NO</v>
      </c>
      <c r="BZ51" s="68" t="str">
        <f t="shared" ca="1" si="29"/>
        <v>NO</v>
      </c>
      <c r="CA51" s="68" t="str">
        <f t="shared" ca="1" si="29"/>
        <v>NO</v>
      </c>
      <c r="CB51" s="68" t="str">
        <f t="shared" ca="1" si="29"/>
        <v>NO</v>
      </c>
      <c r="CC51" s="68" t="str">
        <f t="shared" ca="1" si="29"/>
        <v>NO</v>
      </c>
      <c r="CD51" s="68" t="str">
        <f t="shared" ca="1" si="29"/>
        <v>NO</v>
      </c>
      <c r="CE51" s="68" t="str">
        <f t="shared" ca="1" si="29"/>
        <v>NO</v>
      </c>
      <c r="CF51" s="68" t="str">
        <f t="shared" ca="1" si="29"/>
        <v>NO</v>
      </c>
      <c r="CG51" s="68" t="str">
        <f t="shared" ca="1" si="29"/>
        <v>NO</v>
      </c>
      <c r="CH51" s="68" t="str">
        <f t="shared" ca="1" si="29"/>
        <v>NO</v>
      </c>
      <c r="CI51" s="68" t="str">
        <f t="shared" ca="1" si="29"/>
        <v>NO</v>
      </c>
      <c r="CJ51" s="68" t="str">
        <f t="shared" ca="1" si="29"/>
        <v>NO</v>
      </c>
      <c r="CK51" s="68" t="str">
        <f t="shared" ca="1" si="29"/>
        <v>NO</v>
      </c>
      <c r="CL51" s="68" t="str">
        <f t="shared" ca="1" si="29"/>
        <v>NO</v>
      </c>
      <c r="CM51" s="68" t="str">
        <f t="shared" ca="1" si="29"/>
        <v>NO</v>
      </c>
      <c r="CN51" s="68" t="str">
        <f t="shared" ca="1" si="29"/>
        <v>NO</v>
      </c>
      <c r="CO51" s="68" t="str">
        <f t="shared" ca="1" si="29"/>
        <v>NO</v>
      </c>
      <c r="CP51" s="68" t="str">
        <f t="shared" ca="1" si="29"/>
        <v>NO</v>
      </c>
      <c r="CQ51" s="68" t="str">
        <f t="shared" ca="1" si="29"/>
        <v>NO</v>
      </c>
      <c r="CR51" s="68" t="str">
        <f t="shared" ca="1" si="29"/>
        <v>NO</v>
      </c>
      <c r="CS51" s="68" t="str">
        <f t="shared" ca="1" si="29"/>
        <v>NO</v>
      </c>
      <c r="CT51" s="68" t="str">
        <f t="shared" ca="1" si="29"/>
        <v>NO</v>
      </c>
      <c r="CU51" s="68" t="str">
        <f t="shared" ca="1" si="29"/>
        <v>NO</v>
      </c>
      <c r="CV51" s="68" t="str">
        <f t="shared" ca="1" si="29"/>
        <v>NO</v>
      </c>
      <c r="CW51" s="68" t="str">
        <f t="shared" ca="1" si="29"/>
        <v>NO</v>
      </c>
      <c r="CX51" s="68" t="str">
        <f t="shared" ca="1" si="29"/>
        <v>NO</v>
      </c>
      <c r="CY51" s="68" t="str">
        <f t="shared" ca="1" si="29"/>
        <v>NO</v>
      </c>
      <c r="CZ51" s="68" t="str">
        <f t="shared" ca="1" si="29"/>
        <v>NO</v>
      </c>
      <c r="DA51" s="68" t="str">
        <f t="shared" ca="1" si="29"/>
        <v>NO</v>
      </c>
      <c r="DB51" s="68" t="str">
        <f t="shared" ca="1" si="29"/>
        <v>NO</v>
      </c>
      <c r="DC51" s="68" t="str">
        <f t="shared" ca="1" si="29"/>
        <v>NO</v>
      </c>
      <c r="DD51" s="68" t="str">
        <f t="shared" ca="1" si="29"/>
        <v>NO</v>
      </c>
      <c r="DE51" s="68" t="str">
        <f t="shared" ca="1" si="29"/>
        <v>NO</v>
      </c>
    </row>
    <row r="52" spans="3:109" x14ac:dyDescent="0.15">
      <c r="D52" s="5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69"/>
      <c r="CL52" s="69"/>
      <c r="CM52" s="69"/>
      <c r="CN52" s="69"/>
      <c r="CO52" s="69"/>
      <c r="CP52" s="69"/>
      <c r="CQ52" s="69"/>
      <c r="CR52" s="69"/>
      <c r="CS52" s="69"/>
      <c r="CT52" s="69"/>
      <c r="CU52" s="69"/>
      <c r="CV52" s="69"/>
      <c r="CW52" s="69"/>
      <c r="CX52" s="69"/>
      <c r="CY52" s="69"/>
      <c r="CZ52" s="69"/>
      <c r="DA52" s="69"/>
      <c r="DB52" s="69"/>
      <c r="DC52" s="69"/>
      <c r="DD52" s="69"/>
      <c r="DE52" s="69"/>
    </row>
    <row r="53" spans="3:109" x14ac:dyDescent="0.15">
      <c r="C53" t="s">
        <v>226</v>
      </c>
      <c r="D53" s="5"/>
      <c r="J53" s="68" t="str">
        <f t="shared" ref="J53:BU53" si="30">IF(J44&lt;0.3,"NO","YES")</f>
        <v>YES</v>
      </c>
      <c r="K53" s="68" t="str">
        <f t="shared" si="30"/>
        <v>YES</v>
      </c>
      <c r="L53" s="68" t="str">
        <f t="shared" si="30"/>
        <v>YES</v>
      </c>
      <c r="M53" s="68" t="str">
        <f t="shared" si="30"/>
        <v>YES</v>
      </c>
      <c r="N53" s="68" t="str">
        <f t="shared" si="30"/>
        <v>YES</v>
      </c>
      <c r="O53" s="68" t="str">
        <f t="shared" si="30"/>
        <v>YES</v>
      </c>
      <c r="P53" s="68" t="str">
        <f t="shared" si="30"/>
        <v>YES</v>
      </c>
      <c r="Q53" s="68" t="str">
        <f t="shared" si="30"/>
        <v>YES</v>
      </c>
      <c r="R53" s="68" t="str">
        <f t="shared" si="30"/>
        <v>YES</v>
      </c>
      <c r="S53" s="68" t="str">
        <f t="shared" si="30"/>
        <v>YES</v>
      </c>
      <c r="T53" s="68" t="str">
        <f t="shared" si="30"/>
        <v>YES</v>
      </c>
      <c r="U53" s="68" t="str">
        <f t="shared" si="30"/>
        <v>YES</v>
      </c>
      <c r="V53" s="68" t="str">
        <f t="shared" si="30"/>
        <v>NO</v>
      </c>
      <c r="W53" s="68" t="str">
        <f t="shared" si="30"/>
        <v>NO</v>
      </c>
      <c r="X53" s="68" t="str">
        <f t="shared" si="30"/>
        <v>NO</v>
      </c>
      <c r="Y53" s="68" t="str">
        <f t="shared" si="30"/>
        <v>NO</v>
      </c>
      <c r="Z53" s="68" t="str">
        <f t="shared" si="30"/>
        <v>NO</v>
      </c>
      <c r="AA53" s="68" t="str">
        <f t="shared" si="30"/>
        <v>NO</v>
      </c>
      <c r="AB53" s="68" t="str">
        <f t="shared" si="30"/>
        <v>NO</v>
      </c>
      <c r="AC53" s="68" t="str">
        <f t="shared" si="30"/>
        <v>NO</v>
      </c>
      <c r="AD53" s="68" t="str">
        <f t="shared" si="30"/>
        <v>NO</v>
      </c>
      <c r="AE53" s="68" t="str">
        <f t="shared" si="30"/>
        <v>NO</v>
      </c>
      <c r="AF53" s="68" t="str">
        <f t="shared" si="30"/>
        <v>NO</v>
      </c>
      <c r="AG53" s="68" t="str">
        <f t="shared" si="30"/>
        <v>NO</v>
      </c>
      <c r="AH53" s="68" t="str">
        <f t="shared" si="30"/>
        <v>NO</v>
      </c>
      <c r="AI53" s="68" t="str">
        <f t="shared" si="30"/>
        <v>NO</v>
      </c>
      <c r="AJ53" s="68" t="str">
        <f t="shared" si="30"/>
        <v>NO</v>
      </c>
      <c r="AK53" s="68" t="str">
        <f t="shared" si="30"/>
        <v>NO</v>
      </c>
      <c r="AL53" s="68" t="str">
        <f t="shared" si="30"/>
        <v>NO</v>
      </c>
      <c r="AM53" s="68" t="str">
        <f t="shared" si="30"/>
        <v>NO</v>
      </c>
      <c r="AN53" s="68" t="str">
        <f t="shared" si="30"/>
        <v>NO</v>
      </c>
      <c r="AO53" s="68" t="str">
        <f t="shared" si="30"/>
        <v>NO</v>
      </c>
      <c r="AP53" s="68" t="str">
        <f t="shared" si="30"/>
        <v>NO</v>
      </c>
      <c r="AQ53" s="68" t="str">
        <f t="shared" si="30"/>
        <v>NO</v>
      </c>
      <c r="AR53" s="68" t="str">
        <f t="shared" si="30"/>
        <v>NO</v>
      </c>
      <c r="AS53" s="68" t="str">
        <f t="shared" si="30"/>
        <v>NO</v>
      </c>
      <c r="AT53" s="68" t="str">
        <f t="shared" si="30"/>
        <v>NO</v>
      </c>
      <c r="AU53" s="68" t="str">
        <f t="shared" si="30"/>
        <v>NO</v>
      </c>
      <c r="AV53" s="68" t="str">
        <f t="shared" si="30"/>
        <v>NO</v>
      </c>
      <c r="AW53" s="68" t="str">
        <f t="shared" si="30"/>
        <v>NO</v>
      </c>
      <c r="AX53" s="68" t="str">
        <f t="shared" si="30"/>
        <v>NO</v>
      </c>
      <c r="AY53" s="68" t="str">
        <f t="shared" si="30"/>
        <v>NO</v>
      </c>
      <c r="AZ53" s="68" t="str">
        <f t="shared" si="30"/>
        <v>NO</v>
      </c>
      <c r="BA53" s="68" t="str">
        <f t="shared" si="30"/>
        <v>NO</v>
      </c>
      <c r="BB53" s="68" t="str">
        <f t="shared" si="30"/>
        <v>NO</v>
      </c>
      <c r="BC53" s="68" t="str">
        <f t="shared" si="30"/>
        <v>NO</v>
      </c>
      <c r="BD53" s="68" t="str">
        <f t="shared" si="30"/>
        <v>NO</v>
      </c>
      <c r="BE53" s="68" t="str">
        <f t="shared" si="30"/>
        <v>NO</v>
      </c>
      <c r="BF53" s="68" t="str">
        <f t="shared" si="30"/>
        <v>NO</v>
      </c>
      <c r="BG53" s="68" t="str">
        <f t="shared" si="30"/>
        <v>NO</v>
      </c>
      <c r="BH53" s="68" t="str">
        <f t="shared" si="30"/>
        <v>NO</v>
      </c>
      <c r="BI53" s="68" t="str">
        <f t="shared" si="30"/>
        <v>NO</v>
      </c>
      <c r="BJ53" s="68" t="str">
        <f t="shared" si="30"/>
        <v>NO</v>
      </c>
      <c r="BK53" s="68" t="str">
        <f t="shared" si="30"/>
        <v>NO</v>
      </c>
      <c r="BL53" s="68" t="str">
        <f t="shared" si="30"/>
        <v>NO</v>
      </c>
      <c r="BM53" s="68" t="str">
        <f t="shared" si="30"/>
        <v>NO</v>
      </c>
      <c r="BN53" s="68" t="str">
        <f t="shared" si="30"/>
        <v>NO</v>
      </c>
      <c r="BO53" s="68" t="str">
        <f t="shared" si="30"/>
        <v>NO</v>
      </c>
      <c r="BP53" s="68" t="str">
        <f t="shared" si="30"/>
        <v>NO</v>
      </c>
      <c r="BQ53" s="68" t="str">
        <f t="shared" si="30"/>
        <v>NO</v>
      </c>
      <c r="BR53" s="68" t="str">
        <f t="shared" si="30"/>
        <v>NO</v>
      </c>
      <c r="BS53" s="68" t="str">
        <f t="shared" si="30"/>
        <v>NO</v>
      </c>
      <c r="BT53" s="68" t="str">
        <f t="shared" si="30"/>
        <v>NO</v>
      </c>
      <c r="BU53" s="68" t="str">
        <f t="shared" si="30"/>
        <v>NO</v>
      </c>
      <c r="BV53" s="68" t="str">
        <f t="shared" ref="BV53:DE53" si="31">IF(BV44&lt;0.3,"NO","YES")</f>
        <v>NO</v>
      </c>
      <c r="BW53" s="68" t="str">
        <f t="shared" si="31"/>
        <v>NO</v>
      </c>
      <c r="BX53" s="68" t="str">
        <f t="shared" si="31"/>
        <v>NO</v>
      </c>
      <c r="BY53" s="68" t="str">
        <f t="shared" si="31"/>
        <v>NO</v>
      </c>
      <c r="BZ53" s="68" t="str">
        <f t="shared" si="31"/>
        <v>NO</v>
      </c>
      <c r="CA53" s="68" t="str">
        <f t="shared" si="31"/>
        <v>NO</v>
      </c>
      <c r="CB53" s="68" t="str">
        <f t="shared" si="31"/>
        <v>NO</v>
      </c>
      <c r="CC53" s="68" t="str">
        <f t="shared" si="31"/>
        <v>NO</v>
      </c>
      <c r="CD53" s="68" t="str">
        <f t="shared" si="31"/>
        <v>NO</v>
      </c>
      <c r="CE53" s="68" t="str">
        <f t="shared" si="31"/>
        <v>NO</v>
      </c>
      <c r="CF53" s="68" t="str">
        <f t="shared" si="31"/>
        <v>NO</v>
      </c>
      <c r="CG53" s="68" t="str">
        <f t="shared" si="31"/>
        <v>NO</v>
      </c>
      <c r="CH53" s="68" t="str">
        <f t="shared" si="31"/>
        <v>NO</v>
      </c>
      <c r="CI53" s="68" t="str">
        <f t="shared" si="31"/>
        <v>NO</v>
      </c>
      <c r="CJ53" s="68" t="str">
        <f t="shared" si="31"/>
        <v>NO</v>
      </c>
      <c r="CK53" s="68" t="str">
        <f t="shared" si="31"/>
        <v>NO</v>
      </c>
      <c r="CL53" s="68" t="str">
        <f t="shared" si="31"/>
        <v>NO</v>
      </c>
      <c r="CM53" s="68" t="str">
        <f t="shared" si="31"/>
        <v>NO</v>
      </c>
      <c r="CN53" s="68" t="str">
        <f t="shared" si="31"/>
        <v>NO</v>
      </c>
      <c r="CO53" s="68" t="str">
        <f t="shared" si="31"/>
        <v>NO</v>
      </c>
      <c r="CP53" s="68" t="str">
        <f t="shared" si="31"/>
        <v>NO</v>
      </c>
      <c r="CQ53" s="68" t="str">
        <f t="shared" si="31"/>
        <v>NO</v>
      </c>
      <c r="CR53" s="68" t="str">
        <f t="shared" si="31"/>
        <v>NO</v>
      </c>
      <c r="CS53" s="68" t="str">
        <f t="shared" si="31"/>
        <v>NO</v>
      </c>
      <c r="CT53" s="68" t="str">
        <f t="shared" si="31"/>
        <v>NO</v>
      </c>
      <c r="CU53" s="68" t="str">
        <f t="shared" si="31"/>
        <v>NO</v>
      </c>
      <c r="CV53" s="68" t="str">
        <f t="shared" si="31"/>
        <v>NO</v>
      </c>
      <c r="CW53" s="68" t="str">
        <f t="shared" si="31"/>
        <v>NO</v>
      </c>
      <c r="CX53" s="68" t="str">
        <f t="shared" si="31"/>
        <v>NO</v>
      </c>
      <c r="CY53" s="68" t="str">
        <f t="shared" si="31"/>
        <v>NO</v>
      </c>
      <c r="CZ53" s="68" t="str">
        <f t="shared" si="31"/>
        <v>NO</v>
      </c>
      <c r="DA53" s="68" t="str">
        <f t="shared" si="31"/>
        <v>NO</v>
      </c>
      <c r="DB53" s="68" t="str">
        <f t="shared" si="31"/>
        <v>NO</v>
      </c>
      <c r="DC53" s="68" t="str">
        <f t="shared" si="31"/>
        <v>NO</v>
      </c>
      <c r="DD53" s="68" t="str">
        <f t="shared" si="31"/>
        <v>NO</v>
      </c>
      <c r="DE53" s="68" t="str">
        <f t="shared" si="31"/>
        <v>NO</v>
      </c>
    </row>
    <row r="54" spans="3:109" x14ac:dyDescent="0.15">
      <c r="D54" s="5"/>
    </row>
    <row r="55" spans="3:109" x14ac:dyDescent="0.15">
      <c r="D55" s="5"/>
    </row>
    <row r="56" spans="3:109" x14ac:dyDescent="0.15">
      <c r="D56" s="5"/>
    </row>
    <row r="57" spans="3:109" x14ac:dyDescent="0.15">
      <c r="D57" s="5"/>
    </row>
    <row r="58" spans="3:109" x14ac:dyDescent="0.15">
      <c r="D58" s="5"/>
    </row>
    <row r="59" spans="3:109" x14ac:dyDescent="0.15">
      <c r="D59" s="5"/>
    </row>
    <row r="60" spans="3:109" collapsed="1" x14ac:dyDescent="0.15">
      <c r="D60" s="5"/>
    </row>
    <row r="61" spans="3:109" x14ac:dyDescent="0.15">
      <c r="D61" s="5"/>
    </row>
    <row r="62" spans="3:109" x14ac:dyDescent="0.15">
      <c r="D62" s="5"/>
    </row>
    <row r="63" spans="3:109" x14ac:dyDescent="0.15">
      <c r="D63" s="5"/>
    </row>
    <row r="64" spans="3:109" x14ac:dyDescent="0.15">
      <c r="D64" s="5"/>
    </row>
    <row r="65" spans="4:4" x14ac:dyDescent="0.15">
      <c r="D65" s="5"/>
    </row>
    <row r="66" spans="4:4" x14ac:dyDescent="0.15">
      <c r="D66" s="5"/>
    </row>
    <row r="67" spans="4:4" x14ac:dyDescent="0.15">
      <c r="D67" s="5"/>
    </row>
    <row r="68" spans="4:4" ht="14.25" customHeight="1" x14ac:dyDescent="0.15">
      <c r="D68" s="5"/>
    </row>
    <row r="69" spans="4:4" x14ac:dyDescent="0.15">
      <c r="D69" s="5"/>
    </row>
    <row r="70" spans="4:4" x14ac:dyDescent="0.15">
      <c r="D70" s="5"/>
    </row>
    <row r="71" spans="4:4" x14ac:dyDescent="0.15">
      <c r="D71" s="5"/>
    </row>
    <row r="72" spans="4:4" x14ac:dyDescent="0.15">
      <c r="D72" s="5"/>
    </row>
    <row r="73" spans="4:4" x14ac:dyDescent="0.15">
      <c r="D73" s="5"/>
    </row>
    <row r="74" spans="4:4" x14ac:dyDescent="0.15">
      <c r="D74" s="5"/>
    </row>
    <row r="75" spans="4:4" x14ac:dyDescent="0.15">
      <c r="D75" s="5"/>
    </row>
    <row r="76" spans="4:4" x14ac:dyDescent="0.15">
      <c r="D76" s="5"/>
    </row>
    <row r="77" spans="4:4" x14ac:dyDescent="0.15">
      <c r="D77" s="5"/>
    </row>
    <row r="78" spans="4:4" x14ac:dyDescent="0.15">
      <c r="D78" s="5"/>
    </row>
    <row r="79" spans="4:4" x14ac:dyDescent="0.15">
      <c r="D79" s="5"/>
    </row>
    <row r="80" spans="4:4" x14ac:dyDescent="0.15">
      <c r="D80" s="5"/>
    </row>
    <row r="81" spans="4:4" x14ac:dyDescent="0.15">
      <c r="D81" s="5"/>
    </row>
    <row r="82" spans="4:4" x14ac:dyDescent="0.15">
      <c r="D82" s="5"/>
    </row>
    <row r="83" spans="4:4" x14ac:dyDescent="0.15">
      <c r="D83" s="5"/>
    </row>
    <row r="84" spans="4:4" x14ac:dyDescent="0.15">
      <c r="D84" s="5"/>
    </row>
    <row r="85" spans="4:4" x14ac:dyDescent="0.15">
      <c r="D85" s="5"/>
    </row>
    <row r="86" spans="4:4" x14ac:dyDescent="0.15">
      <c r="D86" s="5"/>
    </row>
    <row r="87" spans="4:4" x14ac:dyDescent="0.15">
      <c r="D87" s="5"/>
    </row>
  </sheetData>
  <conditionalFormatting sqref="J5:DE8">
    <cfRule type="cellIs" dxfId="15" priority="3" operator="equal">
      <formula>1</formula>
    </cfRule>
  </conditionalFormatting>
  <conditionalFormatting sqref="J48:DE49">
    <cfRule type="containsText" dxfId="14" priority="1" stopIfTrue="1" operator="containsText" text="NO">
      <formula>NOT(ISERROR(SEARCH("NO",J48)))</formula>
    </cfRule>
    <cfRule type="containsText" dxfId="13" priority="2" stopIfTrue="1" operator="containsText" text="YES">
      <formula>NOT(ISERROR(SEARCH("YES",J48)))</formula>
    </cfRule>
  </conditionalFormatting>
  <conditionalFormatting sqref="J51:DE51">
    <cfRule type="containsText" dxfId="12" priority="7" stopIfTrue="1" operator="containsText" text="YES">
      <formula>NOT(ISERROR(SEARCH("YES",J51)))</formula>
    </cfRule>
    <cfRule type="containsText" dxfId="11" priority="6" stopIfTrue="1" operator="containsText" text="NO">
      <formula>NOT(ISERROR(SEARCH("NO",J51)))</formula>
    </cfRule>
  </conditionalFormatting>
  <conditionalFormatting sqref="J53:DE53">
    <cfRule type="containsText" dxfId="10" priority="5" stopIfTrue="1" operator="containsText" text="YES">
      <formula>NOT(ISERROR(SEARCH("YES",J53)))</formula>
    </cfRule>
    <cfRule type="containsText" dxfId="9" priority="4" stopIfTrue="1" operator="containsText" text="NO">
      <formula>NOT(ISERROR(SEARCH("NO",J53)))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C8D33-2298-43F3-9A96-9A8F329CF53F}">
  <sheetPr>
    <tabColor theme="6"/>
    <outlinePr summaryBelow="0"/>
  </sheetPr>
  <dimension ref="A1:EE199"/>
  <sheetViews>
    <sheetView showGridLines="0" zoomScale="110" zoomScaleNormal="110" workbookViewId="0">
      <pane xSplit="9" ySplit="1" topLeftCell="J2" activePane="bottomRight" state="frozen"/>
      <selection activeCell="J18" sqref="J18:K18"/>
      <selection pane="topRight" activeCell="J18" sqref="J18:K18"/>
      <selection pane="bottomLeft" activeCell="J18" sqref="J18:K18"/>
      <selection pane="bottomRight" activeCell="D177" sqref="D177"/>
    </sheetView>
  </sheetViews>
  <sheetFormatPr baseColWidth="10" defaultColWidth="0" defaultRowHeight="13" x14ac:dyDescent="0.15"/>
  <cols>
    <col min="1" max="2" width="2.6640625" customWidth="1"/>
    <col min="3" max="3" width="48.33203125" customWidth="1"/>
    <col min="4" max="4" width="22.6640625" customWidth="1"/>
    <col min="5" max="5" width="15.6640625" customWidth="1"/>
    <col min="6" max="6" width="1" customWidth="1"/>
    <col min="7" max="7" width="0.83203125" customWidth="1"/>
    <col min="8" max="8" width="1" customWidth="1"/>
    <col min="9" max="16" width="17.1640625" customWidth="1"/>
    <col min="17" max="109" width="14.83203125" customWidth="1"/>
    <col min="110" max="110" width="3.5" customWidth="1"/>
    <col min="111" max="135" width="9.6640625" hidden="1" customWidth="1"/>
    <col min="136" max="16384" width="9.1640625" hidden="1"/>
  </cols>
  <sheetData>
    <row r="1" spans="1:109" ht="23" x14ac:dyDescent="0.25">
      <c r="A1" s="16" t="s">
        <v>227</v>
      </c>
    </row>
    <row r="3" spans="1:109" ht="20" x14ac:dyDescent="0.2">
      <c r="C3" s="4" t="s">
        <v>15</v>
      </c>
    </row>
    <row r="4" spans="1:109" ht="13.5" customHeight="1" x14ac:dyDescent="0.15">
      <c r="C4" t="s">
        <v>85</v>
      </c>
      <c r="D4" s="5" t="s">
        <v>8</v>
      </c>
      <c r="E4" s="17" t="s">
        <v>91</v>
      </c>
      <c r="J4">
        <v>1</v>
      </c>
      <c r="K4">
        <f>J4+1</f>
        <v>2</v>
      </c>
      <c r="L4">
        <f t="shared" ref="L4:BW4" si="0">K4+1</f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>
        <f t="shared" si="0"/>
        <v>31</v>
      </c>
      <c r="AO4">
        <f t="shared" si="0"/>
        <v>32</v>
      </c>
      <c r="AP4">
        <f t="shared" si="0"/>
        <v>33</v>
      </c>
      <c r="AQ4">
        <f t="shared" si="0"/>
        <v>34</v>
      </c>
      <c r="AR4">
        <f t="shared" si="0"/>
        <v>35</v>
      </c>
      <c r="AS4">
        <f t="shared" si="0"/>
        <v>36</v>
      </c>
      <c r="AT4">
        <f t="shared" si="0"/>
        <v>37</v>
      </c>
      <c r="AU4">
        <f t="shared" si="0"/>
        <v>38</v>
      </c>
      <c r="AV4">
        <f t="shared" si="0"/>
        <v>39</v>
      </c>
      <c r="AW4">
        <f t="shared" si="0"/>
        <v>40</v>
      </c>
      <c r="AX4">
        <f t="shared" si="0"/>
        <v>41</v>
      </c>
      <c r="AY4">
        <f t="shared" si="0"/>
        <v>42</v>
      </c>
      <c r="AZ4">
        <f t="shared" si="0"/>
        <v>43</v>
      </c>
      <c r="BA4">
        <f t="shared" si="0"/>
        <v>44</v>
      </c>
      <c r="BB4">
        <f t="shared" si="0"/>
        <v>45</v>
      </c>
      <c r="BC4">
        <f t="shared" si="0"/>
        <v>46</v>
      </c>
      <c r="BD4">
        <f t="shared" si="0"/>
        <v>47</v>
      </c>
      <c r="BE4">
        <f t="shared" si="0"/>
        <v>48</v>
      </c>
      <c r="BF4">
        <f t="shared" si="0"/>
        <v>49</v>
      </c>
      <c r="BG4">
        <f t="shared" si="0"/>
        <v>50</v>
      </c>
      <c r="BH4">
        <f t="shared" si="0"/>
        <v>51</v>
      </c>
      <c r="BI4">
        <f t="shared" si="0"/>
        <v>52</v>
      </c>
      <c r="BJ4">
        <f t="shared" si="0"/>
        <v>53</v>
      </c>
      <c r="BK4">
        <f t="shared" si="0"/>
        <v>54</v>
      </c>
      <c r="BL4">
        <f t="shared" si="0"/>
        <v>55</v>
      </c>
      <c r="BM4">
        <f t="shared" si="0"/>
        <v>56</v>
      </c>
      <c r="BN4">
        <f t="shared" si="0"/>
        <v>57</v>
      </c>
      <c r="BO4">
        <f t="shared" si="0"/>
        <v>58</v>
      </c>
      <c r="BP4">
        <f t="shared" si="0"/>
        <v>59</v>
      </c>
      <c r="BQ4">
        <f t="shared" si="0"/>
        <v>60</v>
      </c>
      <c r="BR4">
        <f t="shared" si="0"/>
        <v>61</v>
      </c>
      <c r="BS4">
        <f t="shared" si="0"/>
        <v>62</v>
      </c>
      <c r="BT4">
        <f t="shared" si="0"/>
        <v>63</v>
      </c>
      <c r="BU4">
        <f t="shared" si="0"/>
        <v>64</v>
      </c>
      <c r="BV4">
        <f t="shared" si="0"/>
        <v>65</v>
      </c>
      <c r="BW4">
        <f t="shared" si="0"/>
        <v>66</v>
      </c>
      <c r="BX4">
        <f t="shared" ref="BX4:DE4" si="1">BW4+1</f>
        <v>67</v>
      </c>
      <c r="BY4">
        <f t="shared" si="1"/>
        <v>68</v>
      </c>
      <c r="BZ4">
        <f t="shared" si="1"/>
        <v>69</v>
      </c>
      <c r="CA4">
        <f t="shared" si="1"/>
        <v>70</v>
      </c>
      <c r="CB4">
        <f t="shared" si="1"/>
        <v>71</v>
      </c>
      <c r="CC4">
        <f t="shared" si="1"/>
        <v>72</v>
      </c>
      <c r="CD4">
        <f t="shared" si="1"/>
        <v>73</v>
      </c>
      <c r="CE4">
        <f t="shared" si="1"/>
        <v>74</v>
      </c>
      <c r="CF4">
        <f t="shared" si="1"/>
        <v>75</v>
      </c>
      <c r="CG4">
        <f t="shared" si="1"/>
        <v>76</v>
      </c>
      <c r="CH4">
        <f t="shared" si="1"/>
        <v>77</v>
      </c>
      <c r="CI4">
        <f t="shared" si="1"/>
        <v>78</v>
      </c>
      <c r="CJ4">
        <f t="shared" si="1"/>
        <v>79</v>
      </c>
      <c r="CK4">
        <f t="shared" si="1"/>
        <v>80</v>
      </c>
      <c r="CL4">
        <f t="shared" si="1"/>
        <v>81</v>
      </c>
      <c r="CM4">
        <f t="shared" si="1"/>
        <v>82</v>
      </c>
      <c r="CN4">
        <f t="shared" si="1"/>
        <v>83</v>
      </c>
      <c r="CO4">
        <f t="shared" si="1"/>
        <v>84</v>
      </c>
      <c r="CP4">
        <f t="shared" si="1"/>
        <v>85</v>
      </c>
      <c r="CQ4">
        <f t="shared" si="1"/>
        <v>86</v>
      </c>
      <c r="CR4">
        <f t="shared" si="1"/>
        <v>87</v>
      </c>
      <c r="CS4">
        <f t="shared" si="1"/>
        <v>88</v>
      </c>
      <c r="CT4">
        <f t="shared" si="1"/>
        <v>89</v>
      </c>
      <c r="CU4">
        <f t="shared" si="1"/>
        <v>90</v>
      </c>
      <c r="CV4">
        <f t="shared" si="1"/>
        <v>91</v>
      </c>
      <c r="CW4">
        <f t="shared" si="1"/>
        <v>92</v>
      </c>
      <c r="CX4">
        <f t="shared" si="1"/>
        <v>93</v>
      </c>
      <c r="CY4">
        <f t="shared" si="1"/>
        <v>94</v>
      </c>
      <c r="CZ4">
        <f t="shared" si="1"/>
        <v>95</v>
      </c>
      <c r="DA4">
        <f t="shared" si="1"/>
        <v>96</v>
      </c>
      <c r="DB4">
        <f t="shared" si="1"/>
        <v>97</v>
      </c>
      <c r="DC4">
        <f t="shared" si="1"/>
        <v>98</v>
      </c>
      <c r="DD4">
        <f t="shared" si="1"/>
        <v>99</v>
      </c>
      <c r="DE4">
        <f t="shared" si="1"/>
        <v>100</v>
      </c>
    </row>
    <row r="5" spans="1:109" ht="13.5" customHeight="1" x14ac:dyDescent="0.15">
      <c r="C5" t="s">
        <v>90</v>
      </c>
      <c r="D5" s="5" t="s">
        <v>22</v>
      </c>
      <c r="E5" s="8">
        <f>Debt!E5</f>
        <v>4</v>
      </c>
      <c r="J5" s="13">
        <f>IF(J4&lt;=$E$5,1,0)</f>
        <v>1</v>
      </c>
      <c r="K5" s="13">
        <f t="shared" ref="K5:BV5" si="2">IF(K4&lt;=$E$5,1,0)</f>
        <v>1</v>
      </c>
      <c r="L5" s="13">
        <f t="shared" si="2"/>
        <v>1</v>
      </c>
      <c r="M5" s="13">
        <f t="shared" si="2"/>
        <v>1</v>
      </c>
      <c r="N5" s="13">
        <f t="shared" si="2"/>
        <v>0</v>
      </c>
      <c r="O5" s="13">
        <f t="shared" si="2"/>
        <v>0</v>
      </c>
      <c r="P5" s="13">
        <f t="shared" si="2"/>
        <v>0</v>
      </c>
      <c r="Q5" s="13">
        <f t="shared" si="2"/>
        <v>0</v>
      </c>
      <c r="R5" s="13">
        <f t="shared" si="2"/>
        <v>0</v>
      </c>
      <c r="S5" s="13">
        <f t="shared" si="2"/>
        <v>0</v>
      </c>
      <c r="T5" s="13">
        <f t="shared" si="2"/>
        <v>0</v>
      </c>
      <c r="U5" s="13">
        <f t="shared" si="2"/>
        <v>0</v>
      </c>
      <c r="V5" s="13">
        <f t="shared" si="2"/>
        <v>0</v>
      </c>
      <c r="W5" s="13">
        <f t="shared" si="2"/>
        <v>0</v>
      </c>
      <c r="X5" s="13">
        <f t="shared" si="2"/>
        <v>0</v>
      </c>
      <c r="Y5" s="13">
        <f t="shared" si="2"/>
        <v>0</v>
      </c>
      <c r="Z5" s="13">
        <f t="shared" si="2"/>
        <v>0</v>
      </c>
      <c r="AA5" s="13">
        <f t="shared" si="2"/>
        <v>0</v>
      </c>
      <c r="AB5" s="13">
        <f t="shared" si="2"/>
        <v>0</v>
      </c>
      <c r="AC5" s="13">
        <f t="shared" si="2"/>
        <v>0</v>
      </c>
      <c r="AD5" s="13">
        <f t="shared" si="2"/>
        <v>0</v>
      </c>
      <c r="AE5" s="13">
        <f t="shared" si="2"/>
        <v>0</v>
      </c>
      <c r="AF5" s="13">
        <f t="shared" si="2"/>
        <v>0</v>
      </c>
      <c r="AG5" s="13">
        <f t="shared" si="2"/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  <c r="AM5" s="13">
        <f t="shared" si="2"/>
        <v>0</v>
      </c>
      <c r="AN5" s="13">
        <f t="shared" si="2"/>
        <v>0</v>
      </c>
      <c r="AO5" s="13">
        <f t="shared" si="2"/>
        <v>0</v>
      </c>
      <c r="AP5" s="13">
        <f t="shared" si="2"/>
        <v>0</v>
      </c>
      <c r="AQ5" s="13">
        <f t="shared" si="2"/>
        <v>0</v>
      </c>
      <c r="AR5" s="13">
        <f t="shared" si="2"/>
        <v>0</v>
      </c>
      <c r="AS5" s="13">
        <f t="shared" si="2"/>
        <v>0</v>
      </c>
      <c r="AT5" s="13">
        <f t="shared" si="2"/>
        <v>0</v>
      </c>
      <c r="AU5" s="13">
        <f t="shared" si="2"/>
        <v>0</v>
      </c>
      <c r="AV5" s="13">
        <f t="shared" si="2"/>
        <v>0</v>
      </c>
      <c r="AW5" s="13">
        <f t="shared" si="2"/>
        <v>0</v>
      </c>
      <c r="AX5" s="13">
        <f t="shared" si="2"/>
        <v>0</v>
      </c>
      <c r="AY5" s="13">
        <f t="shared" si="2"/>
        <v>0</v>
      </c>
      <c r="AZ5" s="13">
        <f t="shared" si="2"/>
        <v>0</v>
      </c>
      <c r="BA5" s="13">
        <f t="shared" si="2"/>
        <v>0</v>
      </c>
      <c r="BB5" s="13">
        <f t="shared" si="2"/>
        <v>0</v>
      </c>
      <c r="BC5" s="13">
        <f t="shared" si="2"/>
        <v>0</v>
      </c>
      <c r="BD5" s="13">
        <f t="shared" si="2"/>
        <v>0</v>
      </c>
      <c r="BE5" s="13">
        <f t="shared" si="2"/>
        <v>0</v>
      </c>
      <c r="BF5" s="13">
        <f t="shared" si="2"/>
        <v>0</v>
      </c>
      <c r="BG5" s="13">
        <f t="shared" si="2"/>
        <v>0</v>
      </c>
      <c r="BH5" s="13">
        <f t="shared" si="2"/>
        <v>0</v>
      </c>
      <c r="BI5" s="13">
        <f t="shared" si="2"/>
        <v>0</v>
      </c>
      <c r="BJ5" s="13">
        <f t="shared" si="2"/>
        <v>0</v>
      </c>
      <c r="BK5" s="13">
        <f t="shared" si="2"/>
        <v>0</v>
      </c>
      <c r="BL5" s="13">
        <f t="shared" si="2"/>
        <v>0</v>
      </c>
      <c r="BM5" s="13">
        <f t="shared" si="2"/>
        <v>0</v>
      </c>
      <c r="BN5" s="13">
        <f t="shared" si="2"/>
        <v>0</v>
      </c>
      <c r="BO5" s="13">
        <f t="shared" si="2"/>
        <v>0</v>
      </c>
      <c r="BP5" s="13">
        <f t="shared" si="2"/>
        <v>0</v>
      </c>
      <c r="BQ5" s="13">
        <f t="shared" si="2"/>
        <v>0</v>
      </c>
      <c r="BR5" s="13">
        <f t="shared" si="2"/>
        <v>0</v>
      </c>
      <c r="BS5" s="13">
        <f t="shared" si="2"/>
        <v>0</v>
      </c>
      <c r="BT5" s="13">
        <f t="shared" si="2"/>
        <v>0</v>
      </c>
      <c r="BU5" s="13">
        <f t="shared" si="2"/>
        <v>0</v>
      </c>
      <c r="BV5" s="13">
        <f t="shared" si="2"/>
        <v>0</v>
      </c>
      <c r="BW5" s="13">
        <f t="shared" ref="BW5:DE5" si="3">IF(BW4&lt;=$E$5,1,0)</f>
        <v>0</v>
      </c>
      <c r="BX5" s="13">
        <f t="shared" si="3"/>
        <v>0</v>
      </c>
      <c r="BY5" s="13">
        <f t="shared" si="3"/>
        <v>0</v>
      </c>
      <c r="BZ5" s="13">
        <f t="shared" si="3"/>
        <v>0</v>
      </c>
      <c r="CA5" s="13">
        <f t="shared" si="3"/>
        <v>0</v>
      </c>
      <c r="CB5" s="13">
        <f t="shared" si="3"/>
        <v>0</v>
      </c>
      <c r="CC5" s="13">
        <f t="shared" si="3"/>
        <v>0</v>
      </c>
      <c r="CD5" s="13">
        <f t="shared" si="3"/>
        <v>0</v>
      </c>
      <c r="CE5" s="13">
        <f t="shared" si="3"/>
        <v>0</v>
      </c>
      <c r="CF5" s="13">
        <f t="shared" si="3"/>
        <v>0</v>
      </c>
      <c r="CG5" s="13">
        <f t="shared" si="3"/>
        <v>0</v>
      </c>
      <c r="CH5" s="13">
        <f t="shared" si="3"/>
        <v>0</v>
      </c>
      <c r="CI5" s="13">
        <f t="shared" si="3"/>
        <v>0</v>
      </c>
      <c r="CJ5" s="13">
        <f t="shared" si="3"/>
        <v>0</v>
      </c>
      <c r="CK5" s="13">
        <f t="shared" si="3"/>
        <v>0</v>
      </c>
      <c r="CL5" s="13">
        <f t="shared" si="3"/>
        <v>0</v>
      </c>
      <c r="CM5" s="13">
        <f t="shared" si="3"/>
        <v>0</v>
      </c>
      <c r="CN5" s="13">
        <f t="shared" si="3"/>
        <v>0</v>
      </c>
      <c r="CO5" s="13">
        <f t="shared" si="3"/>
        <v>0</v>
      </c>
      <c r="CP5" s="13">
        <f t="shared" si="3"/>
        <v>0</v>
      </c>
      <c r="CQ5" s="13">
        <f t="shared" si="3"/>
        <v>0</v>
      </c>
      <c r="CR5" s="13">
        <f t="shared" si="3"/>
        <v>0</v>
      </c>
      <c r="CS5" s="13">
        <f t="shared" si="3"/>
        <v>0</v>
      </c>
      <c r="CT5" s="13">
        <f t="shared" si="3"/>
        <v>0</v>
      </c>
      <c r="CU5" s="13">
        <f t="shared" si="3"/>
        <v>0</v>
      </c>
      <c r="CV5" s="13">
        <f t="shared" si="3"/>
        <v>0</v>
      </c>
      <c r="CW5" s="13">
        <f t="shared" si="3"/>
        <v>0</v>
      </c>
      <c r="CX5" s="13">
        <f t="shared" si="3"/>
        <v>0</v>
      </c>
      <c r="CY5" s="13">
        <f t="shared" si="3"/>
        <v>0</v>
      </c>
      <c r="CZ5" s="13">
        <f t="shared" si="3"/>
        <v>0</v>
      </c>
      <c r="DA5" s="13">
        <f t="shared" si="3"/>
        <v>0</v>
      </c>
      <c r="DB5" s="13">
        <f t="shared" si="3"/>
        <v>0</v>
      </c>
      <c r="DC5" s="13">
        <f t="shared" si="3"/>
        <v>0</v>
      </c>
      <c r="DD5" s="13">
        <f t="shared" si="3"/>
        <v>0</v>
      </c>
      <c r="DE5" s="13">
        <f t="shared" si="3"/>
        <v>0</v>
      </c>
    </row>
    <row r="6" spans="1:109" x14ac:dyDescent="0.15">
      <c r="C6" t="s">
        <v>86</v>
      </c>
      <c r="D6" s="5" t="s">
        <v>22</v>
      </c>
      <c r="E6" s="8">
        <f>Debt!E6</f>
        <v>11</v>
      </c>
      <c r="J6" s="13">
        <f>IF(AND(J4&gt;$E$5,J4&lt;=$E$6+$E$5),1,0)</f>
        <v>0</v>
      </c>
      <c r="K6" s="13">
        <f t="shared" ref="K6:BV6" si="4">IF(AND(K4&gt;$E$5,K4&lt;=$E$6+$E$5),1,0)</f>
        <v>0</v>
      </c>
      <c r="L6" s="13">
        <f t="shared" si="4"/>
        <v>0</v>
      </c>
      <c r="M6" s="13">
        <f t="shared" si="4"/>
        <v>0</v>
      </c>
      <c r="N6" s="13">
        <f t="shared" si="4"/>
        <v>1</v>
      </c>
      <c r="O6" s="13">
        <f t="shared" si="4"/>
        <v>1</v>
      </c>
      <c r="P6" s="13">
        <f t="shared" si="4"/>
        <v>1</v>
      </c>
      <c r="Q6" s="13">
        <f t="shared" si="4"/>
        <v>1</v>
      </c>
      <c r="R6" s="13">
        <f t="shared" si="4"/>
        <v>1</v>
      </c>
      <c r="S6" s="13">
        <f t="shared" si="4"/>
        <v>1</v>
      </c>
      <c r="T6" s="13">
        <f t="shared" si="4"/>
        <v>1</v>
      </c>
      <c r="U6" s="13">
        <f t="shared" si="4"/>
        <v>1</v>
      </c>
      <c r="V6" s="13">
        <f t="shared" si="4"/>
        <v>1</v>
      </c>
      <c r="W6" s="13">
        <f t="shared" si="4"/>
        <v>1</v>
      </c>
      <c r="X6" s="13">
        <f t="shared" si="4"/>
        <v>1</v>
      </c>
      <c r="Y6" s="13">
        <f t="shared" si="4"/>
        <v>0</v>
      </c>
      <c r="Z6" s="13">
        <f t="shared" si="4"/>
        <v>0</v>
      </c>
      <c r="AA6" s="13">
        <f t="shared" si="4"/>
        <v>0</v>
      </c>
      <c r="AB6" s="13">
        <f t="shared" si="4"/>
        <v>0</v>
      </c>
      <c r="AC6" s="13">
        <f t="shared" si="4"/>
        <v>0</v>
      </c>
      <c r="AD6" s="13">
        <f t="shared" si="4"/>
        <v>0</v>
      </c>
      <c r="AE6" s="13">
        <f t="shared" si="4"/>
        <v>0</v>
      </c>
      <c r="AF6" s="13">
        <f t="shared" si="4"/>
        <v>0</v>
      </c>
      <c r="AG6" s="13">
        <f t="shared" si="4"/>
        <v>0</v>
      </c>
      <c r="AH6" s="13">
        <f t="shared" si="4"/>
        <v>0</v>
      </c>
      <c r="AI6" s="13">
        <f t="shared" si="4"/>
        <v>0</v>
      </c>
      <c r="AJ6" s="13">
        <f t="shared" si="4"/>
        <v>0</v>
      </c>
      <c r="AK6" s="13">
        <f t="shared" si="4"/>
        <v>0</v>
      </c>
      <c r="AL6" s="13">
        <f t="shared" si="4"/>
        <v>0</v>
      </c>
      <c r="AM6" s="13">
        <f t="shared" si="4"/>
        <v>0</v>
      </c>
      <c r="AN6" s="13">
        <f t="shared" si="4"/>
        <v>0</v>
      </c>
      <c r="AO6" s="13">
        <f t="shared" si="4"/>
        <v>0</v>
      </c>
      <c r="AP6" s="13">
        <f t="shared" si="4"/>
        <v>0</v>
      </c>
      <c r="AQ6" s="13">
        <f t="shared" si="4"/>
        <v>0</v>
      </c>
      <c r="AR6" s="13">
        <f t="shared" si="4"/>
        <v>0</v>
      </c>
      <c r="AS6" s="13">
        <f t="shared" si="4"/>
        <v>0</v>
      </c>
      <c r="AT6" s="13">
        <f t="shared" si="4"/>
        <v>0</v>
      </c>
      <c r="AU6" s="13">
        <f t="shared" si="4"/>
        <v>0</v>
      </c>
      <c r="AV6" s="13">
        <f t="shared" si="4"/>
        <v>0</v>
      </c>
      <c r="AW6" s="13">
        <f t="shared" si="4"/>
        <v>0</v>
      </c>
      <c r="AX6" s="13">
        <f t="shared" si="4"/>
        <v>0</v>
      </c>
      <c r="AY6" s="13">
        <f t="shared" si="4"/>
        <v>0</v>
      </c>
      <c r="AZ6" s="13">
        <f t="shared" si="4"/>
        <v>0</v>
      </c>
      <c r="BA6" s="13">
        <f t="shared" si="4"/>
        <v>0</v>
      </c>
      <c r="BB6" s="13">
        <f t="shared" si="4"/>
        <v>0</v>
      </c>
      <c r="BC6" s="13">
        <f t="shared" si="4"/>
        <v>0</v>
      </c>
      <c r="BD6" s="13">
        <f t="shared" si="4"/>
        <v>0</v>
      </c>
      <c r="BE6" s="13">
        <f t="shared" si="4"/>
        <v>0</v>
      </c>
      <c r="BF6" s="13">
        <f t="shared" si="4"/>
        <v>0</v>
      </c>
      <c r="BG6" s="13">
        <f t="shared" si="4"/>
        <v>0</v>
      </c>
      <c r="BH6" s="13">
        <f t="shared" si="4"/>
        <v>0</v>
      </c>
      <c r="BI6" s="13">
        <f t="shared" si="4"/>
        <v>0</v>
      </c>
      <c r="BJ6" s="13">
        <f t="shared" si="4"/>
        <v>0</v>
      </c>
      <c r="BK6" s="13">
        <f t="shared" si="4"/>
        <v>0</v>
      </c>
      <c r="BL6" s="13">
        <f t="shared" si="4"/>
        <v>0</v>
      </c>
      <c r="BM6" s="13">
        <f t="shared" si="4"/>
        <v>0</v>
      </c>
      <c r="BN6" s="13">
        <f t="shared" si="4"/>
        <v>0</v>
      </c>
      <c r="BO6" s="13">
        <f t="shared" si="4"/>
        <v>0</v>
      </c>
      <c r="BP6" s="13">
        <f t="shared" si="4"/>
        <v>0</v>
      </c>
      <c r="BQ6" s="13">
        <f t="shared" si="4"/>
        <v>0</v>
      </c>
      <c r="BR6" s="13">
        <f t="shared" si="4"/>
        <v>0</v>
      </c>
      <c r="BS6" s="13">
        <f t="shared" si="4"/>
        <v>0</v>
      </c>
      <c r="BT6" s="13">
        <f t="shared" si="4"/>
        <v>0</v>
      </c>
      <c r="BU6" s="13">
        <f t="shared" si="4"/>
        <v>0</v>
      </c>
      <c r="BV6" s="13">
        <f t="shared" si="4"/>
        <v>0</v>
      </c>
      <c r="BW6" s="13">
        <f t="shared" ref="BW6:DE6" si="5">IF(AND(BW4&gt;$E$5,BW4&lt;=$E$6+$E$5),1,0)</f>
        <v>0</v>
      </c>
      <c r="BX6" s="13">
        <f t="shared" si="5"/>
        <v>0</v>
      </c>
      <c r="BY6" s="13">
        <f t="shared" si="5"/>
        <v>0</v>
      </c>
      <c r="BZ6" s="13">
        <f t="shared" si="5"/>
        <v>0</v>
      </c>
      <c r="CA6" s="13">
        <f t="shared" si="5"/>
        <v>0</v>
      </c>
      <c r="CB6" s="13">
        <f t="shared" si="5"/>
        <v>0</v>
      </c>
      <c r="CC6" s="13">
        <f t="shared" si="5"/>
        <v>0</v>
      </c>
      <c r="CD6" s="13">
        <f t="shared" si="5"/>
        <v>0</v>
      </c>
      <c r="CE6" s="13">
        <f t="shared" si="5"/>
        <v>0</v>
      </c>
      <c r="CF6" s="13">
        <f t="shared" si="5"/>
        <v>0</v>
      </c>
      <c r="CG6" s="13">
        <f t="shared" si="5"/>
        <v>0</v>
      </c>
      <c r="CH6" s="13">
        <f t="shared" si="5"/>
        <v>0</v>
      </c>
      <c r="CI6" s="13">
        <f t="shared" si="5"/>
        <v>0</v>
      </c>
      <c r="CJ6" s="13">
        <f t="shared" si="5"/>
        <v>0</v>
      </c>
      <c r="CK6" s="13">
        <f t="shared" si="5"/>
        <v>0</v>
      </c>
      <c r="CL6" s="13">
        <f t="shared" si="5"/>
        <v>0</v>
      </c>
      <c r="CM6" s="13">
        <f t="shared" si="5"/>
        <v>0</v>
      </c>
      <c r="CN6" s="13">
        <f t="shared" si="5"/>
        <v>0</v>
      </c>
      <c r="CO6" s="13">
        <f t="shared" si="5"/>
        <v>0</v>
      </c>
      <c r="CP6" s="13">
        <f t="shared" si="5"/>
        <v>0</v>
      </c>
      <c r="CQ6" s="13">
        <f t="shared" si="5"/>
        <v>0</v>
      </c>
      <c r="CR6" s="13">
        <f t="shared" si="5"/>
        <v>0</v>
      </c>
      <c r="CS6" s="13">
        <f t="shared" si="5"/>
        <v>0</v>
      </c>
      <c r="CT6" s="13">
        <f t="shared" si="5"/>
        <v>0</v>
      </c>
      <c r="CU6" s="13">
        <f t="shared" si="5"/>
        <v>0</v>
      </c>
      <c r="CV6" s="13">
        <f t="shared" si="5"/>
        <v>0</v>
      </c>
      <c r="CW6" s="13">
        <f t="shared" si="5"/>
        <v>0</v>
      </c>
      <c r="CX6" s="13">
        <f t="shared" si="5"/>
        <v>0</v>
      </c>
      <c r="CY6" s="13">
        <f t="shared" si="5"/>
        <v>0</v>
      </c>
      <c r="CZ6" s="13">
        <f t="shared" si="5"/>
        <v>0</v>
      </c>
      <c r="DA6" s="13">
        <f t="shared" si="5"/>
        <v>0</v>
      </c>
      <c r="DB6" s="13">
        <f t="shared" si="5"/>
        <v>0</v>
      </c>
      <c r="DC6" s="13">
        <f t="shared" si="5"/>
        <v>0</v>
      </c>
      <c r="DD6" s="13">
        <f t="shared" si="5"/>
        <v>0</v>
      </c>
      <c r="DE6" s="13">
        <f t="shared" si="5"/>
        <v>0</v>
      </c>
    </row>
    <row r="8" spans="1:109" ht="20" x14ac:dyDescent="0.2">
      <c r="C8" s="4" t="s">
        <v>228</v>
      </c>
    </row>
    <row r="9" spans="1:109" ht="14" x14ac:dyDescent="0.15">
      <c r="C9" s="2"/>
      <c r="D9" s="5"/>
    </row>
    <row r="10" spans="1:109" ht="14" x14ac:dyDescent="0.15">
      <c r="C10" s="2" t="s">
        <v>229</v>
      </c>
      <c r="D10" s="5"/>
    </row>
    <row r="12" spans="1:109" x14ac:dyDescent="0.15">
      <c r="C12" s="23" t="s">
        <v>230</v>
      </c>
      <c r="D12" s="5" t="s">
        <v>0</v>
      </c>
      <c r="E12" s="43">
        <v>1700000000</v>
      </c>
    </row>
    <row r="14" spans="1:109" x14ac:dyDescent="0.15">
      <c r="C14" s="23" t="s">
        <v>266</v>
      </c>
      <c r="D14" s="5" t="s">
        <v>0</v>
      </c>
      <c r="E14" s="65">
        <f>Debt!I28</f>
        <v>850000000</v>
      </c>
    </row>
    <row r="15" spans="1:109" x14ac:dyDescent="0.15">
      <c r="D15" s="5"/>
    </row>
    <row r="16" spans="1:109" s="70" customFormat="1" x14ac:dyDescent="0.15">
      <c r="C16" s="70" t="s">
        <v>231</v>
      </c>
      <c r="D16" s="88" t="s">
        <v>0</v>
      </c>
      <c r="I16" s="72">
        <f>SUM(J16:DE16)</f>
        <v>8015886990.9937983</v>
      </c>
      <c r="J16" s="40">
        <f>'Financials &amp; Metrics'!J33</f>
        <v>-174221665.5368098</v>
      </c>
      <c r="K16" s="40">
        <f>'Financials &amp; Metrics'!K33</f>
        <v>-383580473.7028923</v>
      </c>
      <c r="L16" s="40">
        <f>'Financials &amp; Metrics'!L33</f>
        <v>-714455233.46187568</v>
      </c>
      <c r="M16" s="40">
        <f>'Financials &amp; Metrics'!M33</f>
        <v>-398220949.79842246</v>
      </c>
      <c r="N16" s="40">
        <f>'Financials &amp; Metrics'!N33</f>
        <v>1146806990.436934</v>
      </c>
      <c r="O16" s="40">
        <f>'Financials &amp; Metrics'!O33</f>
        <v>1271305572.8689475</v>
      </c>
      <c r="P16" s="40">
        <f>'Financials &amp; Metrics'!P33</f>
        <v>1328699954.7466433</v>
      </c>
      <c r="Q16" s="40">
        <f>'Financials &amp; Metrics'!Q33</f>
        <v>1353929204.7272694</v>
      </c>
      <c r="R16" s="40">
        <f>'Financials &amp; Metrics'!R33</f>
        <v>1228894870.6935349</v>
      </c>
      <c r="S16" s="40">
        <f>'Financials &amp; Metrics'!S33</f>
        <v>607101397.63553977</v>
      </c>
      <c r="T16" s="40">
        <f>'Financials &amp; Metrics'!T33</f>
        <v>656118999.97974932</v>
      </c>
      <c r="U16" s="40">
        <f>'Financials &amp; Metrics'!U33</f>
        <v>720857277.05750835</v>
      </c>
      <c r="V16" s="40">
        <f>'Financials &amp; Metrics'!V33</f>
        <v>588510678.9207319</v>
      </c>
      <c r="W16" s="40">
        <f>'Financials &amp; Metrics'!W33</f>
        <v>610443909.60839903</v>
      </c>
      <c r="X16" s="40">
        <f>'Financials &amp; Metrics'!X33</f>
        <v>226166456.81853932</v>
      </c>
      <c r="Y16" s="40">
        <f>'Financials &amp; Metrics'!Y33</f>
        <v>-52470000</v>
      </c>
      <c r="Z16" s="40">
        <f>'Financials &amp; Metrics'!Z33</f>
        <v>0</v>
      </c>
      <c r="AA16" s="40">
        <f>'Financials &amp; Metrics'!AA33</f>
        <v>0</v>
      </c>
      <c r="AB16" s="40">
        <f>'Financials &amp; Metrics'!AB33</f>
        <v>0</v>
      </c>
      <c r="AC16" s="40">
        <f>'Financials &amp; Metrics'!AC33</f>
        <v>0</v>
      </c>
      <c r="AD16" s="40">
        <f>'Financials &amp; Metrics'!AD33</f>
        <v>0</v>
      </c>
      <c r="AE16" s="40">
        <f>'Financials &amp; Metrics'!AE33</f>
        <v>0</v>
      </c>
      <c r="AF16" s="40">
        <f>'Financials &amp; Metrics'!AF33</f>
        <v>0</v>
      </c>
      <c r="AG16" s="40">
        <f>'Financials &amp; Metrics'!AG33</f>
        <v>0</v>
      </c>
      <c r="AH16" s="40">
        <f>'Financials &amp; Metrics'!AH33</f>
        <v>0</v>
      </c>
      <c r="AI16" s="40">
        <f>'Financials &amp; Metrics'!AI33</f>
        <v>0</v>
      </c>
      <c r="AJ16" s="40">
        <f>'Financials &amp; Metrics'!AJ33</f>
        <v>0</v>
      </c>
      <c r="AK16" s="40">
        <f>'Financials &amp; Metrics'!AK33</f>
        <v>0</v>
      </c>
      <c r="AL16" s="40">
        <f>'Financials &amp; Metrics'!AL33</f>
        <v>0</v>
      </c>
      <c r="AM16" s="40">
        <f>'Financials &amp; Metrics'!AM33</f>
        <v>0</v>
      </c>
      <c r="AN16" s="40">
        <f>'Financials &amp; Metrics'!AN33</f>
        <v>0</v>
      </c>
      <c r="AO16" s="40">
        <f>'Financials &amp; Metrics'!AO33</f>
        <v>0</v>
      </c>
      <c r="AP16" s="40">
        <f>'Financials &amp; Metrics'!AP33</f>
        <v>0</v>
      </c>
      <c r="AQ16" s="40">
        <f>'Financials &amp; Metrics'!AQ33</f>
        <v>0</v>
      </c>
      <c r="AR16" s="40">
        <f>'Financials &amp; Metrics'!AR33</f>
        <v>0</v>
      </c>
      <c r="AS16" s="40">
        <f>'Financials &amp; Metrics'!AS33</f>
        <v>0</v>
      </c>
      <c r="AT16" s="40">
        <f>'Financials &amp; Metrics'!AT33</f>
        <v>0</v>
      </c>
      <c r="AU16" s="40">
        <f>'Financials &amp; Metrics'!AU33</f>
        <v>0</v>
      </c>
      <c r="AV16" s="40">
        <f>'Financials &amp; Metrics'!AV33</f>
        <v>0</v>
      </c>
      <c r="AW16" s="40">
        <f>'Financials &amp; Metrics'!AW33</f>
        <v>0</v>
      </c>
      <c r="AX16" s="40">
        <f>'Financials &amp; Metrics'!AX33</f>
        <v>0</v>
      </c>
      <c r="AY16" s="40">
        <f>'Financials &amp; Metrics'!AY33</f>
        <v>0</v>
      </c>
      <c r="AZ16" s="40">
        <f>'Financials &amp; Metrics'!AZ33</f>
        <v>0</v>
      </c>
      <c r="BA16" s="40">
        <f>'Financials &amp; Metrics'!BA33</f>
        <v>0</v>
      </c>
      <c r="BB16" s="40">
        <f>'Financials &amp; Metrics'!BB33</f>
        <v>0</v>
      </c>
      <c r="BC16" s="40">
        <f>'Financials &amp; Metrics'!BC33</f>
        <v>0</v>
      </c>
      <c r="BD16" s="40">
        <f>'Financials &amp; Metrics'!BD33</f>
        <v>0</v>
      </c>
      <c r="BE16" s="40">
        <f>'Financials &amp; Metrics'!BE33</f>
        <v>0</v>
      </c>
      <c r="BF16" s="40">
        <f>'Financials &amp; Metrics'!BF33</f>
        <v>0</v>
      </c>
      <c r="BG16" s="40">
        <f>'Financials &amp; Metrics'!BG33</f>
        <v>0</v>
      </c>
      <c r="BH16" s="40">
        <f>'Financials &amp; Metrics'!BH33</f>
        <v>0</v>
      </c>
      <c r="BI16" s="40">
        <f>'Financials &amp; Metrics'!BI33</f>
        <v>0</v>
      </c>
      <c r="BJ16" s="40">
        <f>'Financials &amp; Metrics'!BJ33</f>
        <v>0</v>
      </c>
      <c r="BK16" s="40">
        <f>'Financials &amp; Metrics'!BK33</f>
        <v>0</v>
      </c>
      <c r="BL16" s="40">
        <f>'Financials &amp; Metrics'!BL33</f>
        <v>0</v>
      </c>
      <c r="BM16" s="40">
        <f>'Financials &amp; Metrics'!BM33</f>
        <v>0</v>
      </c>
      <c r="BN16" s="40">
        <f>'Financials &amp; Metrics'!BN33</f>
        <v>0</v>
      </c>
      <c r="BO16" s="40">
        <f>'Financials &amp; Metrics'!BO33</f>
        <v>0</v>
      </c>
      <c r="BP16" s="40">
        <f>'Financials &amp; Metrics'!BP33</f>
        <v>0</v>
      </c>
      <c r="BQ16" s="40">
        <f>'Financials &amp; Metrics'!BQ33</f>
        <v>0</v>
      </c>
      <c r="BR16" s="40">
        <f>'Financials &amp; Metrics'!BR33</f>
        <v>0</v>
      </c>
      <c r="BS16" s="40">
        <f>'Financials &amp; Metrics'!BS33</f>
        <v>0</v>
      </c>
      <c r="BT16" s="40">
        <f>'Financials &amp; Metrics'!BT33</f>
        <v>0</v>
      </c>
      <c r="BU16" s="40">
        <f>'Financials &amp; Metrics'!BU33</f>
        <v>0</v>
      </c>
      <c r="BV16" s="40">
        <f>'Financials &amp; Metrics'!BV33</f>
        <v>0</v>
      </c>
      <c r="BW16" s="40">
        <f>'Financials &amp; Metrics'!BW33</f>
        <v>0</v>
      </c>
      <c r="BX16" s="40">
        <f>'Financials &amp; Metrics'!BX33</f>
        <v>0</v>
      </c>
      <c r="BY16" s="40">
        <f>'Financials &amp; Metrics'!BY33</f>
        <v>0</v>
      </c>
      <c r="BZ16" s="40">
        <f>'Financials &amp; Metrics'!BZ33</f>
        <v>0</v>
      </c>
      <c r="CA16" s="40">
        <f>'Financials &amp; Metrics'!CA33</f>
        <v>0</v>
      </c>
      <c r="CB16" s="40">
        <f>'Financials &amp; Metrics'!CB33</f>
        <v>0</v>
      </c>
      <c r="CC16" s="40">
        <f>'Financials &amp; Metrics'!CC33</f>
        <v>0</v>
      </c>
      <c r="CD16" s="40">
        <f>'Financials &amp; Metrics'!CD33</f>
        <v>0</v>
      </c>
      <c r="CE16" s="40">
        <f>'Financials &amp; Metrics'!CE33</f>
        <v>0</v>
      </c>
      <c r="CF16" s="40">
        <f>'Financials &amp; Metrics'!CF33</f>
        <v>0</v>
      </c>
      <c r="CG16" s="40">
        <f>'Financials &amp; Metrics'!CG33</f>
        <v>0</v>
      </c>
      <c r="CH16" s="40">
        <f>'Financials &amp; Metrics'!CH33</f>
        <v>0</v>
      </c>
      <c r="CI16" s="40">
        <f>'Financials &amp; Metrics'!CI33</f>
        <v>0</v>
      </c>
      <c r="CJ16" s="40">
        <f>'Financials &amp; Metrics'!CJ33</f>
        <v>0</v>
      </c>
      <c r="CK16" s="40">
        <f>'Financials &amp; Metrics'!CK33</f>
        <v>0</v>
      </c>
      <c r="CL16" s="40">
        <f>'Financials &amp; Metrics'!CL33</f>
        <v>0</v>
      </c>
      <c r="CM16" s="40">
        <f>'Financials &amp; Metrics'!CM33</f>
        <v>0</v>
      </c>
      <c r="CN16" s="40">
        <f>'Financials &amp; Metrics'!CN33</f>
        <v>0</v>
      </c>
      <c r="CO16" s="40">
        <f>'Financials &amp; Metrics'!CO33</f>
        <v>0</v>
      </c>
      <c r="CP16" s="40">
        <f>'Financials &amp; Metrics'!CP33</f>
        <v>0</v>
      </c>
      <c r="CQ16" s="40">
        <f>'Financials &amp; Metrics'!CQ33</f>
        <v>0</v>
      </c>
      <c r="CR16" s="40">
        <f>'Financials &amp; Metrics'!CR33</f>
        <v>0</v>
      </c>
      <c r="CS16" s="40">
        <f>'Financials &amp; Metrics'!CS33</f>
        <v>0</v>
      </c>
      <c r="CT16" s="40">
        <f>'Financials &amp; Metrics'!CT33</f>
        <v>0</v>
      </c>
      <c r="CU16" s="40">
        <f>'Financials &amp; Metrics'!CU33</f>
        <v>0</v>
      </c>
      <c r="CV16" s="40">
        <f>'Financials &amp; Metrics'!CV33</f>
        <v>0</v>
      </c>
      <c r="CW16" s="40">
        <f>'Financials &amp; Metrics'!CW33</f>
        <v>0</v>
      </c>
      <c r="CX16" s="40">
        <f>'Financials &amp; Metrics'!CX33</f>
        <v>0</v>
      </c>
      <c r="CY16" s="40">
        <f>'Financials &amp; Metrics'!CY33</f>
        <v>0</v>
      </c>
      <c r="CZ16" s="40">
        <f>'Financials &amp; Metrics'!CZ33</f>
        <v>0</v>
      </c>
      <c r="DA16" s="40">
        <f>'Financials &amp; Metrics'!DA33</f>
        <v>0</v>
      </c>
      <c r="DB16" s="40">
        <f>'Financials &amp; Metrics'!DB33</f>
        <v>0</v>
      </c>
      <c r="DC16" s="40">
        <f>'Financials &amp; Metrics'!DC33</f>
        <v>0</v>
      </c>
      <c r="DD16" s="40">
        <f>'Financials &amp; Metrics'!DD33</f>
        <v>0</v>
      </c>
      <c r="DE16" s="40">
        <f>'Financials &amp; Metrics'!DE33</f>
        <v>0</v>
      </c>
    </row>
    <row r="17" spans="3:109" x14ac:dyDescent="0.15">
      <c r="D17" s="5"/>
    </row>
    <row r="19" spans="3:109" x14ac:dyDescent="0.15">
      <c r="C19" s="23" t="s">
        <v>232</v>
      </c>
      <c r="D19" s="5" t="s">
        <v>0</v>
      </c>
      <c r="I19" s="35">
        <f ca="1">SUM(J19:DE19)</f>
        <v>-459000000</v>
      </c>
      <c r="J19" s="19">
        <f>-Debt!J32</f>
        <v>-38250000</v>
      </c>
      <c r="K19" s="19">
        <f>-Debt!K32</f>
        <v>-76500000</v>
      </c>
      <c r="L19" s="19">
        <f>-Debt!L32</f>
        <v>-76500000</v>
      </c>
      <c r="M19" s="19">
        <f ca="1">-Debt!M32</f>
        <v>-76500000</v>
      </c>
      <c r="N19" s="19">
        <f ca="1">-Debt!N32</f>
        <v>-68850000</v>
      </c>
      <c r="O19" s="19">
        <f ca="1">-Debt!O32</f>
        <v>-53550000</v>
      </c>
      <c r="P19" s="19">
        <f ca="1">-Debt!P32</f>
        <v>-38250000</v>
      </c>
      <c r="Q19" s="19">
        <f ca="1">-Debt!Q32</f>
        <v>-22950000</v>
      </c>
      <c r="R19" s="19">
        <f ca="1">-Debt!R32</f>
        <v>-7650000</v>
      </c>
      <c r="S19" s="19">
        <f ca="1">-Debt!S32</f>
        <v>0</v>
      </c>
      <c r="T19" s="19">
        <f ca="1">-Debt!T32</f>
        <v>0</v>
      </c>
      <c r="U19" s="19">
        <f ca="1">-Debt!U32</f>
        <v>0</v>
      </c>
      <c r="V19" s="19">
        <f ca="1">-Debt!V32</f>
        <v>0</v>
      </c>
      <c r="W19" s="19">
        <f ca="1">-Debt!W32</f>
        <v>0</v>
      </c>
      <c r="X19" s="19">
        <f ca="1">-Debt!X32</f>
        <v>0</v>
      </c>
      <c r="Y19" s="19">
        <f ca="1">-Debt!Y32</f>
        <v>0</v>
      </c>
      <c r="Z19" s="19">
        <f ca="1">-Debt!Z32</f>
        <v>0</v>
      </c>
      <c r="AA19" s="19">
        <f ca="1">-Debt!AA32</f>
        <v>0</v>
      </c>
      <c r="AB19" s="19">
        <f ca="1">-Debt!AB32</f>
        <v>0</v>
      </c>
      <c r="AC19" s="19">
        <f ca="1">-Debt!AC32</f>
        <v>0</v>
      </c>
      <c r="AD19" s="19">
        <f ca="1">-Debt!AD32</f>
        <v>0</v>
      </c>
      <c r="AE19" s="19">
        <f ca="1">-Debt!AE32</f>
        <v>0</v>
      </c>
      <c r="AF19" s="19">
        <f ca="1">-Debt!AF32</f>
        <v>0</v>
      </c>
      <c r="AG19" s="19">
        <f ca="1">-Debt!AG32</f>
        <v>0</v>
      </c>
      <c r="AH19" s="19">
        <f ca="1">-Debt!AH32</f>
        <v>0</v>
      </c>
      <c r="AI19" s="19">
        <f ca="1">-Debt!AI32</f>
        <v>0</v>
      </c>
      <c r="AJ19" s="19">
        <f ca="1">-Debt!AJ32</f>
        <v>0</v>
      </c>
      <c r="AK19" s="19">
        <f ca="1">-Debt!AK32</f>
        <v>0</v>
      </c>
      <c r="AL19" s="19">
        <f ca="1">-Debt!AL32</f>
        <v>0</v>
      </c>
      <c r="AM19" s="19">
        <f ca="1">-Debt!AM32</f>
        <v>0</v>
      </c>
      <c r="AN19" s="19">
        <f ca="1">-Debt!AN32</f>
        <v>0</v>
      </c>
      <c r="AO19" s="19">
        <f ca="1">-Debt!AO32</f>
        <v>0</v>
      </c>
      <c r="AP19" s="19">
        <f ca="1">-Debt!AP32</f>
        <v>0</v>
      </c>
      <c r="AQ19" s="19">
        <f ca="1">-Debt!AQ32</f>
        <v>0</v>
      </c>
      <c r="AR19" s="19">
        <f ca="1">-Debt!AR32</f>
        <v>0</v>
      </c>
      <c r="AS19" s="19">
        <f ca="1">-Debt!AS32</f>
        <v>0</v>
      </c>
      <c r="AT19" s="19">
        <f ca="1">-Debt!AT32</f>
        <v>0</v>
      </c>
      <c r="AU19" s="19">
        <f ca="1">-Debt!AU32</f>
        <v>0</v>
      </c>
      <c r="AV19" s="19">
        <f ca="1">-Debt!AV32</f>
        <v>0</v>
      </c>
      <c r="AW19" s="19">
        <f ca="1">-Debt!AW32</f>
        <v>0</v>
      </c>
      <c r="AX19" s="19">
        <f ca="1">-Debt!AX32</f>
        <v>0</v>
      </c>
      <c r="AY19" s="19">
        <f ca="1">-Debt!AY32</f>
        <v>0</v>
      </c>
      <c r="AZ19" s="19">
        <f ca="1">-Debt!AZ32</f>
        <v>0</v>
      </c>
      <c r="BA19" s="19">
        <f ca="1">-Debt!BA32</f>
        <v>0</v>
      </c>
      <c r="BB19" s="19">
        <f ca="1">-Debt!BB32</f>
        <v>0</v>
      </c>
      <c r="BC19" s="19">
        <f ca="1">-Debt!BC32</f>
        <v>0</v>
      </c>
      <c r="BD19" s="19">
        <f ca="1">-Debt!BD32</f>
        <v>0</v>
      </c>
      <c r="BE19" s="19">
        <f ca="1">-Debt!BE32</f>
        <v>0</v>
      </c>
      <c r="BF19" s="19">
        <f ca="1">-Debt!BF32</f>
        <v>0</v>
      </c>
      <c r="BG19" s="19">
        <f ca="1">-Debt!BG32</f>
        <v>0</v>
      </c>
      <c r="BH19" s="19">
        <f ca="1">-Debt!BH32</f>
        <v>0</v>
      </c>
      <c r="BI19" s="19">
        <f ca="1">-Debt!BI32</f>
        <v>0</v>
      </c>
      <c r="BJ19" s="19">
        <f ca="1">-Debt!BJ32</f>
        <v>0</v>
      </c>
      <c r="BK19" s="19">
        <f ca="1">-Debt!BK32</f>
        <v>0</v>
      </c>
      <c r="BL19" s="19">
        <f ca="1">-Debt!BL32</f>
        <v>0</v>
      </c>
      <c r="BM19" s="19">
        <f ca="1">-Debt!BM32</f>
        <v>0</v>
      </c>
      <c r="BN19" s="19">
        <f ca="1">-Debt!BN32</f>
        <v>0</v>
      </c>
      <c r="BO19" s="19">
        <f ca="1">-Debt!BO32</f>
        <v>0</v>
      </c>
      <c r="BP19" s="19">
        <f ca="1">-Debt!BP32</f>
        <v>0</v>
      </c>
      <c r="BQ19" s="19">
        <f ca="1">-Debt!BQ32</f>
        <v>0</v>
      </c>
      <c r="BR19" s="19">
        <f ca="1">-Debt!BR32</f>
        <v>0</v>
      </c>
      <c r="BS19" s="19">
        <f ca="1">-Debt!BS32</f>
        <v>0</v>
      </c>
      <c r="BT19" s="19">
        <f ca="1">-Debt!BT32</f>
        <v>0</v>
      </c>
      <c r="BU19" s="19">
        <f ca="1">-Debt!BU32</f>
        <v>0</v>
      </c>
      <c r="BV19" s="19">
        <f ca="1">-Debt!BV32</f>
        <v>0</v>
      </c>
      <c r="BW19" s="19">
        <f ca="1">-Debt!BW32</f>
        <v>0</v>
      </c>
      <c r="BX19" s="19">
        <f ca="1">-Debt!BX32</f>
        <v>0</v>
      </c>
      <c r="BY19" s="19">
        <f ca="1">-Debt!BY32</f>
        <v>0</v>
      </c>
      <c r="BZ19" s="19">
        <f ca="1">-Debt!BZ32</f>
        <v>0</v>
      </c>
      <c r="CA19" s="19">
        <f ca="1">-Debt!CA32</f>
        <v>0</v>
      </c>
      <c r="CB19" s="19">
        <f ca="1">-Debt!CB32</f>
        <v>0</v>
      </c>
      <c r="CC19" s="19">
        <f ca="1">-Debt!CC32</f>
        <v>0</v>
      </c>
      <c r="CD19" s="19">
        <f ca="1">-Debt!CD32</f>
        <v>0</v>
      </c>
      <c r="CE19" s="19">
        <f ca="1">-Debt!CE32</f>
        <v>0</v>
      </c>
      <c r="CF19" s="19">
        <f ca="1">-Debt!CF32</f>
        <v>0</v>
      </c>
      <c r="CG19" s="19">
        <f ca="1">-Debt!CG32</f>
        <v>0</v>
      </c>
      <c r="CH19" s="19">
        <f ca="1">-Debt!CH32</f>
        <v>0</v>
      </c>
      <c r="CI19" s="19">
        <f ca="1">-Debt!CI32</f>
        <v>0</v>
      </c>
      <c r="CJ19" s="19">
        <f ca="1">-Debt!CJ32</f>
        <v>0</v>
      </c>
      <c r="CK19" s="19">
        <f ca="1">-Debt!CK32</f>
        <v>0</v>
      </c>
      <c r="CL19" s="19">
        <f ca="1">-Debt!CL32</f>
        <v>0</v>
      </c>
      <c r="CM19" s="19">
        <f ca="1">-Debt!CM32</f>
        <v>0</v>
      </c>
      <c r="CN19" s="19">
        <f ca="1">-Debt!CN32</f>
        <v>0</v>
      </c>
      <c r="CO19" s="19">
        <f ca="1">-Debt!CO32</f>
        <v>0</v>
      </c>
      <c r="CP19" s="19">
        <f ca="1">-Debt!CP32</f>
        <v>0</v>
      </c>
      <c r="CQ19" s="19">
        <f ca="1">-Debt!CQ32</f>
        <v>0</v>
      </c>
      <c r="CR19" s="19">
        <f ca="1">-Debt!CR32</f>
        <v>0</v>
      </c>
      <c r="CS19" s="19">
        <f ca="1">-Debt!CS32</f>
        <v>0</v>
      </c>
      <c r="CT19" s="19">
        <f ca="1">-Debt!CT32</f>
        <v>0</v>
      </c>
      <c r="CU19" s="19">
        <f ca="1">-Debt!CU32</f>
        <v>0</v>
      </c>
      <c r="CV19" s="19">
        <f ca="1">-Debt!CV32</f>
        <v>0</v>
      </c>
      <c r="CW19" s="19">
        <f ca="1">-Debt!CW32</f>
        <v>0</v>
      </c>
      <c r="CX19" s="19">
        <f ca="1">-Debt!CX32</f>
        <v>0</v>
      </c>
      <c r="CY19" s="19">
        <f ca="1">-Debt!CY32</f>
        <v>0</v>
      </c>
      <c r="CZ19" s="19">
        <f ca="1">-Debt!CZ32</f>
        <v>0</v>
      </c>
      <c r="DA19" s="19">
        <f ca="1">-Debt!DA32</f>
        <v>0</v>
      </c>
      <c r="DB19" s="19">
        <f ca="1">-Debt!DB32</f>
        <v>0</v>
      </c>
      <c r="DC19" s="19">
        <f ca="1">-Debt!DC32</f>
        <v>0</v>
      </c>
      <c r="DD19" s="19">
        <f ca="1">-Debt!DD32</f>
        <v>0</v>
      </c>
      <c r="DE19" s="19">
        <f ca="1">-Debt!DE32</f>
        <v>0</v>
      </c>
    </row>
    <row r="20" spans="3:109" x14ac:dyDescent="0.15">
      <c r="C20" s="23" t="s">
        <v>233</v>
      </c>
      <c r="D20" s="5" t="s">
        <v>0</v>
      </c>
      <c r="I20" s="35">
        <f ca="1">SUM(J20:DE20)</f>
        <v>120258000</v>
      </c>
      <c r="J20" s="37">
        <f>-SUM(J18:J19)*Taxes!$E$21</f>
        <v>10021500</v>
      </c>
      <c r="K20" s="37">
        <f>-SUM(K18:K19)*Taxes!$E$21</f>
        <v>20043000</v>
      </c>
      <c r="L20" s="37">
        <f>-SUM(L18:L19)*Taxes!$E$21</f>
        <v>20043000</v>
      </c>
      <c r="M20" s="37">
        <f ca="1">-SUM(M18:M19)*Taxes!$E$21</f>
        <v>20043000</v>
      </c>
      <c r="N20" s="37">
        <f ca="1">-SUM(N18:N19)*Taxes!$E$21</f>
        <v>18038700</v>
      </c>
      <c r="O20" s="37">
        <f ca="1">-SUM(O18:O19)*Taxes!$E$21</f>
        <v>14030100</v>
      </c>
      <c r="P20" s="37">
        <f ca="1">-SUM(P18:P19)*Taxes!$E$21</f>
        <v>10021500</v>
      </c>
      <c r="Q20" s="37">
        <f ca="1">-SUM(Q18:Q19)*Taxes!$E$21</f>
        <v>6012900</v>
      </c>
      <c r="R20" s="37">
        <f ca="1">-SUM(R18:R19)*Taxes!$E$21</f>
        <v>2004300</v>
      </c>
      <c r="S20" s="37">
        <f ca="1">-SUM(S18:S19)*Taxes!$E$21</f>
        <v>0</v>
      </c>
      <c r="T20" s="37">
        <f ca="1">-SUM(T18:T19)*Taxes!$E$21</f>
        <v>0</v>
      </c>
      <c r="U20" s="37">
        <f ca="1">-SUM(U18:U19)*Taxes!$E$21</f>
        <v>0</v>
      </c>
      <c r="V20" s="37">
        <f ca="1">-SUM(V18:V19)*Taxes!$E$21</f>
        <v>0</v>
      </c>
      <c r="W20" s="37">
        <f ca="1">-SUM(W18:W19)*Taxes!$E$21</f>
        <v>0</v>
      </c>
      <c r="X20" s="37">
        <f ca="1">-SUM(X18:X19)*Taxes!$E$21</f>
        <v>0</v>
      </c>
      <c r="Y20" s="37">
        <f ca="1">-SUM(Y18:Y19)*Taxes!$E$21</f>
        <v>0</v>
      </c>
      <c r="Z20" s="37">
        <f ca="1">-SUM(Z18:Z19)*Taxes!$E$21</f>
        <v>0</v>
      </c>
      <c r="AA20" s="37">
        <f ca="1">-SUM(AA18:AA19)*Taxes!$E$21</f>
        <v>0</v>
      </c>
      <c r="AB20" s="37">
        <f ca="1">-SUM(AB18:AB19)*Taxes!$E$21</f>
        <v>0</v>
      </c>
      <c r="AC20" s="37">
        <f ca="1">-SUM(AC18:AC19)*Taxes!$E$21</f>
        <v>0</v>
      </c>
      <c r="AD20" s="37">
        <f ca="1">-SUM(AD18:AD19)*Taxes!$E$21</f>
        <v>0</v>
      </c>
      <c r="AE20" s="37">
        <f ca="1">-SUM(AE18:AE19)*Taxes!$E$21</f>
        <v>0</v>
      </c>
      <c r="AF20" s="37">
        <f ca="1">-SUM(AF18:AF19)*Taxes!$E$21</f>
        <v>0</v>
      </c>
      <c r="AG20" s="37">
        <f ca="1">-SUM(AG18:AG19)*Taxes!$E$21</f>
        <v>0</v>
      </c>
      <c r="AH20" s="37">
        <f ca="1">-SUM(AH18:AH19)*Taxes!$E$21</f>
        <v>0</v>
      </c>
      <c r="AI20" s="37">
        <f ca="1">-SUM(AI18:AI19)*Taxes!$E$21</f>
        <v>0</v>
      </c>
      <c r="AJ20" s="37">
        <f ca="1">-SUM(AJ18:AJ19)*Taxes!$E$21</f>
        <v>0</v>
      </c>
      <c r="AK20" s="37">
        <f ca="1">-SUM(AK18:AK19)*Taxes!$E$21</f>
        <v>0</v>
      </c>
      <c r="AL20" s="37">
        <f ca="1">-SUM(AL18:AL19)*Taxes!$E$21</f>
        <v>0</v>
      </c>
      <c r="AM20" s="37">
        <f ca="1">-SUM(AM18:AM19)*Taxes!$E$21</f>
        <v>0</v>
      </c>
      <c r="AN20" s="37">
        <f ca="1">-SUM(AN18:AN19)*Taxes!$E$21</f>
        <v>0</v>
      </c>
      <c r="AO20" s="37">
        <f ca="1">-SUM(AO18:AO19)*Taxes!$E$21</f>
        <v>0</v>
      </c>
      <c r="AP20" s="37">
        <f ca="1">-SUM(AP18:AP19)*Taxes!$E$21</f>
        <v>0</v>
      </c>
      <c r="AQ20" s="37">
        <f ca="1">-SUM(AQ18:AQ19)*Taxes!$E$21</f>
        <v>0</v>
      </c>
      <c r="AR20" s="37">
        <f ca="1">-SUM(AR18:AR19)*Taxes!$E$21</f>
        <v>0</v>
      </c>
      <c r="AS20" s="37">
        <f ca="1">-SUM(AS18:AS19)*Taxes!$E$21</f>
        <v>0</v>
      </c>
      <c r="AT20" s="37">
        <f ca="1">-SUM(AT18:AT19)*Taxes!$E$21</f>
        <v>0</v>
      </c>
      <c r="AU20" s="37">
        <f ca="1">-SUM(AU18:AU19)*Taxes!$E$21</f>
        <v>0</v>
      </c>
      <c r="AV20" s="37">
        <f ca="1">-SUM(AV18:AV19)*Taxes!$E$21</f>
        <v>0</v>
      </c>
      <c r="AW20" s="37">
        <f ca="1">-SUM(AW18:AW19)*Taxes!$E$21</f>
        <v>0</v>
      </c>
      <c r="AX20" s="37">
        <f ca="1">-SUM(AX18:AX19)*Taxes!$E$21</f>
        <v>0</v>
      </c>
      <c r="AY20" s="37">
        <f ca="1">-SUM(AY18:AY19)*Taxes!$E$21</f>
        <v>0</v>
      </c>
      <c r="AZ20" s="37">
        <f ca="1">-SUM(AZ18:AZ19)*Taxes!$E$21</f>
        <v>0</v>
      </c>
      <c r="BA20" s="37">
        <f ca="1">-SUM(BA18:BA19)*Taxes!$E$21</f>
        <v>0</v>
      </c>
      <c r="BB20" s="37">
        <f ca="1">-SUM(BB18:BB19)*Taxes!$E$21</f>
        <v>0</v>
      </c>
      <c r="BC20" s="37">
        <f ca="1">-SUM(BC18:BC19)*Taxes!$E$21</f>
        <v>0</v>
      </c>
      <c r="BD20" s="37">
        <f ca="1">-SUM(BD18:BD19)*Taxes!$E$21</f>
        <v>0</v>
      </c>
      <c r="BE20" s="37">
        <f ca="1">-SUM(BE18:BE19)*Taxes!$E$21</f>
        <v>0</v>
      </c>
      <c r="BF20" s="37">
        <f ca="1">-SUM(BF18:BF19)*Taxes!$E$21</f>
        <v>0</v>
      </c>
      <c r="BG20" s="37">
        <f ca="1">-SUM(BG18:BG19)*Taxes!$E$21</f>
        <v>0</v>
      </c>
      <c r="BH20" s="37">
        <f ca="1">-SUM(BH18:BH19)*Taxes!$E$21</f>
        <v>0</v>
      </c>
      <c r="BI20" s="37">
        <f ca="1">-SUM(BI18:BI19)*Taxes!$E$21</f>
        <v>0</v>
      </c>
      <c r="BJ20" s="37">
        <f ca="1">-SUM(BJ18:BJ19)*Taxes!$E$21</f>
        <v>0</v>
      </c>
      <c r="BK20" s="37">
        <f ca="1">-SUM(BK18:BK19)*Taxes!$E$21</f>
        <v>0</v>
      </c>
      <c r="BL20" s="37">
        <f ca="1">-SUM(BL18:BL19)*Taxes!$E$21</f>
        <v>0</v>
      </c>
      <c r="BM20" s="37">
        <f ca="1">-SUM(BM18:BM19)*Taxes!$E$21</f>
        <v>0</v>
      </c>
      <c r="BN20" s="37">
        <f ca="1">-SUM(BN18:BN19)*Taxes!$E$21</f>
        <v>0</v>
      </c>
      <c r="BO20" s="37">
        <f ca="1">-SUM(BO18:BO19)*Taxes!$E$21</f>
        <v>0</v>
      </c>
      <c r="BP20" s="37">
        <f ca="1">-SUM(BP18:BP19)*Taxes!$E$21</f>
        <v>0</v>
      </c>
      <c r="BQ20" s="37">
        <f ca="1">-SUM(BQ18:BQ19)*Taxes!$E$21</f>
        <v>0</v>
      </c>
      <c r="BR20" s="37">
        <f ca="1">-SUM(BR18:BR19)*Taxes!$E$21</f>
        <v>0</v>
      </c>
      <c r="BS20" s="37">
        <f ca="1">-SUM(BS18:BS19)*Taxes!$E$21</f>
        <v>0</v>
      </c>
      <c r="BT20" s="37">
        <f ca="1">-SUM(BT18:BT19)*Taxes!$E$21</f>
        <v>0</v>
      </c>
      <c r="BU20" s="37">
        <f ca="1">-SUM(BU18:BU19)*Taxes!$E$21</f>
        <v>0</v>
      </c>
      <c r="BV20" s="37">
        <f ca="1">-SUM(BV18:BV19)*Taxes!$E$21</f>
        <v>0</v>
      </c>
      <c r="BW20" s="37">
        <f ca="1">-SUM(BW18:BW19)*Taxes!$E$21</f>
        <v>0</v>
      </c>
      <c r="BX20" s="37">
        <f ca="1">-SUM(BX18:BX19)*Taxes!$E$21</f>
        <v>0</v>
      </c>
      <c r="BY20" s="37">
        <f ca="1">-SUM(BY18:BY19)*Taxes!$E$21</f>
        <v>0</v>
      </c>
      <c r="BZ20" s="37">
        <f ca="1">-SUM(BZ18:BZ19)*Taxes!$E$21</f>
        <v>0</v>
      </c>
      <c r="CA20" s="37">
        <f ca="1">-SUM(CA18:CA19)*Taxes!$E$21</f>
        <v>0</v>
      </c>
      <c r="CB20" s="37">
        <f ca="1">-SUM(CB18:CB19)*Taxes!$E$21</f>
        <v>0</v>
      </c>
      <c r="CC20" s="37">
        <f ca="1">-SUM(CC18:CC19)*Taxes!$E$21</f>
        <v>0</v>
      </c>
      <c r="CD20" s="37">
        <f ca="1">-SUM(CD18:CD19)*Taxes!$E$21</f>
        <v>0</v>
      </c>
      <c r="CE20" s="37">
        <f ca="1">-SUM(CE18:CE19)*Taxes!$E$21</f>
        <v>0</v>
      </c>
      <c r="CF20" s="37">
        <f ca="1">-SUM(CF18:CF19)*Taxes!$E$21</f>
        <v>0</v>
      </c>
      <c r="CG20" s="37">
        <f ca="1">-SUM(CG18:CG19)*Taxes!$E$21</f>
        <v>0</v>
      </c>
      <c r="CH20" s="37">
        <f ca="1">-SUM(CH18:CH19)*Taxes!$E$21</f>
        <v>0</v>
      </c>
      <c r="CI20" s="37">
        <f ca="1">-SUM(CI18:CI19)*Taxes!$E$21</f>
        <v>0</v>
      </c>
      <c r="CJ20" s="37">
        <f ca="1">-SUM(CJ18:CJ19)*Taxes!$E$21</f>
        <v>0</v>
      </c>
      <c r="CK20" s="37">
        <f ca="1">-SUM(CK18:CK19)*Taxes!$E$21</f>
        <v>0</v>
      </c>
      <c r="CL20" s="37">
        <f ca="1">-SUM(CL18:CL19)*Taxes!$E$21</f>
        <v>0</v>
      </c>
      <c r="CM20" s="37">
        <f ca="1">-SUM(CM18:CM19)*Taxes!$E$21</f>
        <v>0</v>
      </c>
      <c r="CN20" s="37">
        <f ca="1">-SUM(CN18:CN19)*Taxes!$E$21</f>
        <v>0</v>
      </c>
      <c r="CO20" s="37">
        <f ca="1">-SUM(CO18:CO19)*Taxes!$E$21</f>
        <v>0</v>
      </c>
      <c r="CP20" s="37">
        <f ca="1">-SUM(CP18:CP19)*Taxes!$E$21</f>
        <v>0</v>
      </c>
      <c r="CQ20" s="37">
        <f ca="1">-SUM(CQ18:CQ19)*Taxes!$E$21</f>
        <v>0</v>
      </c>
      <c r="CR20" s="37">
        <f ca="1">-SUM(CR18:CR19)*Taxes!$E$21</f>
        <v>0</v>
      </c>
      <c r="CS20" s="37">
        <f ca="1">-SUM(CS18:CS19)*Taxes!$E$21</f>
        <v>0</v>
      </c>
      <c r="CT20" s="37">
        <f ca="1">-SUM(CT18:CT19)*Taxes!$E$21</f>
        <v>0</v>
      </c>
      <c r="CU20" s="37">
        <f ca="1">-SUM(CU18:CU19)*Taxes!$E$21</f>
        <v>0</v>
      </c>
      <c r="CV20" s="37">
        <f ca="1">-SUM(CV18:CV19)*Taxes!$E$21</f>
        <v>0</v>
      </c>
      <c r="CW20" s="37">
        <f ca="1">-SUM(CW18:CW19)*Taxes!$E$21</f>
        <v>0</v>
      </c>
      <c r="CX20" s="37">
        <f ca="1">-SUM(CX18:CX19)*Taxes!$E$21</f>
        <v>0</v>
      </c>
      <c r="CY20" s="37">
        <f ca="1">-SUM(CY18:CY19)*Taxes!$E$21</f>
        <v>0</v>
      </c>
      <c r="CZ20" s="37">
        <f ca="1">-SUM(CZ18:CZ19)*Taxes!$E$21</f>
        <v>0</v>
      </c>
      <c r="DA20" s="37">
        <f ca="1">-SUM(DA18:DA19)*Taxes!$E$21</f>
        <v>0</v>
      </c>
      <c r="DB20" s="37">
        <f ca="1">-SUM(DB18:DB19)*Taxes!$E$21</f>
        <v>0</v>
      </c>
      <c r="DC20" s="37">
        <f ca="1">-SUM(DC18:DC19)*Taxes!$E$21</f>
        <v>0</v>
      </c>
      <c r="DD20" s="37">
        <f ca="1">-SUM(DD18:DD19)*Taxes!$E$21</f>
        <v>0</v>
      </c>
      <c r="DE20" s="37">
        <f ca="1">-SUM(DE18:DE19)*Taxes!$E$21</f>
        <v>0</v>
      </c>
    </row>
    <row r="22" spans="3:109" x14ac:dyDescent="0.15">
      <c r="C22" s="23" t="s">
        <v>234</v>
      </c>
      <c r="D22" s="5" t="s">
        <v>0</v>
      </c>
      <c r="I22" s="35">
        <f ca="1">SUM(J22:DE22)</f>
        <v>-25500000</v>
      </c>
      <c r="J22" s="37">
        <f>Debt!J28-SUM(Debt!J29,Debt!J33)</f>
        <v>824500000</v>
      </c>
      <c r="K22" s="37">
        <f>Debt!K28-SUM(Debt!K29,Debt!K33)</f>
        <v>0</v>
      </c>
      <c r="L22" s="37">
        <f>Debt!L28-SUM(Debt!L29,Debt!L33)</f>
        <v>0</v>
      </c>
      <c r="M22" s="37">
        <f ca="1">Debt!M28-SUM(Debt!M29,Debt!M33)</f>
        <v>0</v>
      </c>
      <c r="N22" s="37">
        <f ca="1">Debt!N28-SUM(Debt!N29,Debt!N33)</f>
        <v>-170000000</v>
      </c>
      <c r="O22" s="37">
        <f ca="1">Debt!O28-SUM(Debt!O29,Debt!O33)</f>
        <v>-170000000</v>
      </c>
      <c r="P22" s="37">
        <f ca="1">Debt!P28-SUM(Debt!P29,Debt!P33)</f>
        <v>-170000000</v>
      </c>
      <c r="Q22" s="37">
        <f ca="1">Debt!Q28-SUM(Debt!Q29,Debt!Q33)</f>
        <v>-170000000</v>
      </c>
      <c r="R22" s="37">
        <f ca="1">Debt!R28-SUM(Debt!R29,Debt!R33)</f>
        <v>-170000000</v>
      </c>
      <c r="S22" s="37">
        <f ca="1">Debt!S28-SUM(Debt!S29,Debt!S33)</f>
        <v>0</v>
      </c>
      <c r="T22" s="37">
        <f ca="1">Debt!T28-SUM(Debt!T29,Debt!T33)</f>
        <v>0</v>
      </c>
      <c r="U22" s="37">
        <f ca="1">Debt!U28-SUM(Debt!U29,Debt!U33)</f>
        <v>0</v>
      </c>
      <c r="V22" s="37">
        <f ca="1">Debt!V28-SUM(Debt!V29,Debt!V33)</f>
        <v>0</v>
      </c>
      <c r="W22" s="37">
        <f ca="1">Debt!W28-SUM(Debt!W29,Debt!W33)</f>
        <v>0</v>
      </c>
      <c r="X22" s="37">
        <f ca="1">Debt!X28-SUM(Debt!X29,Debt!X33)</f>
        <v>0</v>
      </c>
      <c r="Y22" s="37">
        <f ca="1">Debt!Y28-SUM(Debt!Y29,Debt!Y33)</f>
        <v>0</v>
      </c>
      <c r="Z22" s="37">
        <f ca="1">Debt!Z28-SUM(Debt!Z29,Debt!Z33)</f>
        <v>0</v>
      </c>
      <c r="AA22" s="37">
        <f ca="1">Debt!AA28-SUM(Debt!AA29,Debt!AA33)</f>
        <v>0</v>
      </c>
      <c r="AB22" s="37">
        <f ca="1">Debt!AB28-SUM(Debt!AB29,Debt!AB33)</f>
        <v>0</v>
      </c>
      <c r="AC22" s="37">
        <f ca="1">Debt!AC28-SUM(Debt!AC29,Debt!AC33)</f>
        <v>0</v>
      </c>
      <c r="AD22" s="37">
        <f ca="1">Debt!AD28-SUM(Debt!AD29,Debt!AD33)</f>
        <v>0</v>
      </c>
      <c r="AE22" s="37">
        <f ca="1">Debt!AE28-SUM(Debt!AE29,Debt!AE33)</f>
        <v>0</v>
      </c>
      <c r="AF22" s="37">
        <f ca="1">Debt!AF28-SUM(Debt!AF29,Debt!AF33)</f>
        <v>0</v>
      </c>
      <c r="AG22" s="37">
        <f ca="1">Debt!AG28-SUM(Debt!AG29,Debt!AG33)</f>
        <v>0</v>
      </c>
      <c r="AH22" s="37">
        <f ca="1">Debt!AH28-SUM(Debt!AH29,Debt!AH33)</f>
        <v>0</v>
      </c>
      <c r="AI22" s="37">
        <f ca="1">Debt!AI28-SUM(Debt!AI29,Debt!AI33)</f>
        <v>0</v>
      </c>
      <c r="AJ22" s="37">
        <f ca="1">Debt!AJ28-SUM(Debt!AJ29,Debt!AJ33)</f>
        <v>0</v>
      </c>
      <c r="AK22" s="37">
        <f ca="1">Debt!AK28-SUM(Debt!AK29,Debt!AK33)</f>
        <v>0</v>
      </c>
      <c r="AL22" s="37">
        <f ca="1">Debt!AL28-SUM(Debt!AL29,Debt!AL33)</f>
        <v>0</v>
      </c>
      <c r="AM22" s="37">
        <f ca="1">Debt!AM28-SUM(Debt!AM29,Debt!AM33)</f>
        <v>0</v>
      </c>
      <c r="AN22" s="37">
        <f ca="1">Debt!AN28-SUM(Debt!AN29,Debt!AN33)</f>
        <v>0</v>
      </c>
      <c r="AO22" s="37">
        <f ca="1">Debt!AO28-SUM(Debt!AO29,Debt!AO33)</f>
        <v>0</v>
      </c>
      <c r="AP22" s="37">
        <f ca="1">Debt!AP28-SUM(Debt!AP29,Debt!AP33)</f>
        <v>0</v>
      </c>
      <c r="AQ22" s="37">
        <f ca="1">Debt!AQ28-SUM(Debt!AQ29,Debt!AQ33)</f>
        <v>0</v>
      </c>
      <c r="AR22" s="37">
        <f ca="1">Debt!AR28-SUM(Debt!AR29,Debt!AR33)</f>
        <v>0</v>
      </c>
      <c r="AS22" s="37">
        <f ca="1">Debt!AS28-SUM(Debt!AS29,Debt!AS33)</f>
        <v>0</v>
      </c>
      <c r="AT22" s="37">
        <f ca="1">Debt!AT28-SUM(Debt!AT29,Debt!AT33)</f>
        <v>0</v>
      </c>
      <c r="AU22" s="37">
        <f ca="1">Debt!AU28-SUM(Debt!AU29,Debt!AU33)</f>
        <v>0</v>
      </c>
      <c r="AV22" s="37">
        <f ca="1">Debt!AV28-SUM(Debt!AV29,Debt!AV33)</f>
        <v>0</v>
      </c>
      <c r="AW22" s="37">
        <f ca="1">Debt!AW28-SUM(Debt!AW29,Debt!AW33)</f>
        <v>0</v>
      </c>
      <c r="AX22" s="37">
        <f ca="1">Debt!AX28-SUM(Debt!AX29,Debt!AX33)</f>
        <v>0</v>
      </c>
      <c r="AY22" s="37">
        <f ca="1">Debt!AY28-SUM(Debt!AY29,Debt!AY33)</f>
        <v>0</v>
      </c>
      <c r="AZ22" s="37">
        <f ca="1">Debt!AZ28-SUM(Debt!AZ29,Debt!AZ33)</f>
        <v>0</v>
      </c>
      <c r="BA22" s="37">
        <f ca="1">Debt!BA28-SUM(Debt!BA29,Debt!BA33)</f>
        <v>0</v>
      </c>
      <c r="BB22" s="37">
        <f ca="1">Debt!BB28-SUM(Debt!BB29,Debt!BB33)</f>
        <v>0</v>
      </c>
      <c r="BC22" s="37">
        <f ca="1">Debt!BC28-SUM(Debt!BC29,Debt!BC33)</f>
        <v>0</v>
      </c>
      <c r="BD22" s="37">
        <f ca="1">Debt!BD28-SUM(Debt!BD29,Debt!BD33)</f>
        <v>0</v>
      </c>
      <c r="BE22" s="37">
        <f ca="1">Debt!BE28-SUM(Debt!BE29,Debt!BE33)</f>
        <v>0</v>
      </c>
      <c r="BF22" s="37">
        <f ca="1">Debt!BF28-SUM(Debt!BF29,Debt!BF33)</f>
        <v>0</v>
      </c>
      <c r="BG22" s="37">
        <f ca="1">Debt!BG28-SUM(Debt!BG29,Debt!BG33)</f>
        <v>0</v>
      </c>
      <c r="BH22" s="37">
        <f ca="1">Debt!BH28-SUM(Debt!BH29,Debt!BH33)</f>
        <v>0</v>
      </c>
      <c r="BI22" s="37">
        <f ca="1">Debt!BI28-SUM(Debt!BI29,Debt!BI33)</f>
        <v>0</v>
      </c>
      <c r="BJ22" s="37">
        <f ca="1">Debt!BJ28-SUM(Debt!BJ29,Debt!BJ33)</f>
        <v>0</v>
      </c>
      <c r="BK22" s="37">
        <f ca="1">Debt!BK28-SUM(Debt!BK29,Debt!BK33)</f>
        <v>0</v>
      </c>
      <c r="BL22" s="37">
        <f ca="1">Debt!BL28-SUM(Debt!BL29,Debt!BL33)</f>
        <v>0</v>
      </c>
      <c r="BM22" s="37">
        <f ca="1">Debt!BM28-SUM(Debt!BM29,Debt!BM33)</f>
        <v>0</v>
      </c>
      <c r="BN22" s="37">
        <f ca="1">Debt!BN28-SUM(Debt!BN29,Debt!BN33)</f>
        <v>0</v>
      </c>
      <c r="BO22" s="37">
        <f ca="1">Debt!BO28-SUM(Debt!BO29,Debt!BO33)</f>
        <v>0</v>
      </c>
      <c r="BP22" s="37">
        <f ca="1">Debt!BP28-SUM(Debt!BP29,Debt!BP33)</f>
        <v>0</v>
      </c>
      <c r="BQ22" s="37">
        <f ca="1">Debt!BQ28-SUM(Debt!BQ29,Debt!BQ33)</f>
        <v>0</v>
      </c>
      <c r="BR22" s="37">
        <f ca="1">Debt!BR28-SUM(Debt!BR29,Debt!BR33)</f>
        <v>0</v>
      </c>
      <c r="BS22" s="37">
        <f ca="1">Debt!BS28-SUM(Debt!BS29,Debt!BS33)</f>
        <v>0</v>
      </c>
      <c r="BT22" s="37">
        <f ca="1">Debt!BT28-SUM(Debt!BT29,Debt!BT33)</f>
        <v>0</v>
      </c>
      <c r="BU22" s="37">
        <f ca="1">Debt!BU28-SUM(Debt!BU29,Debt!BU33)</f>
        <v>0</v>
      </c>
      <c r="BV22" s="37">
        <f ca="1">Debt!BV28-SUM(Debt!BV29,Debt!BV33)</f>
        <v>0</v>
      </c>
      <c r="BW22" s="37">
        <f ca="1">Debt!BW28-SUM(Debt!BW29,Debt!BW33)</f>
        <v>0</v>
      </c>
      <c r="BX22" s="37">
        <f ca="1">Debt!BX28-SUM(Debt!BX29,Debt!BX33)</f>
        <v>0</v>
      </c>
      <c r="BY22" s="37">
        <f ca="1">Debt!BY28-SUM(Debt!BY29,Debt!BY33)</f>
        <v>0</v>
      </c>
      <c r="BZ22" s="37">
        <f ca="1">Debt!BZ28-SUM(Debt!BZ29,Debt!BZ33)</f>
        <v>0</v>
      </c>
      <c r="CA22" s="37">
        <f ca="1">Debt!CA28-SUM(Debt!CA29,Debt!CA33)</f>
        <v>0</v>
      </c>
      <c r="CB22" s="37">
        <f ca="1">Debt!CB28-SUM(Debt!CB29,Debt!CB33)</f>
        <v>0</v>
      </c>
      <c r="CC22" s="37">
        <f ca="1">Debt!CC28-SUM(Debt!CC29,Debt!CC33)</f>
        <v>0</v>
      </c>
      <c r="CD22" s="37">
        <f ca="1">Debt!CD28-SUM(Debt!CD29,Debt!CD33)</f>
        <v>0</v>
      </c>
      <c r="CE22" s="37">
        <f ca="1">Debt!CE28-SUM(Debt!CE29,Debt!CE33)</f>
        <v>0</v>
      </c>
      <c r="CF22" s="37">
        <f ca="1">Debt!CF28-SUM(Debt!CF29,Debt!CF33)</f>
        <v>0</v>
      </c>
      <c r="CG22" s="37">
        <f ca="1">Debt!CG28-SUM(Debt!CG29,Debt!CG33)</f>
        <v>0</v>
      </c>
      <c r="CH22" s="37">
        <f ca="1">Debt!CH28-SUM(Debt!CH29,Debt!CH33)</f>
        <v>0</v>
      </c>
      <c r="CI22" s="37">
        <f ca="1">Debt!CI28-SUM(Debt!CI29,Debt!CI33)</f>
        <v>0</v>
      </c>
      <c r="CJ22" s="37">
        <f ca="1">Debt!CJ28-SUM(Debt!CJ29,Debt!CJ33)</f>
        <v>0</v>
      </c>
      <c r="CK22" s="37">
        <f ca="1">Debt!CK28-SUM(Debt!CK29,Debt!CK33)</f>
        <v>0</v>
      </c>
      <c r="CL22" s="37">
        <f ca="1">Debt!CL28-SUM(Debt!CL29,Debt!CL33)</f>
        <v>0</v>
      </c>
      <c r="CM22" s="37">
        <f ca="1">Debt!CM28-SUM(Debt!CM29,Debt!CM33)</f>
        <v>0</v>
      </c>
      <c r="CN22" s="37">
        <f ca="1">Debt!CN28-SUM(Debt!CN29,Debt!CN33)</f>
        <v>0</v>
      </c>
      <c r="CO22" s="37">
        <f ca="1">Debt!CO28-SUM(Debt!CO29,Debt!CO33)</f>
        <v>0</v>
      </c>
      <c r="CP22" s="37">
        <f ca="1">Debt!CP28-SUM(Debt!CP29,Debt!CP33)</f>
        <v>0</v>
      </c>
      <c r="CQ22" s="37">
        <f ca="1">Debt!CQ28-SUM(Debt!CQ29,Debt!CQ33)</f>
        <v>0</v>
      </c>
      <c r="CR22" s="37">
        <f ca="1">Debt!CR28-SUM(Debt!CR29,Debt!CR33)</f>
        <v>0</v>
      </c>
      <c r="CS22" s="37">
        <f ca="1">Debt!CS28-SUM(Debt!CS29,Debt!CS33)</f>
        <v>0</v>
      </c>
      <c r="CT22" s="37">
        <f ca="1">Debt!CT28-SUM(Debt!CT29,Debt!CT33)</f>
        <v>0</v>
      </c>
      <c r="CU22" s="37">
        <f ca="1">Debt!CU28-SUM(Debt!CU29,Debt!CU33)</f>
        <v>0</v>
      </c>
      <c r="CV22" s="37">
        <f ca="1">Debt!CV28-SUM(Debt!CV29,Debt!CV33)</f>
        <v>0</v>
      </c>
      <c r="CW22" s="37">
        <f ca="1">Debt!CW28-SUM(Debt!CW29,Debt!CW33)</f>
        <v>0</v>
      </c>
      <c r="CX22" s="37">
        <f ca="1">Debt!CX28-SUM(Debt!CX29,Debt!CX33)</f>
        <v>0</v>
      </c>
      <c r="CY22" s="37">
        <f ca="1">Debt!CY28-SUM(Debt!CY29,Debt!CY33)</f>
        <v>0</v>
      </c>
      <c r="CZ22" s="37">
        <f ca="1">Debt!CZ28-SUM(Debt!CZ29,Debt!CZ33)</f>
        <v>0</v>
      </c>
      <c r="DA22" s="37">
        <f ca="1">Debt!DA28-SUM(Debt!DA29,Debt!DA33)</f>
        <v>0</v>
      </c>
      <c r="DB22" s="37">
        <f ca="1">Debt!DB28-SUM(Debt!DB29,Debt!DB33)</f>
        <v>0</v>
      </c>
      <c r="DC22" s="37">
        <f ca="1">Debt!DC28-SUM(Debt!DC29,Debt!DC33)</f>
        <v>0</v>
      </c>
      <c r="DD22" s="37">
        <f ca="1">Debt!DD28-SUM(Debt!DD29,Debt!DD33)</f>
        <v>0</v>
      </c>
      <c r="DE22" s="37">
        <f ca="1">Debt!DE28-SUM(Debt!DE29,Debt!DE33)</f>
        <v>0</v>
      </c>
    </row>
    <row r="23" spans="3:109" x14ac:dyDescent="0.15">
      <c r="C23" s="23"/>
      <c r="D23" s="5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</row>
    <row r="24" spans="3:109" ht="14" x14ac:dyDescent="0.15">
      <c r="C24" s="2" t="s">
        <v>341</v>
      </c>
      <c r="D24" s="5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</row>
    <row r="25" spans="3:109" x14ac:dyDescent="0.15">
      <c r="C25" s="23"/>
      <c r="D25" s="5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</row>
    <row r="26" spans="3:109" x14ac:dyDescent="0.15">
      <c r="C26" s="23" t="s">
        <v>344</v>
      </c>
      <c r="D26" s="5" t="s">
        <v>0</v>
      </c>
      <c r="I26" s="35">
        <f ca="1">SUM(J26:DE26)</f>
        <v>484500000</v>
      </c>
      <c r="J26" s="37">
        <f>-SUM(J19,J22)</f>
        <v>-786250000</v>
      </c>
      <c r="K26" s="37">
        <f t="shared" ref="K26:L26" si="6">-SUM(K19,K22)</f>
        <v>76500000</v>
      </c>
      <c r="L26" s="37">
        <f t="shared" si="6"/>
        <v>76500000</v>
      </c>
      <c r="M26" s="37">
        <f t="shared" ref="M26:AR26" ca="1" si="7">-SUM(M19,M22)</f>
        <v>76500000</v>
      </c>
      <c r="N26" s="37">
        <f t="shared" ca="1" si="7"/>
        <v>238850000</v>
      </c>
      <c r="O26" s="37">
        <f t="shared" ca="1" si="7"/>
        <v>223550000</v>
      </c>
      <c r="P26" s="37">
        <f t="shared" ca="1" si="7"/>
        <v>208250000</v>
      </c>
      <c r="Q26" s="37">
        <f t="shared" ca="1" si="7"/>
        <v>192950000</v>
      </c>
      <c r="R26" s="37">
        <f t="shared" ca="1" si="7"/>
        <v>177650000</v>
      </c>
      <c r="S26" s="37">
        <f t="shared" ca="1" si="7"/>
        <v>0</v>
      </c>
      <c r="T26" s="37">
        <f t="shared" ca="1" si="7"/>
        <v>0</v>
      </c>
      <c r="U26" s="37">
        <f t="shared" ca="1" si="7"/>
        <v>0</v>
      </c>
      <c r="V26" s="37">
        <f t="shared" ca="1" si="7"/>
        <v>0</v>
      </c>
      <c r="W26" s="37">
        <f t="shared" ca="1" si="7"/>
        <v>0</v>
      </c>
      <c r="X26" s="37">
        <f t="shared" ca="1" si="7"/>
        <v>0</v>
      </c>
      <c r="Y26" s="37">
        <f t="shared" ca="1" si="7"/>
        <v>0</v>
      </c>
      <c r="Z26" s="37">
        <f t="shared" ca="1" si="7"/>
        <v>0</v>
      </c>
      <c r="AA26" s="37">
        <f t="shared" ca="1" si="7"/>
        <v>0</v>
      </c>
      <c r="AB26" s="37">
        <f t="shared" ca="1" si="7"/>
        <v>0</v>
      </c>
      <c r="AC26" s="37">
        <f t="shared" ca="1" si="7"/>
        <v>0</v>
      </c>
      <c r="AD26" s="37">
        <f t="shared" ca="1" si="7"/>
        <v>0</v>
      </c>
      <c r="AE26" s="37">
        <f t="shared" ca="1" si="7"/>
        <v>0</v>
      </c>
      <c r="AF26" s="37">
        <f t="shared" ca="1" si="7"/>
        <v>0</v>
      </c>
      <c r="AG26" s="37">
        <f t="shared" ca="1" si="7"/>
        <v>0</v>
      </c>
      <c r="AH26" s="37">
        <f t="shared" ca="1" si="7"/>
        <v>0</v>
      </c>
      <c r="AI26" s="37">
        <f t="shared" ca="1" si="7"/>
        <v>0</v>
      </c>
      <c r="AJ26" s="37">
        <f t="shared" ca="1" si="7"/>
        <v>0</v>
      </c>
      <c r="AK26" s="37">
        <f t="shared" ca="1" si="7"/>
        <v>0</v>
      </c>
      <c r="AL26" s="37">
        <f t="shared" ca="1" si="7"/>
        <v>0</v>
      </c>
      <c r="AM26" s="37">
        <f t="shared" ca="1" si="7"/>
        <v>0</v>
      </c>
      <c r="AN26" s="37">
        <f t="shared" ca="1" si="7"/>
        <v>0</v>
      </c>
      <c r="AO26" s="37">
        <f t="shared" ca="1" si="7"/>
        <v>0</v>
      </c>
      <c r="AP26" s="37">
        <f t="shared" ca="1" si="7"/>
        <v>0</v>
      </c>
      <c r="AQ26" s="37">
        <f t="shared" ca="1" si="7"/>
        <v>0</v>
      </c>
      <c r="AR26" s="37">
        <f t="shared" ca="1" si="7"/>
        <v>0</v>
      </c>
      <c r="AS26" s="37">
        <f t="shared" ref="AS26:BX26" ca="1" si="8">-SUM(AS19,AS22)</f>
        <v>0</v>
      </c>
      <c r="AT26" s="37">
        <f t="shared" ca="1" si="8"/>
        <v>0</v>
      </c>
      <c r="AU26" s="37">
        <f t="shared" ca="1" si="8"/>
        <v>0</v>
      </c>
      <c r="AV26" s="37">
        <f t="shared" ca="1" si="8"/>
        <v>0</v>
      </c>
      <c r="AW26" s="37">
        <f t="shared" ca="1" si="8"/>
        <v>0</v>
      </c>
      <c r="AX26" s="37">
        <f t="shared" ca="1" si="8"/>
        <v>0</v>
      </c>
      <c r="AY26" s="37">
        <f t="shared" ca="1" si="8"/>
        <v>0</v>
      </c>
      <c r="AZ26" s="37">
        <f t="shared" ca="1" si="8"/>
        <v>0</v>
      </c>
      <c r="BA26" s="37">
        <f t="shared" ca="1" si="8"/>
        <v>0</v>
      </c>
      <c r="BB26" s="37">
        <f t="shared" ca="1" si="8"/>
        <v>0</v>
      </c>
      <c r="BC26" s="37">
        <f t="shared" ca="1" si="8"/>
        <v>0</v>
      </c>
      <c r="BD26" s="37">
        <f t="shared" ca="1" si="8"/>
        <v>0</v>
      </c>
      <c r="BE26" s="37">
        <f t="shared" ca="1" si="8"/>
        <v>0</v>
      </c>
      <c r="BF26" s="37">
        <f t="shared" ca="1" si="8"/>
        <v>0</v>
      </c>
      <c r="BG26" s="37">
        <f t="shared" ca="1" si="8"/>
        <v>0</v>
      </c>
      <c r="BH26" s="37">
        <f t="shared" ca="1" si="8"/>
        <v>0</v>
      </c>
      <c r="BI26" s="37">
        <f t="shared" ca="1" si="8"/>
        <v>0</v>
      </c>
      <c r="BJ26" s="37">
        <f t="shared" ca="1" si="8"/>
        <v>0</v>
      </c>
      <c r="BK26" s="37">
        <f t="shared" ca="1" si="8"/>
        <v>0</v>
      </c>
      <c r="BL26" s="37">
        <f t="shared" ca="1" si="8"/>
        <v>0</v>
      </c>
      <c r="BM26" s="37">
        <f t="shared" ca="1" si="8"/>
        <v>0</v>
      </c>
      <c r="BN26" s="37">
        <f t="shared" ca="1" si="8"/>
        <v>0</v>
      </c>
      <c r="BO26" s="37">
        <f t="shared" ca="1" si="8"/>
        <v>0</v>
      </c>
      <c r="BP26" s="37">
        <f t="shared" ca="1" si="8"/>
        <v>0</v>
      </c>
      <c r="BQ26" s="37">
        <f t="shared" ca="1" si="8"/>
        <v>0</v>
      </c>
      <c r="BR26" s="37">
        <f t="shared" ca="1" si="8"/>
        <v>0</v>
      </c>
      <c r="BS26" s="37">
        <f t="shared" ca="1" si="8"/>
        <v>0</v>
      </c>
      <c r="BT26" s="37">
        <f t="shared" ca="1" si="8"/>
        <v>0</v>
      </c>
      <c r="BU26" s="37">
        <f t="shared" ca="1" si="8"/>
        <v>0</v>
      </c>
      <c r="BV26" s="37">
        <f t="shared" ca="1" si="8"/>
        <v>0</v>
      </c>
      <c r="BW26" s="37">
        <f t="shared" ca="1" si="8"/>
        <v>0</v>
      </c>
      <c r="BX26" s="37">
        <f t="shared" ca="1" si="8"/>
        <v>0</v>
      </c>
      <c r="BY26" s="37">
        <f t="shared" ref="BY26:DE26" ca="1" si="9">-SUM(BY19,BY22)</f>
        <v>0</v>
      </c>
      <c r="BZ26" s="37">
        <f t="shared" ca="1" si="9"/>
        <v>0</v>
      </c>
      <c r="CA26" s="37">
        <f t="shared" ca="1" si="9"/>
        <v>0</v>
      </c>
      <c r="CB26" s="37">
        <f t="shared" ca="1" si="9"/>
        <v>0</v>
      </c>
      <c r="CC26" s="37">
        <f t="shared" ca="1" si="9"/>
        <v>0</v>
      </c>
      <c r="CD26" s="37">
        <f t="shared" ca="1" si="9"/>
        <v>0</v>
      </c>
      <c r="CE26" s="37">
        <f t="shared" ca="1" si="9"/>
        <v>0</v>
      </c>
      <c r="CF26" s="37">
        <f t="shared" ca="1" si="9"/>
        <v>0</v>
      </c>
      <c r="CG26" s="37">
        <f t="shared" ca="1" si="9"/>
        <v>0</v>
      </c>
      <c r="CH26" s="37">
        <f t="shared" ca="1" si="9"/>
        <v>0</v>
      </c>
      <c r="CI26" s="37">
        <f t="shared" ca="1" si="9"/>
        <v>0</v>
      </c>
      <c r="CJ26" s="37">
        <f t="shared" ca="1" si="9"/>
        <v>0</v>
      </c>
      <c r="CK26" s="37">
        <f t="shared" ca="1" si="9"/>
        <v>0</v>
      </c>
      <c r="CL26" s="37">
        <f t="shared" ca="1" si="9"/>
        <v>0</v>
      </c>
      <c r="CM26" s="37">
        <f t="shared" ca="1" si="9"/>
        <v>0</v>
      </c>
      <c r="CN26" s="37">
        <f t="shared" ca="1" si="9"/>
        <v>0</v>
      </c>
      <c r="CO26" s="37">
        <f t="shared" ca="1" si="9"/>
        <v>0</v>
      </c>
      <c r="CP26" s="37">
        <f t="shared" ca="1" si="9"/>
        <v>0</v>
      </c>
      <c r="CQ26" s="37">
        <f t="shared" ca="1" si="9"/>
        <v>0</v>
      </c>
      <c r="CR26" s="37">
        <f t="shared" ca="1" si="9"/>
        <v>0</v>
      </c>
      <c r="CS26" s="37">
        <f t="shared" ca="1" si="9"/>
        <v>0</v>
      </c>
      <c r="CT26" s="37">
        <f t="shared" ca="1" si="9"/>
        <v>0</v>
      </c>
      <c r="CU26" s="37">
        <f t="shared" ca="1" si="9"/>
        <v>0</v>
      </c>
      <c r="CV26" s="37">
        <f t="shared" ca="1" si="9"/>
        <v>0</v>
      </c>
      <c r="CW26" s="37">
        <f t="shared" ca="1" si="9"/>
        <v>0</v>
      </c>
      <c r="CX26" s="37">
        <f t="shared" ca="1" si="9"/>
        <v>0</v>
      </c>
      <c r="CY26" s="37">
        <f t="shared" ca="1" si="9"/>
        <v>0</v>
      </c>
      <c r="CZ26" s="37">
        <f t="shared" ca="1" si="9"/>
        <v>0</v>
      </c>
      <c r="DA26" s="37">
        <f t="shared" ca="1" si="9"/>
        <v>0</v>
      </c>
      <c r="DB26" s="37">
        <f t="shared" ca="1" si="9"/>
        <v>0</v>
      </c>
      <c r="DC26" s="37">
        <f t="shared" ca="1" si="9"/>
        <v>0</v>
      </c>
      <c r="DD26" s="37">
        <f t="shared" ca="1" si="9"/>
        <v>0</v>
      </c>
      <c r="DE26" s="37">
        <f t="shared" ca="1" si="9"/>
        <v>0</v>
      </c>
    </row>
    <row r="27" spans="3:109" x14ac:dyDescent="0.15">
      <c r="C27" s="92" t="s">
        <v>342</v>
      </c>
      <c r="D27" s="93" t="s">
        <v>0</v>
      </c>
      <c r="E27" s="94">
        <f ca="1">NPV(8%,J26:DE26)</f>
        <v>72592812.460928157</v>
      </c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</row>
    <row r="28" spans="3:109" x14ac:dyDescent="0.15">
      <c r="C28" s="92" t="s">
        <v>343</v>
      </c>
      <c r="D28" s="93"/>
      <c r="E28" s="97">
        <f ca="1">IRR(J26:DE26)</f>
        <v>0.1015744036732853</v>
      </c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</row>
    <row r="29" spans="3:109" x14ac:dyDescent="0.15">
      <c r="C29" s="23"/>
      <c r="D29" s="5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</row>
    <row r="30" spans="3:109" x14ac:dyDescent="0.15">
      <c r="C30" s="23"/>
      <c r="D30" s="5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</row>
    <row r="31" spans="3:109" x14ac:dyDescent="0.15">
      <c r="D31" s="5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3:109" s="70" customFormat="1" x14ac:dyDescent="0.15">
      <c r="C32" s="73" t="s">
        <v>235</v>
      </c>
      <c r="D32" s="88" t="s">
        <v>0</v>
      </c>
      <c r="I32" s="72">
        <f ca="1">SUM(J32:DE32)</f>
        <v>7651644990.9937973</v>
      </c>
      <c r="J32" s="40">
        <f>SUM(J16,J18:J22)</f>
        <v>622049834.4631902</v>
      </c>
      <c r="K32" s="40">
        <f t="shared" ref="K32:L32" si="10">SUM(K16,K18:K22)</f>
        <v>-440037473.7028923</v>
      </c>
      <c r="L32" s="40">
        <f t="shared" si="10"/>
        <v>-770912233.46187568</v>
      </c>
      <c r="M32" s="40">
        <f t="shared" ref="M32:AR32" ca="1" si="11">SUM(M16,M18:M22)</f>
        <v>-454677949.79842246</v>
      </c>
      <c r="N32" s="40">
        <f t="shared" ca="1" si="11"/>
        <v>925995690.43693399</v>
      </c>
      <c r="O32" s="40">
        <f t="shared" ca="1" si="11"/>
        <v>1061785672.8689475</v>
      </c>
      <c r="P32" s="40">
        <f t="shared" ca="1" si="11"/>
        <v>1130471454.7466433</v>
      </c>
      <c r="Q32" s="40">
        <f t="shared" ca="1" si="11"/>
        <v>1166992104.7272694</v>
      </c>
      <c r="R32" s="40">
        <f t="shared" ca="1" si="11"/>
        <v>1053249170.6935349</v>
      </c>
      <c r="S32" s="40">
        <f t="shared" ca="1" si="11"/>
        <v>607101397.63553977</v>
      </c>
      <c r="T32" s="40">
        <f t="shared" ca="1" si="11"/>
        <v>656118999.97974932</v>
      </c>
      <c r="U32" s="40">
        <f t="shared" ca="1" si="11"/>
        <v>720857277.05750835</v>
      </c>
      <c r="V32" s="40">
        <f t="shared" ca="1" si="11"/>
        <v>588510678.9207319</v>
      </c>
      <c r="W32" s="40">
        <f t="shared" ca="1" si="11"/>
        <v>610443909.60839903</v>
      </c>
      <c r="X32" s="40">
        <f t="shared" ca="1" si="11"/>
        <v>226166456.81853932</v>
      </c>
      <c r="Y32" s="40">
        <f t="shared" ca="1" si="11"/>
        <v>-52470000</v>
      </c>
      <c r="Z32" s="40">
        <f t="shared" ca="1" si="11"/>
        <v>0</v>
      </c>
      <c r="AA32" s="40">
        <f t="shared" ca="1" si="11"/>
        <v>0</v>
      </c>
      <c r="AB32" s="40">
        <f t="shared" ca="1" si="11"/>
        <v>0</v>
      </c>
      <c r="AC32" s="40">
        <f t="shared" ca="1" si="11"/>
        <v>0</v>
      </c>
      <c r="AD32" s="40">
        <f t="shared" ca="1" si="11"/>
        <v>0</v>
      </c>
      <c r="AE32" s="40">
        <f t="shared" ca="1" si="11"/>
        <v>0</v>
      </c>
      <c r="AF32" s="40">
        <f t="shared" ca="1" si="11"/>
        <v>0</v>
      </c>
      <c r="AG32" s="40">
        <f t="shared" ca="1" si="11"/>
        <v>0</v>
      </c>
      <c r="AH32" s="40">
        <f t="shared" ca="1" si="11"/>
        <v>0</v>
      </c>
      <c r="AI32" s="40">
        <f t="shared" ca="1" si="11"/>
        <v>0</v>
      </c>
      <c r="AJ32" s="40">
        <f t="shared" ca="1" si="11"/>
        <v>0</v>
      </c>
      <c r="AK32" s="40">
        <f t="shared" ca="1" si="11"/>
        <v>0</v>
      </c>
      <c r="AL32" s="40">
        <f t="shared" ca="1" si="11"/>
        <v>0</v>
      </c>
      <c r="AM32" s="40">
        <f t="shared" ca="1" si="11"/>
        <v>0</v>
      </c>
      <c r="AN32" s="40">
        <f t="shared" ca="1" si="11"/>
        <v>0</v>
      </c>
      <c r="AO32" s="40">
        <f t="shared" ca="1" si="11"/>
        <v>0</v>
      </c>
      <c r="AP32" s="40">
        <f t="shared" ca="1" si="11"/>
        <v>0</v>
      </c>
      <c r="AQ32" s="40">
        <f t="shared" ca="1" si="11"/>
        <v>0</v>
      </c>
      <c r="AR32" s="40">
        <f t="shared" ca="1" si="11"/>
        <v>0</v>
      </c>
      <c r="AS32" s="40">
        <f t="shared" ref="AS32:BX32" ca="1" si="12">SUM(AS16,AS18:AS22)</f>
        <v>0</v>
      </c>
      <c r="AT32" s="40">
        <f t="shared" ca="1" si="12"/>
        <v>0</v>
      </c>
      <c r="AU32" s="40">
        <f t="shared" ca="1" si="12"/>
        <v>0</v>
      </c>
      <c r="AV32" s="40">
        <f t="shared" ca="1" si="12"/>
        <v>0</v>
      </c>
      <c r="AW32" s="40">
        <f t="shared" ca="1" si="12"/>
        <v>0</v>
      </c>
      <c r="AX32" s="40">
        <f t="shared" ca="1" si="12"/>
        <v>0</v>
      </c>
      <c r="AY32" s="40">
        <f t="shared" ca="1" si="12"/>
        <v>0</v>
      </c>
      <c r="AZ32" s="40">
        <f t="shared" ca="1" si="12"/>
        <v>0</v>
      </c>
      <c r="BA32" s="40">
        <f t="shared" ca="1" si="12"/>
        <v>0</v>
      </c>
      <c r="BB32" s="40">
        <f t="shared" ca="1" si="12"/>
        <v>0</v>
      </c>
      <c r="BC32" s="40">
        <f t="shared" ca="1" si="12"/>
        <v>0</v>
      </c>
      <c r="BD32" s="40">
        <f t="shared" ca="1" si="12"/>
        <v>0</v>
      </c>
      <c r="BE32" s="40">
        <f t="shared" ca="1" si="12"/>
        <v>0</v>
      </c>
      <c r="BF32" s="40">
        <f t="shared" ca="1" si="12"/>
        <v>0</v>
      </c>
      <c r="BG32" s="40">
        <f t="shared" ca="1" si="12"/>
        <v>0</v>
      </c>
      <c r="BH32" s="40">
        <f t="shared" ca="1" si="12"/>
        <v>0</v>
      </c>
      <c r="BI32" s="40">
        <f t="shared" ca="1" si="12"/>
        <v>0</v>
      </c>
      <c r="BJ32" s="40">
        <f t="shared" ca="1" si="12"/>
        <v>0</v>
      </c>
      <c r="BK32" s="40">
        <f t="shared" ca="1" si="12"/>
        <v>0</v>
      </c>
      <c r="BL32" s="40">
        <f t="shared" ca="1" si="12"/>
        <v>0</v>
      </c>
      <c r="BM32" s="40">
        <f t="shared" ca="1" si="12"/>
        <v>0</v>
      </c>
      <c r="BN32" s="40">
        <f t="shared" ca="1" si="12"/>
        <v>0</v>
      </c>
      <c r="BO32" s="40">
        <f t="shared" ca="1" si="12"/>
        <v>0</v>
      </c>
      <c r="BP32" s="40">
        <f t="shared" ca="1" si="12"/>
        <v>0</v>
      </c>
      <c r="BQ32" s="40">
        <f t="shared" ca="1" si="12"/>
        <v>0</v>
      </c>
      <c r="BR32" s="40">
        <f t="shared" ca="1" si="12"/>
        <v>0</v>
      </c>
      <c r="BS32" s="40">
        <f t="shared" ca="1" si="12"/>
        <v>0</v>
      </c>
      <c r="BT32" s="40">
        <f t="shared" ca="1" si="12"/>
        <v>0</v>
      </c>
      <c r="BU32" s="40">
        <f t="shared" ca="1" si="12"/>
        <v>0</v>
      </c>
      <c r="BV32" s="40">
        <f t="shared" ca="1" si="12"/>
        <v>0</v>
      </c>
      <c r="BW32" s="40">
        <f t="shared" ca="1" si="12"/>
        <v>0</v>
      </c>
      <c r="BX32" s="40">
        <f t="shared" ca="1" si="12"/>
        <v>0</v>
      </c>
      <c r="BY32" s="40">
        <f t="shared" ref="BY32:DE32" ca="1" si="13">SUM(BY16,BY18:BY22)</f>
        <v>0</v>
      </c>
      <c r="BZ32" s="40">
        <f t="shared" ca="1" si="13"/>
        <v>0</v>
      </c>
      <c r="CA32" s="40">
        <f t="shared" ca="1" si="13"/>
        <v>0</v>
      </c>
      <c r="CB32" s="40">
        <f t="shared" ca="1" si="13"/>
        <v>0</v>
      </c>
      <c r="CC32" s="40">
        <f t="shared" ca="1" si="13"/>
        <v>0</v>
      </c>
      <c r="CD32" s="40">
        <f t="shared" ca="1" si="13"/>
        <v>0</v>
      </c>
      <c r="CE32" s="40">
        <f t="shared" ca="1" si="13"/>
        <v>0</v>
      </c>
      <c r="CF32" s="40">
        <f t="shared" ca="1" si="13"/>
        <v>0</v>
      </c>
      <c r="CG32" s="40">
        <f t="shared" ca="1" si="13"/>
        <v>0</v>
      </c>
      <c r="CH32" s="40">
        <f t="shared" ca="1" si="13"/>
        <v>0</v>
      </c>
      <c r="CI32" s="40">
        <f t="shared" ca="1" si="13"/>
        <v>0</v>
      </c>
      <c r="CJ32" s="40">
        <f t="shared" ca="1" si="13"/>
        <v>0</v>
      </c>
      <c r="CK32" s="40">
        <f t="shared" ca="1" si="13"/>
        <v>0</v>
      </c>
      <c r="CL32" s="40">
        <f t="shared" ca="1" si="13"/>
        <v>0</v>
      </c>
      <c r="CM32" s="40">
        <f t="shared" ca="1" si="13"/>
        <v>0</v>
      </c>
      <c r="CN32" s="40">
        <f t="shared" ca="1" si="13"/>
        <v>0</v>
      </c>
      <c r="CO32" s="40">
        <f t="shared" ca="1" si="13"/>
        <v>0</v>
      </c>
      <c r="CP32" s="40">
        <f t="shared" ca="1" si="13"/>
        <v>0</v>
      </c>
      <c r="CQ32" s="40">
        <f t="shared" ca="1" si="13"/>
        <v>0</v>
      </c>
      <c r="CR32" s="40">
        <f t="shared" ca="1" si="13"/>
        <v>0</v>
      </c>
      <c r="CS32" s="40">
        <f t="shared" ca="1" si="13"/>
        <v>0</v>
      </c>
      <c r="CT32" s="40">
        <f t="shared" ca="1" si="13"/>
        <v>0</v>
      </c>
      <c r="CU32" s="40">
        <f t="shared" ca="1" si="13"/>
        <v>0</v>
      </c>
      <c r="CV32" s="40">
        <f t="shared" ca="1" si="13"/>
        <v>0</v>
      </c>
      <c r="CW32" s="40">
        <f t="shared" ca="1" si="13"/>
        <v>0</v>
      </c>
      <c r="CX32" s="40">
        <f t="shared" ca="1" si="13"/>
        <v>0</v>
      </c>
      <c r="CY32" s="40">
        <f t="shared" ca="1" si="13"/>
        <v>0</v>
      </c>
      <c r="CZ32" s="40">
        <f t="shared" ca="1" si="13"/>
        <v>0</v>
      </c>
      <c r="DA32" s="40">
        <f t="shared" ca="1" si="13"/>
        <v>0</v>
      </c>
      <c r="DB32" s="40">
        <f t="shared" ca="1" si="13"/>
        <v>0</v>
      </c>
      <c r="DC32" s="40">
        <f t="shared" ca="1" si="13"/>
        <v>0</v>
      </c>
      <c r="DD32" s="40">
        <f t="shared" ca="1" si="13"/>
        <v>0</v>
      </c>
      <c r="DE32" s="40">
        <f t="shared" ca="1" si="13"/>
        <v>0</v>
      </c>
    </row>
    <row r="33" spans="3:109" x14ac:dyDescent="0.15">
      <c r="D33" s="5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3:109" x14ac:dyDescent="0.15">
      <c r="C34" s="23" t="s">
        <v>267</v>
      </c>
      <c r="D34" s="5" t="s">
        <v>0</v>
      </c>
      <c r="E34" s="43">
        <v>-25000000</v>
      </c>
      <c r="I34" s="35">
        <f>SUM(J34:DE34)</f>
        <v>-375000000</v>
      </c>
      <c r="J34" s="37">
        <f>$E34*MAX(J$5:J$6)</f>
        <v>-25000000</v>
      </c>
      <c r="K34" s="37">
        <f t="shared" ref="K34:BV34" si="14">$E$34*MAX(K5:K6)</f>
        <v>-25000000</v>
      </c>
      <c r="L34" s="37">
        <f t="shared" si="14"/>
        <v>-25000000</v>
      </c>
      <c r="M34" s="37">
        <f t="shared" si="14"/>
        <v>-25000000</v>
      </c>
      <c r="N34" s="37">
        <f t="shared" si="14"/>
        <v>-25000000</v>
      </c>
      <c r="O34" s="37">
        <f t="shared" si="14"/>
        <v>-25000000</v>
      </c>
      <c r="P34" s="37">
        <f t="shared" si="14"/>
        <v>-25000000</v>
      </c>
      <c r="Q34" s="37">
        <f t="shared" si="14"/>
        <v>-25000000</v>
      </c>
      <c r="R34" s="37">
        <f t="shared" si="14"/>
        <v>-25000000</v>
      </c>
      <c r="S34" s="37">
        <f t="shared" si="14"/>
        <v>-25000000</v>
      </c>
      <c r="T34" s="37">
        <f t="shared" si="14"/>
        <v>-25000000</v>
      </c>
      <c r="U34" s="37">
        <f t="shared" si="14"/>
        <v>-25000000</v>
      </c>
      <c r="V34" s="37">
        <f t="shared" si="14"/>
        <v>-25000000</v>
      </c>
      <c r="W34" s="37">
        <f t="shared" si="14"/>
        <v>-25000000</v>
      </c>
      <c r="X34" s="37">
        <f t="shared" si="14"/>
        <v>-25000000</v>
      </c>
      <c r="Y34" s="37">
        <f t="shared" si="14"/>
        <v>0</v>
      </c>
      <c r="Z34" s="37">
        <f t="shared" si="14"/>
        <v>0</v>
      </c>
      <c r="AA34" s="37">
        <f t="shared" si="14"/>
        <v>0</v>
      </c>
      <c r="AB34" s="37">
        <f t="shared" si="14"/>
        <v>0</v>
      </c>
      <c r="AC34" s="37">
        <f t="shared" si="14"/>
        <v>0</v>
      </c>
      <c r="AD34" s="37">
        <f t="shared" si="14"/>
        <v>0</v>
      </c>
      <c r="AE34" s="37">
        <f t="shared" si="14"/>
        <v>0</v>
      </c>
      <c r="AF34" s="37">
        <f t="shared" si="14"/>
        <v>0</v>
      </c>
      <c r="AG34" s="37">
        <f t="shared" si="14"/>
        <v>0</v>
      </c>
      <c r="AH34" s="37">
        <f t="shared" si="14"/>
        <v>0</v>
      </c>
      <c r="AI34" s="37">
        <f t="shared" si="14"/>
        <v>0</v>
      </c>
      <c r="AJ34" s="37">
        <f t="shared" si="14"/>
        <v>0</v>
      </c>
      <c r="AK34" s="37">
        <f t="shared" si="14"/>
        <v>0</v>
      </c>
      <c r="AL34" s="37">
        <f t="shared" si="14"/>
        <v>0</v>
      </c>
      <c r="AM34" s="37">
        <f t="shared" si="14"/>
        <v>0</v>
      </c>
      <c r="AN34" s="37">
        <f t="shared" si="14"/>
        <v>0</v>
      </c>
      <c r="AO34" s="37">
        <f t="shared" si="14"/>
        <v>0</v>
      </c>
      <c r="AP34" s="37">
        <f t="shared" si="14"/>
        <v>0</v>
      </c>
      <c r="AQ34" s="37">
        <f t="shared" si="14"/>
        <v>0</v>
      </c>
      <c r="AR34" s="37">
        <f t="shared" si="14"/>
        <v>0</v>
      </c>
      <c r="AS34" s="37">
        <f t="shared" si="14"/>
        <v>0</v>
      </c>
      <c r="AT34" s="37">
        <f t="shared" si="14"/>
        <v>0</v>
      </c>
      <c r="AU34" s="37">
        <f t="shared" si="14"/>
        <v>0</v>
      </c>
      <c r="AV34" s="37">
        <f t="shared" si="14"/>
        <v>0</v>
      </c>
      <c r="AW34" s="37">
        <f t="shared" si="14"/>
        <v>0</v>
      </c>
      <c r="AX34" s="37">
        <f t="shared" si="14"/>
        <v>0</v>
      </c>
      <c r="AY34" s="37">
        <f t="shared" si="14"/>
        <v>0</v>
      </c>
      <c r="AZ34" s="37">
        <f t="shared" si="14"/>
        <v>0</v>
      </c>
      <c r="BA34" s="37">
        <f t="shared" si="14"/>
        <v>0</v>
      </c>
      <c r="BB34" s="37">
        <f t="shared" si="14"/>
        <v>0</v>
      </c>
      <c r="BC34" s="37">
        <f t="shared" si="14"/>
        <v>0</v>
      </c>
      <c r="BD34" s="37">
        <f t="shared" si="14"/>
        <v>0</v>
      </c>
      <c r="BE34" s="37">
        <f t="shared" si="14"/>
        <v>0</v>
      </c>
      <c r="BF34" s="37">
        <f t="shared" si="14"/>
        <v>0</v>
      </c>
      <c r="BG34" s="37">
        <f t="shared" si="14"/>
        <v>0</v>
      </c>
      <c r="BH34" s="37">
        <f t="shared" si="14"/>
        <v>0</v>
      </c>
      <c r="BI34" s="37">
        <f t="shared" si="14"/>
        <v>0</v>
      </c>
      <c r="BJ34" s="37">
        <f t="shared" si="14"/>
        <v>0</v>
      </c>
      <c r="BK34" s="37">
        <f t="shared" si="14"/>
        <v>0</v>
      </c>
      <c r="BL34" s="37">
        <f t="shared" si="14"/>
        <v>0</v>
      </c>
      <c r="BM34" s="37">
        <f t="shared" si="14"/>
        <v>0</v>
      </c>
      <c r="BN34" s="37">
        <f t="shared" si="14"/>
        <v>0</v>
      </c>
      <c r="BO34" s="37">
        <f t="shared" si="14"/>
        <v>0</v>
      </c>
      <c r="BP34" s="37">
        <f t="shared" si="14"/>
        <v>0</v>
      </c>
      <c r="BQ34" s="37">
        <f t="shared" si="14"/>
        <v>0</v>
      </c>
      <c r="BR34" s="37">
        <f t="shared" si="14"/>
        <v>0</v>
      </c>
      <c r="BS34" s="37">
        <f t="shared" si="14"/>
        <v>0</v>
      </c>
      <c r="BT34" s="37">
        <f t="shared" si="14"/>
        <v>0</v>
      </c>
      <c r="BU34" s="37">
        <f t="shared" si="14"/>
        <v>0</v>
      </c>
      <c r="BV34" s="37">
        <f t="shared" si="14"/>
        <v>0</v>
      </c>
      <c r="BW34" s="37">
        <f t="shared" ref="BW34:DE34" si="15">$E$34*MAX(BW5:BW6)</f>
        <v>0</v>
      </c>
      <c r="BX34" s="37">
        <f t="shared" si="15"/>
        <v>0</v>
      </c>
      <c r="BY34" s="37">
        <f t="shared" si="15"/>
        <v>0</v>
      </c>
      <c r="BZ34" s="37">
        <f t="shared" si="15"/>
        <v>0</v>
      </c>
      <c r="CA34" s="37">
        <f t="shared" si="15"/>
        <v>0</v>
      </c>
      <c r="CB34" s="37">
        <f t="shared" si="15"/>
        <v>0</v>
      </c>
      <c r="CC34" s="37">
        <f t="shared" si="15"/>
        <v>0</v>
      </c>
      <c r="CD34" s="37">
        <f t="shared" si="15"/>
        <v>0</v>
      </c>
      <c r="CE34" s="37">
        <f t="shared" si="15"/>
        <v>0</v>
      </c>
      <c r="CF34" s="37">
        <f t="shared" si="15"/>
        <v>0</v>
      </c>
      <c r="CG34" s="37">
        <f t="shared" si="15"/>
        <v>0</v>
      </c>
      <c r="CH34" s="37">
        <f t="shared" si="15"/>
        <v>0</v>
      </c>
      <c r="CI34" s="37">
        <f t="shared" si="15"/>
        <v>0</v>
      </c>
      <c r="CJ34" s="37">
        <f t="shared" si="15"/>
        <v>0</v>
      </c>
      <c r="CK34" s="37">
        <f t="shared" si="15"/>
        <v>0</v>
      </c>
      <c r="CL34" s="37">
        <f t="shared" si="15"/>
        <v>0</v>
      </c>
      <c r="CM34" s="37">
        <f t="shared" si="15"/>
        <v>0</v>
      </c>
      <c r="CN34" s="37">
        <f t="shared" si="15"/>
        <v>0</v>
      </c>
      <c r="CO34" s="37">
        <f t="shared" si="15"/>
        <v>0</v>
      </c>
      <c r="CP34" s="37">
        <f t="shared" si="15"/>
        <v>0</v>
      </c>
      <c r="CQ34" s="37">
        <f t="shared" si="15"/>
        <v>0</v>
      </c>
      <c r="CR34" s="37">
        <f t="shared" si="15"/>
        <v>0</v>
      </c>
      <c r="CS34" s="37">
        <f t="shared" si="15"/>
        <v>0</v>
      </c>
      <c r="CT34" s="37">
        <f t="shared" si="15"/>
        <v>0</v>
      </c>
      <c r="CU34" s="37">
        <f t="shared" si="15"/>
        <v>0</v>
      </c>
      <c r="CV34" s="37">
        <f t="shared" si="15"/>
        <v>0</v>
      </c>
      <c r="CW34" s="37">
        <f t="shared" si="15"/>
        <v>0</v>
      </c>
      <c r="CX34" s="37">
        <f t="shared" si="15"/>
        <v>0</v>
      </c>
      <c r="CY34" s="37">
        <f t="shared" si="15"/>
        <v>0</v>
      </c>
      <c r="CZ34" s="37">
        <f t="shared" si="15"/>
        <v>0</v>
      </c>
      <c r="DA34" s="37">
        <f t="shared" si="15"/>
        <v>0</v>
      </c>
      <c r="DB34" s="37">
        <f t="shared" si="15"/>
        <v>0</v>
      </c>
      <c r="DC34" s="37">
        <f t="shared" si="15"/>
        <v>0</v>
      </c>
      <c r="DD34" s="37">
        <f t="shared" si="15"/>
        <v>0</v>
      </c>
      <c r="DE34" s="37">
        <f t="shared" si="15"/>
        <v>0</v>
      </c>
    </row>
    <row r="35" spans="3:109" x14ac:dyDescent="0.15">
      <c r="C35" s="23" t="s">
        <v>236</v>
      </c>
      <c r="D35" s="5" t="s">
        <v>0</v>
      </c>
      <c r="I35" s="35">
        <f>SUM(J35:DE35)</f>
        <v>98250000</v>
      </c>
      <c r="J35" s="37">
        <f>-J34*Taxes!$E$21</f>
        <v>6550000</v>
      </c>
      <c r="K35" s="37">
        <f>-K34*Taxes!$E$21</f>
        <v>6550000</v>
      </c>
      <c r="L35" s="37">
        <f>-L34*Taxes!$E$21</f>
        <v>6550000</v>
      </c>
      <c r="M35" s="37">
        <f>-M34*Taxes!$E$21</f>
        <v>6550000</v>
      </c>
      <c r="N35" s="37">
        <f>-N34*Taxes!$E$21</f>
        <v>6550000</v>
      </c>
      <c r="O35" s="37">
        <f>-O34*Taxes!$E$21</f>
        <v>6550000</v>
      </c>
      <c r="P35" s="37">
        <f>-P34*Taxes!$E$21</f>
        <v>6550000</v>
      </c>
      <c r="Q35" s="37">
        <f>-Q34*Taxes!$E$21</f>
        <v>6550000</v>
      </c>
      <c r="R35" s="37">
        <f>-R34*Taxes!$E$21</f>
        <v>6550000</v>
      </c>
      <c r="S35" s="37">
        <f>-S34*Taxes!$E$21</f>
        <v>6550000</v>
      </c>
      <c r="T35" s="37">
        <f>-T34*Taxes!$E$21</f>
        <v>6550000</v>
      </c>
      <c r="U35" s="37">
        <f>-U34*Taxes!$E$21</f>
        <v>6550000</v>
      </c>
      <c r="V35" s="37">
        <f>-V34*Taxes!$E$21</f>
        <v>6550000</v>
      </c>
      <c r="W35" s="37">
        <f>-W34*Taxes!$E$21</f>
        <v>6550000</v>
      </c>
      <c r="X35" s="37">
        <f>-X34*Taxes!$E$21</f>
        <v>6550000</v>
      </c>
      <c r="Y35" s="37">
        <f>-Y34*Taxes!$E$21</f>
        <v>0</v>
      </c>
      <c r="Z35" s="37">
        <f>-Z34*Taxes!$E$21</f>
        <v>0</v>
      </c>
      <c r="AA35" s="37">
        <f>-AA34*Taxes!$E$21</f>
        <v>0</v>
      </c>
      <c r="AB35" s="37">
        <f>-AB34*Taxes!$E$21</f>
        <v>0</v>
      </c>
      <c r="AC35" s="37">
        <f>-AC34*Taxes!$E$21</f>
        <v>0</v>
      </c>
      <c r="AD35" s="37">
        <f>-AD34*Taxes!$E$21</f>
        <v>0</v>
      </c>
      <c r="AE35" s="37">
        <f>-AE34*Taxes!$E$21</f>
        <v>0</v>
      </c>
      <c r="AF35" s="37">
        <f>-AF34*Taxes!$E$21</f>
        <v>0</v>
      </c>
      <c r="AG35" s="37">
        <f>-AG34*Taxes!$E$21</f>
        <v>0</v>
      </c>
      <c r="AH35" s="37">
        <f>-AH34*Taxes!$E$21</f>
        <v>0</v>
      </c>
      <c r="AI35" s="37">
        <f>-AI34*Taxes!$E$21</f>
        <v>0</v>
      </c>
      <c r="AJ35" s="37">
        <f>-AJ34*Taxes!$E$21</f>
        <v>0</v>
      </c>
      <c r="AK35" s="37">
        <f>-AK34*Taxes!$E$21</f>
        <v>0</v>
      </c>
      <c r="AL35" s="37">
        <f>-AL34*Taxes!$E$21</f>
        <v>0</v>
      </c>
      <c r="AM35" s="37">
        <f>-AM34*Taxes!$E$21</f>
        <v>0</v>
      </c>
      <c r="AN35" s="37">
        <f>-AN34*Taxes!$E$21</f>
        <v>0</v>
      </c>
      <c r="AO35" s="37">
        <f>-AO34*Taxes!$E$21</f>
        <v>0</v>
      </c>
      <c r="AP35" s="37">
        <f>-AP34*Taxes!$E$21</f>
        <v>0</v>
      </c>
      <c r="AQ35" s="37">
        <f>-AQ34*Taxes!$E$21</f>
        <v>0</v>
      </c>
      <c r="AR35" s="37">
        <f>-AR34*Taxes!$E$21</f>
        <v>0</v>
      </c>
      <c r="AS35" s="37">
        <f>-AS34*Taxes!$E$21</f>
        <v>0</v>
      </c>
      <c r="AT35" s="37">
        <f>-AT34*Taxes!$E$21</f>
        <v>0</v>
      </c>
      <c r="AU35" s="37">
        <f>-AU34*Taxes!$E$21</f>
        <v>0</v>
      </c>
      <c r="AV35" s="37">
        <f>-AV34*Taxes!$E$21</f>
        <v>0</v>
      </c>
      <c r="AW35" s="37">
        <f>-AW34*Taxes!$E$21</f>
        <v>0</v>
      </c>
      <c r="AX35" s="37">
        <f>-AX34*Taxes!$E$21</f>
        <v>0</v>
      </c>
      <c r="AY35" s="37">
        <f>-AY34*Taxes!$E$21</f>
        <v>0</v>
      </c>
      <c r="AZ35" s="37">
        <f>-AZ34*Taxes!$E$21</f>
        <v>0</v>
      </c>
      <c r="BA35" s="37">
        <f>-BA34*Taxes!$E$21</f>
        <v>0</v>
      </c>
      <c r="BB35" s="37">
        <f>-BB34*Taxes!$E$21</f>
        <v>0</v>
      </c>
      <c r="BC35" s="37">
        <f>-BC34*Taxes!$E$21</f>
        <v>0</v>
      </c>
      <c r="BD35" s="37">
        <f>-BD34*Taxes!$E$21</f>
        <v>0</v>
      </c>
      <c r="BE35" s="37">
        <f>-BE34*Taxes!$E$21</f>
        <v>0</v>
      </c>
      <c r="BF35" s="37">
        <f>-BF34*Taxes!$E$21</f>
        <v>0</v>
      </c>
      <c r="BG35" s="37">
        <f>-BG34*Taxes!$E$21</f>
        <v>0</v>
      </c>
      <c r="BH35" s="37">
        <f>-BH34*Taxes!$E$21</f>
        <v>0</v>
      </c>
      <c r="BI35" s="37">
        <f>-BI34*Taxes!$E$21</f>
        <v>0</v>
      </c>
      <c r="BJ35" s="37">
        <f>-BJ34*Taxes!$E$21</f>
        <v>0</v>
      </c>
      <c r="BK35" s="37">
        <f>-BK34*Taxes!$E$21</f>
        <v>0</v>
      </c>
      <c r="BL35" s="37">
        <f>-BL34*Taxes!$E$21</f>
        <v>0</v>
      </c>
      <c r="BM35" s="37">
        <f>-BM34*Taxes!$E$21</f>
        <v>0</v>
      </c>
      <c r="BN35" s="37">
        <f>-BN34*Taxes!$E$21</f>
        <v>0</v>
      </c>
      <c r="BO35" s="37">
        <f>-BO34*Taxes!$E$21</f>
        <v>0</v>
      </c>
      <c r="BP35" s="37">
        <f>-BP34*Taxes!$E$21</f>
        <v>0</v>
      </c>
      <c r="BQ35" s="37">
        <f>-BQ34*Taxes!$E$21</f>
        <v>0</v>
      </c>
      <c r="BR35" s="37">
        <f>-BR34*Taxes!$E$21</f>
        <v>0</v>
      </c>
      <c r="BS35" s="37">
        <f>-BS34*Taxes!$E$21</f>
        <v>0</v>
      </c>
      <c r="BT35" s="37">
        <f>-BT34*Taxes!$E$21</f>
        <v>0</v>
      </c>
      <c r="BU35" s="37">
        <f>-BU34*Taxes!$E$21</f>
        <v>0</v>
      </c>
      <c r="BV35" s="37">
        <f>-BV34*Taxes!$E$21</f>
        <v>0</v>
      </c>
      <c r="BW35" s="37">
        <f>-BW34*Taxes!$E$21</f>
        <v>0</v>
      </c>
      <c r="BX35" s="37">
        <f>-BX34*Taxes!$E$21</f>
        <v>0</v>
      </c>
      <c r="BY35" s="37">
        <f>-BY34*Taxes!$E$21</f>
        <v>0</v>
      </c>
      <c r="BZ35" s="37">
        <f>-BZ34*Taxes!$E$21</f>
        <v>0</v>
      </c>
      <c r="CA35" s="37">
        <f>-CA34*Taxes!$E$21</f>
        <v>0</v>
      </c>
      <c r="CB35" s="37">
        <f>-CB34*Taxes!$E$21</f>
        <v>0</v>
      </c>
      <c r="CC35" s="37">
        <f>-CC34*Taxes!$E$21</f>
        <v>0</v>
      </c>
      <c r="CD35" s="37">
        <f>-CD34*Taxes!$E$21</f>
        <v>0</v>
      </c>
      <c r="CE35" s="37">
        <f>-CE34*Taxes!$E$21</f>
        <v>0</v>
      </c>
      <c r="CF35" s="37">
        <f>-CF34*Taxes!$E$21</f>
        <v>0</v>
      </c>
      <c r="CG35" s="37">
        <f>-CG34*Taxes!$E$21</f>
        <v>0</v>
      </c>
      <c r="CH35" s="37">
        <f>-CH34*Taxes!$E$21</f>
        <v>0</v>
      </c>
      <c r="CI35" s="37">
        <f>-CI34*Taxes!$E$21</f>
        <v>0</v>
      </c>
      <c r="CJ35" s="37">
        <f>-CJ34*Taxes!$E$21</f>
        <v>0</v>
      </c>
      <c r="CK35" s="37">
        <f>-CK34*Taxes!$E$21</f>
        <v>0</v>
      </c>
      <c r="CL35" s="37">
        <f>-CL34*Taxes!$E$21</f>
        <v>0</v>
      </c>
      <c r="CM35" s="37">
        <f>-CM34*Taxes!$E$21</f>
        <v>0</v>
      </c>
      <c r="CN35" s="37">
        <f>-CN34*Taxes!$E$21</f>
        <v>0</v>
      </c>
      <c r="CO35" s="37">
        <f>-CO34*Taxes!$E$21</f>
        <v>0</v>
      </c>
      <c r="CP35" s="37">
        <f>-CP34*Taxes!$E$21</f>
        <v>0</v>
      </c>
      <c r="CQ35" s="37">
        <f>-CQ34*Taxes!$E$21</f>
        <v>0</v>
      </c>
      <c r="CR35" s="37">
        <f>-CR34*Taxes!$E$21</f>
        <v>0</v>
      </c>
      <c r="CS35" s="37">
        <f>-CS34*Taxes!$E$21</f>
        <v>0</v>
      </c>
      <c r="CT35" s="37">
        <f>-CT34*Taxes!$E$21</f>
        <v>0</v>
      </c>
      <c r="CU35" s="37">
        <f>-CU34*Taxes!$E$21</f>
        <v>0</v>
      </c>
      <c r="CV35" s="37">
        <f>-CV34*Taxes!$E$21</f>
        <v>0</v>
      </c>
      <c r="CW35" s="37">
        <f>-CW34*Taxes!$E$21</f>
        <v>0</v>
      </c>
      <c r="CX35" s="37">
        <f>-CX34*Taxes!$E$21</f>
        <v>0</v>
      </c>
      <c r="CY35" s="37">
        <f>-CY34*Taxes!$E$21</f>
        <v>0</v>
      </c>
      <c r="CZ35" s="37">
        <f>-CZ34*Taxes!$E$21</f>
        <v>0</v>
      </c>
      <c r="DA35" s="37">
        <f>-DA34*Taxes!$E$21</f>
        <v>0</v>
      </c>
      <c r="DB35" s="37">
        <f>-DB34*Taxes!$E$21</f>
        <v>0</v>
      </c>
      <c r="DC35" s="37">
        <f>-DC34*Taxes!$E$21</f>
        <v>0</v>
      </c>
      <c r="DD35" s="37">
        <f>-DD34*Taxes!$E$21</f>
        <v>0</v>
      </c>
      <c r="DE35" s="37">
        <f>-DE34*Taxes!$E$21</f>
        <v>0</v>
      </c>
    </row>
    <row r="36" spans="3:109" x14ac:dyDescent="0.15">
      <c r="D36" s="5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3:109" s="70" customFormat="1" x14ac:dyDescent="0.15">
      <c r="C37" s="70" t="s">
        <v>268</v>
      </c>
      <c r="D37" s="88" t="s">
        <v>0</v>
      </c>
      <c r="I37" s="35">
        <f ca="1">SUM(J37:DE37)</f>
        <v>7374894990.9937973</v>
      </c>
      <c r="J37" s="40">
        <f>SUM(J32,J34:J35)</f>
        <v>603599834.4631902</v>
      </c>
      <c r="K37" s="40">
        <f t="shared" ref="K37:L37" si="16">SUM(K32,K34:K35)</f>
        <v>-458487473.7028923</v>
      </c>
      <c r="L37" s="40">
        <f t="shared" si="16"/>
        <v>-789362233.46187568</v>
      </c>
      <c r="M37" s="40">
        <f t="shared" ref="M37:AR37" ca="1" si="17">SUM(M32,M34:M35)</f>
        <v>-473127949.79842246</v>
      </c>
      <c r="N37" s="40">
        <f t="shared" ca="1" si="17"/>
        <v>907545690.43693399</v>
      </c>
      <c r="O37" s="40">
        <f t="shared" ca="1" si="17"/>
        <v>1043335672.8689475</v>
      </c>
      <c r="P37" s="40">
        <f t="shared" ca="1" si="17"/>
        <v>1112021454.7466433</v>
      </c>
      <c r="Q37" s="40">
        <f t="shared" ca="1" si="17"/>
        <v>1148542104.7272694</v>
      </c>
      <c r="R37" s="40">
        <f t="shared" ca="1" si="17"/>
        <v>1034799170.6935349</v>
      </c>
      <c r="S37" s="40">
        <f t="shared" ca="1" si="17"/>
        <v>588651397.63553977</v>
      </c>
      <c r="T37" s="40">
        <f t="shared" ca="1" si="17"/>
        <v>637668999.97974932</v>
      </c>
      <c r="U37" s="40">
        <f t="shared" ca="1" si="17"/>
        <v>702407277.05750835</v>
      </c>
      <c r="V37" s="40">
        <f t="shared" ca="1" si="17"/>
        <v>570060678.9207319</v>
      </c>
      <c r="W37" s="40">
        <f t="shared" ca="1" si="17"/>
        <v>591993909.60839903</v>
      </c>
      <c r="X37" s="40">
        <f t="shared" ca="1" si="17"/>
        <v>207716456.81853932</v>
      </c>
      <c r="Y37" s="40">
        <f t="shared" ca="1" si="17"/>
        <v>-52470000</v>
      </c>
      <c r="Z37" s="40">
        <f t="shared" ca="1" si="17"/>
        <v>0</v>
      </c>
      <c r="AA37" s="40">
        <f t="shared" ca="1" si="17"/>
        <v>0</v>
      </c>
      <c r="AB37" s="40">
        <f t="shared" ca="1" si="17"/>
        <v>0</v>
      </c>
      <c r="AC37" s="40">
        <f t="shared" ca="1" si="17"/>
        <v>0</v>
      </c>
      <c r="AD37" s="40">
        <f t="shared" ca="1" si="17"/>
        <v>0</v>
      </c>
      <c r="AE37" s="40">
        <f t="shared" ca="1" si="17"/>
        <v>0</v>
      </c>
      <c r="AF37" s="40">
        <f t="shared" ca="1" si="17"/>
        <v>0</v>
      </c>
      <c r="AG37" s="40">
        <f t="shared" ca="1" si="17"/>
        <v>0</v>
      </c>
      <c r="AH37" s="40">
        <f t="shared" ca="1" si="17"/>
        <v>0</v>
      </c>
      <c r="AI37" s="40">
        <f t="shared" ca="1" si="17"/>
        <v>0</v>
      </c>
      <c r="AJ37" s="40">
        <f t="shared" ca="1" si="17"/>
        <v>0</v>
      </c>
      <c r="AK37" s="40">
        <f t="shared" ca="1" si="17"/>
        <v>0</v>
      </c>
      <c r="AL37" s="40">
        <f t="shared" ca="1" si="17"/>
        <v>0</v>
      </c>
      <c r="AM37" s="40">
        <f t="shared" ca="1" si="17"/>
        <v>0</v>
      </c>
      <c r="AN37" s="40">
        <f t="shared" ca="1" si="17"/>
        <v>0</v>
      </c>
      <c r="AO37" s="40">
        <f t="shared" ca="1" si="17"/>
        <v>0</v>
      </c>
      <c r="AP37" s="40">
        <f t="shared" ca="1" si="17"/>
        <v>0</v>
      </c>
      <c r="AQ37" s="40">
        <f t="shared" ca="1" si="17"/>
        <v>0</v>
      </c>
      <c r="AR37" s="40">
        <f t="shared" ca="1" si="17"/>
        <v>0</v>
      </c>
      <c r="AS37" s="40">
        <f t="shared" ref="AS37:BX37" ca="1" si="18">SUM(AS32,AS34:AS35)</f>
        <v>0</v>
      </c>
      <c r="AT37" s="40">
        <f t="shared" ca="1" si="18"/>
        <v>0</v>
      </c>
      <c r="AU37" s="40">
        <f t="shared" ca="1" si="18"/>
        <v>0</v>
      </c>
      <c r="AV37" s="40">
        <f t="shared" ca="1" si="18"/>
        <v>0</v>
      </c>
      <c r="AW37" s="40">
        <f t="shared" ca="1" si="18"/>
        <v>0</v>
      </c>
      <c r="AX37" s="40">
        <f t="shared" ca="1" si="18"/>
        <v>0</v>
      </c>
      <c r="AY37" s="40">
        <f t="shared" ca="1" si="18"/>
        <v>0</v>
      </c>
      <c r="AZ37" s="40">
        <f t="shared" ca="1" si="18"/>
        <v>0</v>
      </c>
      <c r="BA37" s="40">
        <f t="shared" ca="1" si="18"/>
        <v>0</v>
      </c>
      <c r="BB37" s="40">
        <f t="shared" ca="1" si="18"/>
        <v>0</v>
      </c>
      <c r="BC37" s="40">
        <f t="shared" ca="1" si="18"/>
        <v>0</v>
      </c>
      <c r="BD37" s="40">
        <f t="shared" ca="1" si="18"/>
        <v>0</v>
      </c>
      <c r="BE37" s="40">
        <f t="shared" ca="1" si="18"/>
        <v>0</v>
      </c>
      <c r="BF37" s="40">
        <f t="shared" ca="1" si="18"/>
        <v>0</v>
      </c>
      <c r="BG37" s="40">
        <f t="shared" ca="1" si="18"/>
        <v>0</v>
      </c>
      <c r="BH37" s="40">
        <f t="shared" ca="1" si="18"/>
        <v>0</v>
      </c>
      <c r="BI37" s="40">
        <f t="shared" ca="1" si="18"/>
        <v>0</v>
      </c>
      <c r="BJ37" s="40">
        <f t="shared" ca="1" si="18"/>
        <v>0</v>
      </c>
      <c r="BK37" s="40">
        <f t="shared" ca="1" si="18"/>
        <v>0</v>
      </c>
      <c r="BL37" s="40">
        <f t="shared" ca="1" si="18"/>
        <v>0</v>
      </c>
      <c r="BM37" s="40">
        <f t="shared" ca="1" si="18"/>
        <v>0</v>
      </c>
      <c r="BN37" s="40">
        <f t="shared" ca="1" si="18"/>
        <v>0</v>
      </c>
      <c r="BO37" s="40">
        <f t="shared" ca="1" si="18"/>
        <v>0</v>
      </c>
      <c r="BP37" s="40">
        <f t="shared" ca="1" si="18"/>
        <v>0</v>
      </c>
      <c r="BQ37" s="40">
        <f t="shared" ca="1" si="18"/>
        <v>0</v>
      </c>
      <c r="BR37" s="40">
        <f t="shared" ca="1" si="18"/>
        <v>0</v>
      </c>
      <c r="BS37" s="40">
        <f t="shared" ca="1" si="18"/>
        <v>0</v>
      </c>
      <c r="BT37" s="40">
        <f t="shared" ca="1" si="18"/>
        <v>0</v>
      </c>
      <c r="BU37" s="40">
        <f t="shared" ca="1" si="18"/>
        <v>0</v>
      </c>
      <c r="BV37" s="40">
        <f t="shared" ca="1" si="18"/>
        <v>0</v>
      </c>
      <c r="BW37" s="40">
        <f t="shared" ca="1" si="18"/>
        <v>0</v>
      </c>
      <c r="BX37" s="40">
        <f t="shared" ca="1" si="18"/>
        <v>0</v>
      </c>
      <c r="BY37" s="40">
        <f t="shared" ref="BY37:DE37" ca="1" si="19">SUM(BY32,BY34:BY35)</f>
        <v>0</v>
      </c>
      <c r="BZ37" s="40">
        <f t="shared" ca="1" si="19"/>
        <v>0</v>
      </c>
      <c r="CA37" s="40">
        <f t="shared" ca="1" si="19"/>
        <v>0</v>
      </c>
      <c r="CB37" s="40">
        <f t="shared" ca="1" si="19"/>
        <v>0</v>
      </c>
      <c r="CC37" s="40">
        <f t="shared" ca="1" si="19"/>
        <v>0</v>
      </c>
      <c r="CD37" s="40">
        <f t="shared" ca="1" si="19"/>
        <v>0</v>
      </c>
      <c r="CE37" s="40">
        <f t="shared" ca="1" si="19"/>
        <v>0</v>
      </c>
      <c r="CF37" s="40">
        <f t="shared" ca="1" si="19"/>
        <v>0</v>
      </c>
      <c r="CG37" s="40">
        <f t="shared" ca="1" si="19"/>
        <v>0</v>
      </c>
      <c r="CH37" s="40">
        <f t="shared" ca="1" si="19"/>
        <v>0</v>
      </c>
      <c r="CI37" s="40">
        <f t="shared" ca="1" si="19"/>
        <v>0</v>
      </c>
      <c r="CJ37" s="40">
        <f t="shared" ca="1" si="19"/>
        <v>0</v>
      </c>
      <c r="CK37" s="40">
        <f t="shared" ca="1" si="19"/>
        <v>0</v>
      </c>
      <c r="CL37" s="40">
        <f t="shared" ca="1" si="19"/>
        <v>0</v>
      </c>
      <c r="CM37" s="40">
        <f t="shared" ca="1" si="19"/>
        <v>0</v>
      </c>
      <c r="CN37" s="40">
        <f t="shared" ca="1" si="19"/>
        <v>0</v>
      </c>
      <c r="CO37" s="40">
        <f t="shared" ca="1" si="19"/>
        <v>0</v>
      </c>
      <c r="CP37" s="40">
        <f t="shared" ca="1" si="19"/>
        <v>0</v>
      </c>
      <c r="CQ37" s="40">
        <f t="shared" ca="1" si="19"/>
        <v>0</v>
      </c>
      <c r="CR37" s="40">
        <f t="shared" ca="1" si="19"/>
        <v>0</v>
      </c>
      <c r="CS37" s="40">
        <f t="shared" ca="1" si="19"/>
        <v>0</v>
      </c>
      <c r="CT37" s="40">
        <f t="shared" ca="1" si="19"/>
        <v>0</v>
      </c>
      <c r="CU37" s="40">
        <f t="shared" ca="1" si="19"/>
        <v>0</v>
      </c>
      <c r="CV37" s="40">
        <f t="shared" ca="1" si="19"/>
        <v>0</v>
      </c>
      <c r="CW37" s="40">
        <f t="shared" ca="1" si="19"/>
        <v>0</v>
      </c>
      <c r="CX37" s="40">
        <f t="shared" ca="1" si="19"/>
        <v>0</v>
      </c>
      <c r="CY37" s="40">
        <f t="shared" ca="1" si="19"/>
        <v>0</v>
      </c>
      <c r="CZ37" s="40">
        <f t="shared" ca="1" si="19"/>
        <v>0</v>
      </c>
      <c r="DA37" s="40">
        <f t="shared" ca="1" si="19"/>
        <v>0</v>
      </c>
      <c r="DB37" s="40">
        <f t="shared" ca="1" si="19"/>
        <v>0</v>
      </c>
      <c r="DC37" s="40">
        <f t="shared" ca="1" si="19"/>
        <v>0</v>
      </c>
      <c r="DD37" s="40">
        <f t="shared" ca="1" si="19"/>
        <v>0</v>
      </c>
      <c r="DE37" s="40">
        <f t="shared" ca="1" si="19"/>
        <v>0</v>
      </c>
    </row>
    <row r="38" spans="3:109" x14ac:dyDescent="0.15">
      <c r="D38" s="5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3:109" x14ac:dyDescent="0.15">
      <c r="C39" s="23" t="s">
        <v>316</v>
      </c>
      <c r="D39" s="5" t="s">
        <v>0</v>
      </c>
      <c r="J39" s="43">
        <v>50000000</v>
      </c>
    </row>
    <row r="40" spans="3:109" ht="14" x14ac:dyDescent="0.15">
      <c r="C40" s="2"/>
      <c r="D40" s="5"/>
    </row>
    <row r="41" spans="3:109" ht="14" x14ac:dyDescent="0.15">
      <c r="C41" s="2" t="s">
        <v>269</v>
      </c>
      <c r="D41" s="5"/>
    </row>
    <row r="42" spans="3:109" x14ac:dyDescent="0.15">
      <c r="D42" s="5"/>
    </row>
    <row r="43" spans="3:109" x14ac:dyDescent="0.15">
      <c r="C43" s="23" t="s">
        <v>237</v>
      </c>
      <c r="D43" s="5" t="s">
        <v>18</v>
      </c>
      <c r="E43" s="66">
        <v>0.1</v>
      </c>
    </row>
    <row r="44" spans="3:109" x14ac:dyDescent="0.15">
      <c r="C44" s="23" t="s">
        <v>318</v>
      </c>
      <c r="D44" s="5" t="s">
        <v>18</v>
      </c>
      <c r="E44" s="90">
        <v>0</v>
      </c>
    </row>
    <row r="45" spans="3:109" x14ac:dyDescent="0.15">
      <c r="C45" s="23" t="s">
        <v>317</v>
      </c>
      <c r="D45" s="5"/>
      <c r="E45" s="66">
        <v>0.05</v>
      </c>
    </row>
    <row r="46" spans="3:109" x14ac:dyDescent="0.15">
      <c r="C46" s="23" t="s">
        <v>238</v>
      </c>
      <c r="D46" s="5" t="s">
        <v>18</v>
      </c>
      <c r="E46" s="66">
        <v>0.08</v>
      </c>
    </row>
    <row r="47" spans="3:109" x14ac:dyDescent="0.15">
      <c r="C47" s="23" t="s">
        <v>239</v>
      </c>
      <c r="D47" s="5"/>
      <c r="E47" s="59">
        <f ca="1">NPV(E46,J32:DE32)</f>
        <v>3697925845.6167579</v>
      </c>
    </row>
    <row r="48" spans="3:109" x14ac:dyDescent="0.15">
      <c r="D48" s="5"/>
    </row>
    <row r="49" spans="3:109" x14ac:dyDescent="0.15">
      <c r="C49" s="23" t="s">
        <v>240</v>
      </c>
      <c r="D49" s="5" t="s">
        <v>0</v>
      </c>
      <c r="E49" s="59">
        <f ca="1">E47*(1+E44)</f>
        <v>3697925845.6167579</v>
      </c>
    </row>
    <row r="50" spans="3:109" x14ac:dyDescent="0.15">
      <c r="D50" s="5"/>
    </row>
    <row r="51" spans="3:109" x14ac:dyDescent="0.15">
      <c r="C51" s="23" t="s">
        <v>241</v>
      </c>
      <c r="D51" s="5" t="s">
        <v>0</v>
      </c>
      <c r="E51" s="37">
        <f ca="1">E49*E43</f>
        <v>369792584.56167579</v>
      </c>
      <c r="I51" s="35">
        <f ca="1">SUM(J51:DE51)</f>
        <v>369792584.56167579</v>
      </c>
      <c r="J51" s="37">
        <f ca="1">E51</f>
        <v>369792584.56167579</v>
      </c>
    </row>
    <row r="52" spans="3:109" x14ac:dyDescent="0.15">
      <c r="C52" s="23" t="s">
        <v>317</v>
      </c>
      <c r="D52" s="5"/>
      <c r="E52" s="37"/>
      <c r="I52" s="35">
        <f ca="1">SUM(J52:DE52)</f>
        <v>-18489629.228083789</v>
      </c>
      <c r="J52" s="37">
        <f ca="1">-J51*E45</f>
        <v>-18489629.228083789</v>
      </c>
    </row>
    <row r="53" spans="3:109" x14ac:dyDescent="0.15">
      <c r="D53" s="5"/>
    </row>
    <row r="54" spans="3:109" ht="14" x14ac:dyDescent="0.15">
      <c r="C54" s="2" t="s">
        <v>337</v>
      </c>
      <c r="D54" s="5"/>
    </row>
    <row r="55" spans="3:109" x14ac:dyDescent="0.15">
      <c r="D55" s="5"/>
    </row>
    <row r="56" spans="3:109" x14ac:dyDescent="0.15">
      <c r="C56" s="23" t="s">
        <v>338</v>
      </c>
      <c r="D56" s="5"/>
      <c r="I56" s="35">
        <f ca="1">SUM(J56:DE56)</f>
        <v>395371914.53770393</v>
      </c>
      <c r="J56" s="37">
        <f ca="1">J32*$E$43-J51</f>
        <v>-307587601.11535674</v>
      </c>
      <c r="K56" s="37">
        <f t="shared" ref="K56:L56" si="20">K32*$E$43-K51</f>
        <v>-44003747.370289236</v>
      </c>
      <c r="L56" s="37">
        <f t="shared" si="20"/>
        <v>-77091223.346187577</v>
      </c>
      <c r="M56" s="37">
        <f t="shared" ref="M56:AR56" ca="1" si="21">M32*$E$43-M51</f>
        <v>-45467794.979842246</v>
      </c>
      <c r="N56" s="37">
        <f t="shared" ca="1" si="21"/>
        <v>92599569.043693408</v>
      </c>
      <c r="O56" s="37">
        <f t="shared" ca="1" si="21"/>
        <v>106178567.28689475</v>
      </c>
      <c r="P56" s="37">
        <f t="shared" ca="1" si="21"/>
        <v>113047145.47466433</v>
      </c>
      <c r="Q56" s="37">
        <f t="shared" ca="1" si="21"/>
        <v>116699210.47272694</v>
      </c>
      <c r="R56" s="37">
        <f t="shared" ca="1" si="21"/>
        <v>105324917.06935349</v>
      </c>
      <c r="S56" s="37">
        <f t="shared" ca="1" si="21"/>
        <v>60710139.763553977</v>
      </c>
      <c r="T56" s="37">
        <f t="shared" ca="1" si="21"/>
        <v>65611899.997974932</v>
      </c>
      <c r="U56" s="37">
        <f t="shared" ca="1" si="21"/>
        <v>72085727.705750838</v>
      </c>
      <c r="V56" s="37">
        <f t="shared" ca="1" si="21"/>
        <v>58851067.892073192</v>
      </c>
      <c r="W56" s="37">
        <f t="shared" ca="1" si="21"/>
        <v>61044390.960839905</v>
      </c>
      <c r="X56" s="37">
        <f t="shared" ca="1" si="21"/>
        <v>22616645.681853935</v>
      </c>
      <c r="Y56" s="37">
        <f t="shared" ca="1" si="21"/>
        <v>-5247000</v>
      </c>
      <c r="Z56" s="37">
        <f t="shared" ca="1" si="21"/>
        <v>0</v>
      </c>
      <c r="AA56" s="37">
        <f t="shared" ca="1" si="21"/>
        <v>0</v>
      </c>
      <c r="AB56" s="37">
        <f t="shared" ca="1" si="21"/>
        <v>0</v>
      </c>
      <c r="AC56" s="37">
        <f t="shared" ca="1" si="21"/>
        <v>0</v>
      </c>
      <c r="AD56" s="37">
        <f t="shared" ca="1" si="21"/>
        <v>0</v>
      </c>
      <c r="AE56" s="37">
        <f t="shared" ca="1" si="21"/>
        <v>0</v>
      </c>
      <c r="AF56" s="37">
        <f t="shared" ca="1" si="21"/>
        <v>0</v>
      </c>
      <c r="AG56" s="37">
        <f t="shared" ca="1" si="21"/>
        <v>0</v>
      </c>
      <c r="AH56" s="37">
        <f t="shared" ca="1" si="21"/>
        <v>0</v>
      </c>
      <c r="AI56" s="37">
        <f t="shared" ca="1" si="21"/>
        <v>0</v>
      </c>
      <c r="AJ56" s="37">
        <f t="shared" ca="1" si="21"/>
        <v>0</v>
      </c>
      <c r="AK56" s="37">
        <f t="shared" ca="1" si="21"/>
        <v>0</v>
      </c>
      <c r="AL56" s="37">
        <f t="shared" ca="1" si="21"/>
        <v>0</v>
      </c>
      <c r="AM56" s="37">
        <f t="shared" ca="1" si="21"/>
        <v>0</v>
      </c>
      <c r="AN56" s="37">
        <f t="shared" ca="1" si="21"/>
        <v>0</v>
      </c>
      <c r="AO56" s="37">
        <f t="shared" ca="1" si="21"/>
        <v>0</v>
      </c>
      <c r="AP56" s="37">
        <f t="shared" ca="1" si="21"/>
        <v>0</v>
      </c>
      <c r="AQ56" s="37">
        <f t="shared" ca="1" si="21"/>
        <v>0</v>
      </c>
      <c r="AR56" s="37">
        <f t="shared" ca="1" si="21"/>
        <v>0</v>
      </c>
      <c r="AS56" s="37">
        <f t="shared" ref="AS56:BX56" ca="1" si="22">AS32*$E$43-AS51</f>
        <v>0</v>
      </c>
      <c r="AT56" s="37">
        <f t="shared" ca="1" si="22"/>
        <v>0</v>
      </c>
      <c r="AU56" s="37">
        <f t="shared" ca="1" si="22"/>
        <v>0</v>
      </c>
      <c r="AV56" s="37">
        <f t="shared" ca="1" si="22"/>
        <v>0</v>
      </c>
      <c r="AW56" s="37">
        <f t="shared" ca="1" si="22"/>
        <v>0</v>
      </c>
      <c r="AX56" s="37">
        <f t="shared" ca="1" si="22"/>
        <v>0</v>
      </c>
      <c r="AY56" s="37">
        <f t="shared" ca="1" si="22"/>
        <v>0</v>
      </c>
      <c r="AZ56" s="37">
        <f t="shared" ca="1" si="22"/>
        <v>0</v>
      </c>
      <c r="BA56" s="37">
        <f t="shared" ca="1" si="22"/>
        <v>0</v>
      </c>
      <c r="BB56" s="37">
        <f t="shared" ca="1" si="22"/>
        <v>0</v>
      </c>
      <c r="BC56" s="37">
        <f t="shared" ca="1" si="22"/>
        <v>0</v>
      </c>
      <c r="BD56" s="37">
        <f t="shared" ca="1" si="22"/>
        <v>0</v>
      </c>
      <c r="BE56" s="37">
        <f t="shared" ca="1" si="22"/>
        <v>0</v>
      </c>
      <c r="BF56" s="37">
        <f t="shared" ca="1" si="22"/>
        <v>0</v>
      </c>
      <c r="BG56" s="37">
        <f t="shared" ca="1" si="22"/>
        <v>0</v>
      </c>
      <c r="BH56" s="37">
        <f t="shared" ca="1" si="22"/>
        <v>0</v>
      </c>
      <c r="BI56" s="37">
        <f t="shared" ca="1" si="22"/>
        <v>0</v>
      </c>
      <c r="BJ56" s="37">
        <f t="shared" ca="1" si="22"/>
        <v>0</v>
      </c>
      <c r="BK56" s="37">
        <f t="shared" ca="1" si="22"/>
        <v>0</v>
      </c>
      <c r="BL56" s="37">
        <f t="shared" ca="1" si="22"/>
        <v>0</v>
      </c>
      <c r="BM56" s="37">
        <f t="shared" ca="1" si="22"/>
        <v>0</v>
      </c>
      <c r="BN56" s="37">
        <f t="shared" ca="1" si="22"/>
        <v>0</v>
      </c>
      <c r="BO56" s="37">
        <f t="shared" ca="1" si="22"/>
        <v>0</v>
      </c>
      <c r="BP56" s="37">
        <f t="shared" ca="1" si="22"/>
        <v>0</v>
      </c>
      <c r="BQ56" s="37">
        <f t="shared" ca="1" si="22"/>
        <v>0</v>
      </c>
      <c r="BR56" s="37">
        <f t="shared" ca="1" si="22"/>
        <v>0</v>
      </c>
      <c r="BS56" s="37">
        <f t="shared" ca="1" si="22"/>
        <v>0</v>
      </c>
      <c r="BT56" s="37">
        <f t="shared" ca="1" si="22"/>
        <v>0</v>
      </c>
      <c r="BU56" s="37">
        <f t="shared" ca="1" si="22"/>
        <v>0</v>
      </c>
      <c r="BV56" s="37">
        <f t="shared" ca="1" si="22"/>
        <v>0</v>
      </c>
      <c r="BW56" s="37">
        <f t="shared" ca="1" si="22"/>
        <v>0</v>
      </c>
      <c r="BX56" s="37">
        <f t="shared" ca="1" si="22"/>
        <v>0</v>
      </c>
      <c r="BY56" s="37">
        <f t="shared" ref="BY56:DE56" ca="1" si="23">BY32*$E$43-BY51</f>
        <v>0</v>
      </c>
      <c r="BZ56" s="37">
        <f t="shared" ca="1" si="23"/>
        <v>0</v>
      </c>
      <c r="CA56" s="37">
        <f t="shared" ca="1" si="23"/>
        <v>0</v>
      </c>
      <c r="CB56" s="37">
        <f t="shared" ca="1" si="23"/>
        <v>0</v>
      </c>
      <c r="CC56" s="37">
        <f t="shared" ca="1" si="23"/>
        <v>0</v>
      </c>
      <c r="CD56" s="37">
        <f t="shared" ca="1" si="23"/>
        <v>0</v>
      </c>
      <c r="CE56" s="37">
        <f t="shared" ca="1" si="23"/>
        <v>0</v>
      </c>
      <c r="CF56" s="37">
        <f t="shared" ca="1" si="23"/>
        <v>0</v>
      </c>
      <c r="CG56" s="37">
        <f t="shared" ca="1" si="23"/>
        <v>0</v>
      </c>
      <c r="CH56" s="37">
        <f t="shared" ca="1" si="23"/>
        <v>0</v>
      </c>
      <c r="CI56" s="37">
        <f t="shared" ca="1" si="23"/>
        <v>0</v>
      </c>
      <c r="CJ56" s="37">
        <f t="shared" ca="1" si="23"/>
        <v>0</v>
      </c>
      <c r="CK56" s="37">
        <f t="shared" ca="1" si="23"/>
        <v>0</v>
      </c>
      <c r="CL56" s="37">
        <f t="shared" ca="1" si="23"/>
        <v>0</v>
      </c>
      <c r="CM56" s="37">
        <f t="shared" ca="1" si="23"/>
        <v>0</v>
      </c>
      <c r="CN56" s="37">
        <f t="shared" ca="1" si="23"/>
        <v>0</v>
      </c>
      <c r="CO56" s="37">
        <f t="shared" ca="1" si="23"/>
        <v>0</v>
      </c>
      <c r="CP56" s="37">
        <f t="shared" ca="1" si="23"/>
        <v>0</v>
      </c>
      <c r="CQ56" s="37">
        <f t="shared" ca="1" si="23"/>
        <v>0</v>
      </c>
      <c r="CR56" s="37">
        <f t="shared" ca="1" si="23"/>
        <v>0</v>
      </c>
      <c r="CS56" s="37">
        <f t="shared" ca="1" si="23"/>
        <v>0</v>
      </c>
      <c r="CT56" s="37">
        <f t="shared" ca="1" si="23"/>
        <v>0</v>
      </c>
      <c r="CU56" s="37">
        <f t="shared" ca="1" si="23"/>
        <v>0</v>
      </c>
      <c r="CV56" s="37">
        <f t="shared" ca="1" si="23"/>
        <v>0</v>
      </c>
      <c r="CW56" s="37">
        <f t="shared" ca="1" si="23"/>
        <v>0</v>
      </c>
      <c r="CX56" s="37">
        <f t="shared" ca="1" si="23"/>
        <v>0</v>
      </c>
      <c r="CY56" s="37">
        <f t="shared" ca="1" si="23"/>
        <v>0</v>
      </c>
      <c r="CZ56" s="37">
        <f t="shared" ca="1" si="23"/>
        <v>0</v>
      </c>
      <c r="DA56" s="37">
        <f t="shared" ca="1" si="23"/>
        <v>0</v>
      </c>
      <c r="DB56" s="37">
        <f t="shared" ca="1" si="23"/>
        <v>0</v>
      </c>
      <c r="DC56" s="37">
        <f t="shared" ca="1" si="23"/>
        <v>0</v>
      </c>
      <c r="DD56" s="37">
        <f t="shared" ca="1" si="23"/>
        <v>0</v>
      </c>
      <c r="DE56" s="37">
        <f t="shared" ca="1" si="23"/>
        <v>0</v>
      </c>
    </row>
    <row r="57" spans="3:109" x14ac:dyDescent="0.15">
      <c r="C57" s="92" t="s">
        <v>340</v>
      </c>
      <c r="D57" s="93" t="s">
        <v>0</v>
      </c>
      <c r="E57" s="94">
        <f ca="1">NPV(8%,J56:DE56)</f>
        <v>27392043.300864961</v>
      </c>
    </row>
    <row r="58" spans="3:109" x14ac:dyDescent="0.15">
      <c r="C58" s="92" t="s">
        <v>339</v>
      </c>
      <c r="D58" s="93"/>
      <c r="E58" s="95">
        <f ca="1">IRR(J56:DE56)</f>
        <v>9.0189195178312476E-2</v>
      </c>
    </row>
    <row r="59" spans="3:109" x14ac:dyDescent="0.15">
      <c r="D59" s="5"/>
    </row>
    <row r="60" spans="3:109" x14ac:dyDescent="0.15">
      <c r="D60" s="5"/>
    </row>
    <row r="61" spans="3:109" s="70" customFormat="1" x14ac:dyDescent="0.15">
      <c r="C61" s="73" t="s">
        <v>270</v>
      </c>
      <c r="D61" s="88" t="s">
        <v>0</v>
      </c>
      <c r="I61" s="35">
        <f ca="1">SUM(J61:DE61)</f>
        <v>7011033447.2280092</v>
      </c>
      <c r="J61" s="74">
        <f ca="1">SUM(J37,J39,J51,J52,-$E$43*J32)</f>
        <v>942697806.35046327</v>
      </c>
      <c r="K61" s="74">
        <f t="shared" ref="K61:L61" si="24">SUM(K37,K39,K51,K52,-$E$43*K32)</f>
        <v>-414483726.3326031</v>
      </c>
      <c r="L61" s="74">
        <f t="shared" si="24"/>
        <v>-712271010.11568809</v>
      </c>
      <c r="M61" s="74">
        <f t="shared" ref="M61:AR61" ca="1" si="25">SUM(M37,M39,M51,M52,-$E$43*M32)</f>
        <v>-427660154.81858021</v>
      </c>
      <c r="N61" s="74">
        <f t="shared" ca="1" si="25"/>
        <v>814946121.39324057</v>
      </c>
      <c r="O61" s="74">
        <f t="shared" ca="1" si="25"/>
        <v>937157105.58205271</v>
      </c>
      <c r="P61" s="74">
        <f t="shared" ca="1" si="25"/>
        <v>998974309.27197897</v>
      </c>
      <c r="Q61" s="74">
        <f t="shared" ca="1" si="25"/>
        <v>1031842894.2545425</v>
      </c>
      <c r="R61" s="74">
        <f t="shared" ca="1" si="25"/>
        <v>929474253.62418139</v>
      </c>
      <c r="S61" s="74">
        <f t="shared" ca="1" si="25"/>
        <v>527941257.87198579</v>
      </c>
      <c r="T61" s="74">
        <f t="shared" ca="1" si="25"/>
        <v>572057099.98177433</v>
      </c>
      <c r="U61" s="74">
        <f t="shared" ca="1" si="25"/>
        <v>630321549.35175753</v>
      </c>
      <c r="V61" s="74">
        <f t="shared" ca="1" si="25"/>
        <v>511209611.02865869</v>
      </c>
      <c r="W61" s="74">
        <f t="shared" ca="1" si="25"/>
        <v>530949518.64755911</v>
      </c>
      <c r="X61" s="74">
        <f t="shared" ca="1" si="25"/>
        <v>185099811.13668537</v>
      </c>
      <c r="Y61" s="74">
        <f t="shared" ca="1" si="25"/>
        <v>-47223000</v>
      </c>
      <c r="Z61" s="74">
        <f t="shared" ca="1" si="25"/>
        <v>0</v>
      </c>
      <c r="AA61" s="74">
        <f t="shared" ca="1" si="25"/>
        <v>0</v>
      </c>
      <c r="AB61" s="74">
        <f t="shared" ca="1" si="25"/>
        <v>0</v>
      </c>
      <c r="AC61" s="74">
        <f t="shared" ca="1" si="25"/>
        <v>0</v>
      </c>
      <c r="AD61" s="74">
        <f t="shared" ca="1" si="25"/>
        <v>0</v>
      </c>
      <c r="AE61" s="74">
        <f t="shared" ca="1" si="25"/>
        <v>0</v>
      </c>
      <c r="AF61" s="74">
        <f t="shared" ca="1" si="25"/>
        <v>0</v>
      </c>
      <c r="AG61" s="74">
        <f t="shared" ca="1" si="25"/>
        <v>0</v>
      </c>
      <c r="AH61" s="74">
        <f t="shared" ca="1" si="25"/>
        <v>0</v>
      </c>
      <c r="AI61" s="74">
        <f t="shared" ca="1" si="25"/>
        <v>0</v>
      </c>
      <c r="AJ61" s="74">
        <f t="shared" ca="1" si="25"/>
        <v>0</v>
      </c>
      <c r="AK61" s="74">
        <f t="shared" ca="1" si="25"/>
        <v>0</v>
      </c>
      <c r="AL61" s="74">
        <f t="shared" ca="1" si="25"/>
        <v>0</v>
      </c>
      <c r="AM61" s="74">
        <f t="shared" ca="1" si="25"/>
        <v>0</v>
      </c>
      <c r="AN61" s="74">
        <f t="shared" ca="1" si="25"/>
        <v>0</v>
      </c>
      <c r="AO61" s="74">
        <f t="shared" ca="1" si="25"/>
        <v>0</v>
      </c>
      <c r="AP61" s="74">
        <f t="shared" ca="1" si="25"/>
        <v>0</v>
      </c>
      <c r="AQ61" s="74">
        <f t="shared" ca="1" si="25"/>
        <v>0</v>
      </c>
      <c r="AR61" s="74">
        <f t="shared" ca="1" si="25"/>
        <v>0</v>
      </c>
      <c r="AS61" s="74">
        <f t="shared" ref="AS61:BX61" ca="1" si="26">SUM(AS37,AS39,AS51,AS52,-$E$43*AS32)</f>
        <v>0</v>
      </c>
      <c r="AT61" s="74">
        <f t="shared" ca="1" si="26"/>
        <v>0</v>
      </c>
      <c r="AU61" s="74">
        <f t="shared" ca="1" si="26"/>
        <v>0</v>
      </c>
      <c r="AV61" s="74">
        <f t="shared" ca="1" si="26"/>
        <v>0</v>
      </c>
      <c r="AW61" s="74">
        <f t="shared" ca="1" si="26"/>
        <v>0</v>
      </c>
      <c r="AX61" s="74">
        <f t="shared" ca="1" si="26"/>
        <v>0</v>
      </c>
      <c r="AY61" s="74">
        <f t="shared" ca="1" si="26"/>
        <v>0</v>
      </c>
      <c r="AZ61" s="74">
        <f t="shared" ca="1" si="26"/>
        <v>0</v>
      </c>
      <c r="BA61" s="74">
        <f t="shared" ca="1" si="26"/>
        <v>0</v>
      </c>
      <c r="BB61" s="74">
        <f t="shared" ca="1" si="26"/>
        <v>0</v>
      </c>
      <c r="BC61" s="74">
        <f t="shared" ca="1" si="26"/>
        <v>0</v>
      </c>
      <c r="BD61" s="74">
        <f t="shared" ca="1" si="26"/>
        <v>0</v>
      </c>
      <c r="BE61" s="74">
        <f t="shared" ca="1" si="26"/>
        <v>0</v>
      </c>
      <c r="BF61" s="74">
        <f t="shared" ca="1" si="26"/>
        <v>0</v>
      </c>
      <c r="BG61" s="74">
        <f t="shared" ca="1" si="26"/>
        <v>0</v>
      </c>
      <c r="BH61" s="74">
        <f t="shared" ca="1" si="26"/>
        <v>0</v>
      </c>
      <c r="BI61" s="74">
        <f t="shared" ca="1" si="26"/>
        <v>0</v>
      </c>
      <c r="BJ61" s="74">
        <f t="shared" ca="1" si="26"/>
        <v>0</v>
      </c>
      <c r="BK61" s="74">
        <f t="shared" ca="1" si="26"/>
        <v>0</v>
      </c>
      <c r="BL61" s="74">
        <f t="shared" ca="1" si="26"/>
        <v>0</v>
      </c>
      <c r="BM61" s="74">
        <f t="shared" ca="1" si="26"/>
        <v>0</v>
      </c>
      <c r="BN61" s="74">
        <f t="shared" ca="1" si="26"/>
        <v>0</v>
      </c>
      <c r="BO61" s="74">
        <f t="shared" ca="1" si="26"/>
        <v>0</v>
      </c>
      <c r="BP61" s="74">
        <f t="shared" ca="1" si="26"/>
        <v>0</v>
      </c>
      <c r="BQ61" s="74">
        <f t="shared" ca="1" si="26"/>
        <v>0</v>
      </c>
      <c r="BR61" s="74">
        <f t="shared" ca="1" si="26"/>
        <v>0</v>
      </c>
      <c r="BS61" s="74">
        <f t="shared" ca="1" si="26"/>
        <v>0</v>
      </c>
      <c r="BT61" s="74">
        <f t="shared" ca="1" si="26"/>
        <v>0</v>
      </c>
      <c r="BU61" s="74">
        <f t="shared" ca="1" si="26"/>
        <v>0</v>
      </c>
      <c r="BV61" s="74">
        <f t="shared" ca="1" si="26"/>
        <v>0</v>
      </c>
      <c r="BW61" s="74">
        <f t="shared" ca="1" si="26"/>
        <v>0</v>
      </c>
      <c r="BX61" s="74">
        <f t="shared" ca="1" si="26"/>
        <v>0</v>
      </c>
      <c r="BY61" s="74">
        <f t="shared" ref="BY61:DE61" ca="1" si="27">SUM(BY37,BY39,BY51,BY52,-$E$43*BY32)</f>
        <v>0</v>
      </c>
      <c r="BZ61" s="74">
        <f t="shared" ca="1" si="27"/>
        <v>0</v>
      </c>
      <c r="CA61" s="74">
        <f t="shared" ca="1" si="27"/>
        <v>0</v>
      </c>
      <c r="CB61" s="74">
        <f t="shared" ca="1" si="27"/>
        <v>0</v>
      </c>
      <c r="CC61" s="74">
        <f t="shared" ca="1" si="27"/>
        <v>0</v>
      </c>
      <c r="CD61" s="74">
        <f t="shared" ca="1" si="27"/>
        <v>0</v>
      </c>
      <c r="CE61" s="74">
        <f t="shared" ca="1" si="27"/>
        <v>0</v>
      </c>
      <c r="CF61" s="74">
        <f t="shared" ca="1" si="27"/>
        <v>0</v>
      </c>
      <c r="CG61" s="74">
        <f t="shared" ca="1" si="27"/>
        <v>0</v>
      </c>
      <c r="CH61" s="74">
        <f t="shared" ca="1" si="27"/>
        <v>0</v>
      </c>
      <c r="CI61" s="74">
        <f t="shared" ca="1" si="27"/>
        <v>0</v>
      </c>
      <c r="CJ61" s="74">
        <f t="shared" ca="1" si="27"/>
        <v>0</v>
      </c>
      <c r="CK61" s="74">
        <f t="shared" ca="1" si="27"/>
        <v>0</v>
      </c>
      <c r="CL61" s="74">
        <f t="shared" ca="1" si="27"/>
        <v>0</v>
      </c>
      <c r="CM61" s="74">
        <f t="shared" ca="1" si="27"/>
        <v>0</v>
      </c>
      <c r="CN61" s="74">
        <f t="shared" ca="1" si="27"/>
        <v>0</v>
      </c>
      <c r="CO61" s="74">
        <f t="shared" ca="1" si="27"/>
        <v>0</v>
      </c>
      <c r="CP61" s="74">
        <f t="shared" ca="1" si="27"/>
        <v>0</v>
      </c>
      <c r="CQ61" s="74">
        <f t="shared" ca="1" si="27"/>
        <v>0</v>
      </c>
      <c r="CR61" s="74">
        <f t="shared" ca="1" si="27"/>
        <v>0</v>
      </c>
      <c r="CS61" s="74">
        <f t="shared" ca="1" si="27"/>
        <v>0</v>
      </c>
      <c r="CT61" s="74">
        <f t="shared" ca="1" si="27"/>
        <v>0</v>
      </c>
      <c r="CU61" s="74">
        <f t="shared" ca="1" si="27"/>
        <v>0</v>
      </c>
      <c r="CV61" s="74">
        <f t="shared" ca="1" si="27"/>
        <v>0</v>
      </c>
      <c r="CW61" s="74">
        <f t="shared" ca="1" si="27"/>
        <v>0</v>
      </c>
      <c r="CX61" s="74">
        <f t="shared" ca="1" si="27"/>
        <v>0</v>
      </c>
      <c r="CY61" s="74">
        <f t="shared" ca="1" si="27"/>
        <v>0</v>
      </c>
      <c r="CZ61" s="74">
        <f t="shared" ca="1" si="27"/>
        <v>0</v>
      </c>
      <c r="DA61" s="74">
        <f t="shared" ca="1" si="27"/>
        <v>0</v>
      </c>
      <c r="DB61" s="74">
        <f t="shared" ca="1" si="27"/>
        <v>0</v>
      </c>
      <c r="DC61" s="74">
        <f t="shared" ca="1" si="27"/>
        <v>0</v>
      </c>
      <c r="DD61" s="74">
        <f t="shared" ca="1" si="27"/>
        <v>0</v>
      </c>
      <c r="DE61" s="74">
        <f t="shared" ca="1" si="27"/>
        <v>0</v>
      </c>
    </row>
    <row r="62" spans="3:109" x14ac:dyDescent="0.15">
      <c r="D62" s="5"/>
    </row>
    <row r="63" spans="3:109" ht="14" x14ac:dyDescent="0.15">
      <c r="C63" s="2" t="s">
        <v>271</v>
      </c>
      <c r="D63" s="5"/>
      <c r="U63" s="14"/>
    </row>
    <row r="64" spans="3:109" ht="14" x14ac:dyDescent="0.15">
      <c r="C64" s="2"/>
      <c r="D64" s="5"/>
      <c r="U64" s="14"/>
    </row>
    <row r="65" spans="3:109" x14ac:dyDescent="0.15">
      <c r="C65" s="23" t="s">
        <v>272</v>
      </c>
      <c r="D65" s="5" t="s">
        <v>0</v>
      </c>
      <c r="E65" s="43">
        <v>300000000</v>
      </c>
      <c r="I65" s="35">
        <f>SUM(J65:DE65)</f>
        <v>300000000</v>
      </c>
      <c r="J65" s="37">
        <f>0.5*$E$65</f>
        <v>150000000</v>
      </c>
      <c r="K65" s="37">
        <f>0.5*$E$65</f>
        <v>150000000</v>
      </c>
    </row>
    <row r="66" spans="3:109" x14ac:dyDescent="0.15">
      <c r="C66" s="23" t="s">
        <v>273</v>
      </c>
      <c r="D66" s="5" t="s">
        <v>18</v>
      </c>
      <c r="E66" s="66">
        <v>0.05</v>
      </c>
      <c r="I66" s="35">
        <f>SUM(J66:DE66)</f>
        <v>-15000000</v>
      </c>
      <c r="J66" s="37">
        <f>-E65*E66</f>
        <v>-15000000</v>
      </c>
      <c r="K66" s="37"/>
    </row>
    <row r="67" spans="3:109" x14ac:dyDescent="0.15">
      <c r="D67" s="5"/>
    </row>
    <row r="68" spans="3:109" x14ac:dyDescent="0.15">
      <c r="C68" s="23" t="s">
        <v>278</v>
      </c>
      <c r="D68" s="5"/>
      <c r="E68" s="66">
        <v>0.05</v>
      </c>
    </row>
    <row r="69" spans="3:109" x14ac:dyDescent="0.15">
      <c r="C69" s="23" t="s">
        <v>274</v>
      </c>
      <c r="D69" s="5"/>
      <c r="E69" s="66">
        <v>0.2</v>
      </c>
    </row>
    <row r="70" spans="3:109" x14ac:dyDescent="0.15">
      <c r="D70" s="5"/>
    </row>
    <row r="71" spans="3:109" x14ac:dyDescent="0.15">
      <c r="C71" s="23" t="s">
        <v>279</v>
      </c>
      <c r="D71" s="5" t="s">
        <v>0</v>
      </c>
      <c r="I71" s="35">
        <f>SUM(J71:DE71)</f>
        <v>-685373598</v>
      </c>
      <c r="J71" s="37">
        <f>-Operations!J55*(1-$E$43)*CorporateCF!$E$68*Operations!J62*(1-CorporateCF!$E$69)</f>
        <v>0</v>
      </c>
      <c r="K71" s="37">
        <f>-Operations!K55*(1-$E$43)*CorporateCF!$E$68*Operations!K62*(1-CorporateCF!$E$69)</f>
        <v>0</v>
      </c>
      <c r="L71" s="37">
        <f>-Operations!L55*(1-$E$43)*CorporateCF!$E$68*Operations!L62*(1-CorporateCF!$E$69)</f>
        <v>0</v>
      </c>
      <c r="M71" s="37">
        <f>-Operations!M55*(1-$E$43)*CorporateCF!$E$68*Operations!M62*(1-CorporateCF!$E$69)</f>
        <v>0</v>
      </c>
      <c r="N71" s="37">
        <f>-Operations!N55*(1-$E$43)*CorporateCF!$E$68*Operations!N62*(1-CorporateCF!$E$69)</f>
        <v>-76586202</v>
      </c>
      <c r="O71" s="37">
        <f>-Operations!O55*(1-$E$43)*CorporateCF!$E$68*Operations!O62*(1-CorporateCF!$E$69)</f>
        <v>-85259106</v>
      </c>
      <c r="P71" s="37">
        <f>-Operations!P55*(1-$E$43)*CorporateCF!$E$68*Operations!P62*(1-CorporateCF!$E$69)</f>
        <v>-87177942</v>
      </c>
      <c r="Q71" s="37">
        <f>-Operations!Q55*(1-$E$43)*CorporateCF!$E$68*Operations!Q62*(1-CorporateCF!$E$69)</f>
        <v>-87034176</v>
      </c>
      <c r="R71" s="37">
        <f>-Operations!R55*(1-$E$43)*CorporateCF!$E$68*Operations!R62*(1-CorporateCF!$E$69)</f>
        <v>-87048846</v>
      </c>
      <c r="S71" s="37">
        <f>-Operations!S55*(1-$E$43)*CorporateCF!$E$68*Operations!S62*(1-CorporateCF!$E$69)</f>
        <v>-45576756</v>
      </c>
      <c r="T71" s="37">
        <f>-Operations!T55*(1-$E$43)*CorporateCF!$E$68*Operations!T62*(1-CorporateCF!$E$69)</f>
        <v>-49247190</v>
      </c>
      <c r="U71" s="37">
        <f>-Operations!U55*(1-$E$43)*CorporateCF!$E$68*Operations!U62*(1-CorporateCF!$E$69)</f>
        <v>-53131806</v>
      </c>
      <c r="V71" s="37">
        <f>-Operations!V55*(1-$E$43)*CorporateCF!$E$68*Operations!V62*(1-CorporateCF!$E$69)</f>
        <v>-45177732</v>
      </c>
      <c r="W71" s="37">
        <f>-Operations!W55*(1-$E$43)*CorporateCF!$E$68*Operations!W62*(1-CorporateCF!$E$69)</f>
        <v>-46210500.000000007</v>
      </c>
      <c r="X71" s="37">
        <f>-Operations!X55*(1-$E$43)*CorporateCF!$E$68*Operations!X62*(1-CorporateCF!$E$69)</f>
        <v>-22923342</v>
      </c>
      <c r="Y71" s="37">
        <f>-Operations!Y55*(1-$E$43)*CorporateCF!$E$68*Operations!Y62*(1-CorporateCF!$E$69)</f>
        <v>0</v>
      </c>
      <c r="Z71" s="37">
        <f>-Operations!Z55*(1-$E$43)*CorporateCF!$E$68*Operations!Z62*(1-CorporateCF!$E$69)</f>
        <v>0</v>
      </c>
      <c r="AA71" s="37">
        <f>-Operations!AA55*(1-$E$43)*CorporateCF!$E$68*Operations!AA62*(1-CorporateCF!$E$69)</f>
        <v>0</v>
      </c>
      <c r="AB71" s="37">
        <f>-Operations!AB55*(1-$E$43)*CorporateCF!$E$68*Operations!AB62*(1-CorporateCF!$E$69)</f>
        <v>0</v>
      </c>
      <c r="AC71" s="37">
        <f>-Operations!AC55*(1-$E$43)*CorporateCF!$E$68*Operations!AC62*(1-CorporateCF!$E$69)</f>
        <v>0</v>
      </c>
      <c r="AD71" s="37">
        <f>-Operations!AD55*(1-$E$43)*CorporateCF!$E$68*Operations!AD62*(1-CorporateCF!$E$69)</f>
        <v>0</v>
      </c>
      <c r="AE71" s="37">
        <f>-Operations!AE55*(1-$E$43)*CorporateCF!$E$68*Operations!AE62*(1-CorporateCF!$E$69)</f>
        <v>0</v>
      </c>
      <c r="AF71" s="37">
        <f>-Operations!AF55*(1-$E$43)*CorporateCF!$E$68*Operations!AF62*(1-CorporateCF!$E$69)</f>
        <v>0</v>
      </c>
      <c r="AG71" s="37">
        <f>-Operations!AG55*(1-$E$43)*CorporateCF!$E$68*Operations!AG62*(1-CorporateCF!$E$69)</f>
        <v>0</v>
      </c>
      <c r="AH71" s="37">
        <f>-Operations!AH55*(1-$E$43)*CorporateCF!$E$68*Operations!AH62*(1-CorporateCF!$E$69)</f>
        <v>0</v>
      </c>
      <c r="AI71" s="37">
        <f>-Operations!AI55*(1-$E$43)*CorporateCF!$E$68*Operations!AI62*(1-CorporateCF!$E$69)</f>
        <v>0</v>
      </c>
      <c r="AJ71" s="37">
        <f>-Operations!AJ55*(1-$E$43)*CorporateCF!$E$68*Operations!AJ62*(1-CorporateCF!$E$69)</f>
        <v>0</v>
      </c>
      <c r="AK71" s="37">
        <f>-Operations!AK55*(1-$E$43)*CorporateCF!$E$68*Operations!AK62*(1-CorporateCF!$E$69)</f>
        <v>0</v>
      </c>
      <c r="AL71" s="37">
        <f>-Operations!AL55*(1-$E$43)*CorporateCF!$E$68*Operations!AL62*(1-CorporateCF!$E$69)</f>
        <v>0</v>
      </c>
      <c r="AM71" s="37">
        <f>-Operations!AM55*(1-$E$43)*CorporateCF!$E$68*Operations!AM62*(1-CorporateCF!$E$69)</f>
        <v>0</v>
      </c>
      <c r="AN71" s="37">
        <f>-Operations!AN55*(1-$E$43)*CorporateCF!$E$68*Operations!AN62*(1-CorporateCF!$E$69)</f>
        <v>0</v>
      </c>
      <c r="AO71" s="37">
        <f>-Operations!AO55*(1-$E$43)*CorporateCF!$E$68*Operations!AO62*(1-CorporateCF!$E$69)</f>
        <v>0</v>
      </c>
      <c r="AP71" s="37">
        <f>-Operations!AP55*(1-$E$43)*CorporateCF!$E$68*Operations!AP62*(1-CorporateCF!$E$69)</f>
        <v>0</v>
      </c>
      <c r="AQ71" s="37">
        <f>-Operations!AQ55*(1-$E$43)*CorporateCF!$E$68*Operations!AQ62*(1-CorporateCF!$E$69)</f>
        <v>0</v>
      </c>
      <c r="AR71" s="37">
        <f>-Operations!AR55*(1-$E$43)*CorporateCF!$E$68*Operations!AR62*(1-CorporateCF!$E$69)</f>
        <v>0</v>
      </c>
      <c r="AS71" s="37">
        <f>-Operations!AS55*(1-$E$43)*CorporateCF!$E$68*Operations!AS62*(1-CorporateCF!$E$69)</f>
        <v>0</v>
      </c>
      <c r="AT71" s="37">
        <f>-Operations!AT55*(1-$E$43)*CorporateCF!$E$68*Operations!AT62*(1-CorporateCF!$E$69)</f>
        <v>0</v>
      </c>
      <c r="AU71" s="37">
        <f>-Operations!AU55*(1-$E$43)*CorporateCF!$E$68*Operations!AU62*(1-CorporateCF!$E$69)</f>
        <v>0</v>
      </c>
      <c r="AV71" s="37">
        <f>-Operations!AV55*(1-$E$43)*CorporateCF!$E$68*Operations!AV62*(1-CorporateCF!$E$69)</f>
        <v>0</v>
      </c>
      <c r="AW71" s="37">
        <f>-Operations!AW55*(1-$E$43)*CorporateCF!$E$68*Operations!AW62*(1-CorporateCF!$E$69)</f>
        <v>0</v>
      </c>
      <c r="AX71" s="37">
        <f>-Operations!AX55*(1-$E$43)*CorporateCF!$E$68*Operations!AX62*(1-CorporateCF!$E$69)</f>
        <v>0</v>
      </c>
      <c r="AY71" s="37">
        <f>-Operations!AY55*(1-$E$43)*CorporateCF!$E$68*Operations!AY62*(1-CorporateCF!$E$69)</f>
        <v>0</v>
      </c>
      <c r="AZ71" s="37">
        <f>-Operations!AZ55*(1-$E$43)*CorporateCF!$E$68*Operations!AZ62*(1-CorporateCF!$E$69)</f>
        <v>0</v>
      </c>
      <c r="BA71" s="37">
        <f>-Operations!BA55*(1-$E$43)*CorporateCF!$E$68*Operations!BA62*(1-CorporateCF!$E$69)</f>
        <v>0</v>
      </c>
      <c r="BB71" s="37">
        <f>-Operations!BB55*(1-$E$43)*CorporateCF!$E$68*Operations!BB62*(1-CorporateCF!$E$69)</f>
        <v>0</v>
      </c>
      <c r="BC71" s="37">
        <f>-Operations!BC55*(1-$E$43)*CorporateCF!$E$68*Operations!BC62*(1-CorporateCF!$E$69)</f>
        <v>0</v>
      </c>
      <c r="BD71" s="37">
        <f>-Operations!BD55*(1-$E$43)*CorporateCF!$E$68*Operations!BD62*(1-CorporateCF!$E$69)</f>
        <v>0</v>
      </c>
      <c r="BE71" s="37">
        <f>-Operations!BE55*(1-$E$43)*CorporateCF!$E$68*Operations!BE62*(1-CorporateCF!$E$69)</f>
        <v>0</v>
      </c>
      <c r="BF71" s="37">
        <f>-Operations!BF55*(1-$E$43)*CorporateCF!$E$68*Operations!BF62*(1-CorporateCF!$E$69)</f>
        <v>0</v>
      </c>
      <c r="BG71" s="37">
        <f>-Operations!BG55*(1-$E$43)*CorporateCF!$E$68*Operations!BG62*(1-CorporateCF!$E$69)</f>
        <v>0</v>
      </c>
      <c r="BH71" s="37">
        <f>-Operations!BH55*(1-$E$43)*CorporateCF!$E$68*Operations!BH62*(1-CorporateCF!$E$69)</f>
        <v>0</v>
      </c>
      <c r="BI71" s="37">
        <f>-Operations!BI55*(1-$E$43)*CorporateCF!$E$68*Operations!BI62*(1-CorporateCF!$E$69)</f>
        <v>0</v>
      </c>
      <c r="BJ71" s="37">
        <f>-Operations!BJ55*(1-$E$43)*CorporateCF!$E$68*Operations!BJ62*(1-CorporateCF!$E$69)</f>
        <v>0</v>
      </c>
      <c r="BK71" s="37">
        <f>-Operations!BK55*(1-$E$43)*CorporateCF!$E$68*Operations!BK62*(1-CorporateCF!$E$69)</f>
        <v>0</v>
      </c>
      <c r="BL71" s="37">
        <f>-Operations!BL55*(1-$E$43)*CorporateCF!$E$68*Operations!BL62*(1-CorporateCF!$E$69)</f>
        <v>0</v>
      </c>
      <c r="BM71" s="37">
        <f>-Operations!BM55*(1-$E$43)*CorporateCF!$E$68*Operations!BM62*(1-CorporateCF!$E$69)</f>
        <v>0</v>
      </c>
      <c r="BN71" s="37">
        <f>-Operations!BN55*(1-$E$43)*CorporateCF!$E$68*Operations!BN62*(1-CorporateCF!$E$69)</f>
        <v>0</v>
      </c>
      <c r="BO71" s="37">
        <f>-Operations!BO55*(1-$E$43)*CorporateCF!$E$68*Operations!BO62*(1-CorporateCF!$E$69)</f>
        <v>0</v>
      </c>
      <c r="BP71" s="37">
        <f>-Operations!BP55*(1-$E$43)*CorporateCF!$E$68*Operations!BP62*(1-CorporateCF!$E$69)</f>
        <v>0</v>
      </c>
      <c r="BQ71" s="37">
        <f>-Operations!BQ55*(1-$E$43)*CorporateCF!$E$68*Operations!BQ62*(1-CorporateCF!$E$69)</f>
        <v>0</v>
      </c>
      <c r="BR71" s="37">
        <f>-Operations!BR55*(1-$E$43)*CorporateCF!$E$68*Operations!BR62*(1-CorporateCF!$E$69)</f>
        <v>0</v>
      </c>
      <c r="BS71" s="37">
        <f>-Operations!BS55*(1-$E$43)*CorporateCF!$E$68*Operations!BS62*(1-CorporateCF!$E$69)</f>
        <v>0</v>
      </c>
      <c r="BT71" s="37">
        <f>-Operations!BT55*(1-$E$43)*CorporateCF!$E$68*Operations!BT62*(1-CorporateCF!$E$69)</f>
        <v>0</v>
      </c>
      <c r="BU71" s="37">
        <f>-Operations!BU55*(1-$E$43)*CorporateCF!$E$68*Operations!BU62*(1-CorporateCF!$E$69)</f>
        <v>0</v>
      </c>
      <c r="BV71" s="37">
        <f>-Operations!BV55*(1-$E$43)*CorporateCF!$E$68*Operations!BV62*(1-CorporateCF!$E$69)</f>
        <v>0</v>
      </c>
      <c r="BW71" s="37">
        <f>-Operations!BW55*(1-$E$43)*CorporateCF!$E$68*Operations!BW62*(1-CorporateCF!$E$69)</f>
        <v>0</v>
      </c>
      <c r="BX71" s="37">
        <f>-Operations!BX55*(1-$E$43)*CorporateCF!$E$68*Operations!BX62*(1-CorporateCF!$E$69)</f>
        <v>0</v>
      </c>
      <c r="BY71" s="37">
        <f>-Operations!BY55*(1-$E$43)*CorporateCF!$E$68*Operations!BY62*(1-CorporateCF!$E$69)</f>
        <v>0</v>
      </c>
      <c r="BZ71" s="37">
        <f>-Operations!BZ55*(1-$E$43)*CorporateCF!$E$68*Operations!BZ62*(1-CorporateCF!$E$69)</f>
        <v>0</v>
      </c>
      <c r="CA71" s="37">
        <f>-Operations!CA55*(1-$E$43)*CorporateCF!$E$68*Operations!CA62*(1-CorporateCF!$E$69)</f>
        <v>0</v>
      </c>
      <c r="CB71" s="37">
        <f>-Operations!CB55*(1-$E$43)*CorporateCF!$E$68*Operations!CB62*(1-CorporateCF!$E$69)</f>
        <v>0</v>
      </c>
      <c r="CC71" s="37">
        <f>-Operations!CC55*(1-$E$43)*CorporateCF!$E$68*Operations!CC62*(1-CorporateCF!$E$69)</f>
        <v>0</v>
      </c>
      <c r="CD71" s="37">
        <f>-Operations!CD55*(1-$E$43)*CorporateCF!$E$68*Operations!CD62*(1-CorporateCF!$E$69)</f>
        <v>0</v>
      </c>
      <c r="CE71" s="37">
        <f>-Operations!CE55*(1-$E$43)*CorporateCF!$E$68*Operations!CE62*(1-CorporateCF!$E$69)</f>
        <v>0</v>
      </c>
      <c r="CF71" s="37">
        <f>-Operations!CF55*(1-$E$43)*CorporateCF!$E$68*Operations!CF62*(1-CorporateCF!$E$69)</f>
        <v>0</v>
      </c>
      <c r="CG71" s="37">
        <f>-Operations!CG55*(1-$E$43)*CorporateCF!$E$68*Operations!CG62*(1-CorporateCF!$E$69)</f>
        <v>0</v>
      </c>
      <c r="CH71" s="37">
        <f>-Operations!CH55*(1-$E$43)*CorporateCF!$E$68*Operations!CH62*(1-CorporateCF!$E$69)</f>
        <v>0</v>
      </c>
      <c r="CI71" s="37">
        <f>-Operations!CI55*(1-$E$43)*CorporateCF!$E$68*Operations!CI62*(1-CorporateCF!$E$69)</f>
        <v>0</v>
      </c>
      <c r="CJ71" s="37">
        <f>-Operations!CJ55*(1-$E$43)*CorporateCF!$E$68*Operations!CJ62*(1-CorporateCF!$E$69)</f>
        <v>0</v>
      </c>
      <c r="CK71" s="37">
        <f>-Operations!CK55*(1-$E$43)*CorporateCF!$E$68*Operations!CK62*(1-CorporateCF!$E$69)</f>
        <v>0</v>
      </c>
      <c r="CL71" s="37">
        <f>-Operations!CL55*(1-$E$43)*CorporateCF!$E$68*Operations!CL62*(1-CorporateCF!$E$69)</f>
        <v>0</v>
      </c>
      <c r="CM71" s="37">
        <f>-Operations!CM55*(1-$E$43)*CorporateCF!$E$68*Operations!CM62*(1-CorporateCF!$E$69)</f>
        <v>0</v>
      </c>
      <c r="CN71" s="37">
        <f>-Operations!CN55*(1-$E$43)*CorporateCF!$E$68*Operations!CN62*(1-CorporateCF!$E$69)</f>
        <v>0</v>
      </c>
      <c r="CO71" s="37">
        <f>-Operations!CO55*(1-$E$43)*CorporateCF!$E$68*Operations!CO62*(1-CorporateCF!$E$69)</f>
        <v>0</v>
      </c>
      <c r="CP71" s="37">
        <f>-Operations!CP55*(1-$E$43)*CorporateCF!$E$68*Operations!CP62*(1-CorporateCF!$E$69)</f>
        <v>0</v>
      </c>
      <c r="CQ71" s="37">
        <f>-Operations!CQ55*(1-$E$43)*CorporateCF!$E$68*Operations!CQ62*(1-CorporateCF!$E$69)</f>
        <v>0</v>
      </c>
      <c r="CR71" s="37">
        <f>-Operations!CR55*(1-$E$43)*CorporateCF!$E$68*Operations!CR62*(1-CorporateCF!$E$69)</f>
        <v>0</v>
      </c>
      <c r="CS71" s="37">
        <f>-Operations!CS55*(1-$E$43)*CorporateCF!$E$68*Operations!CS62*(1-CorporateCF!$E$69)</f>
        <v>0</v>
      </c>
      <c r="CT71" s="37">
        <f>-Operations!CT55*(1-$E$43)*CorporateCF!$E$68*Operations!CT62*(1-CorporateCF!$E$69)</f>
        <v>0</v>
      </c>
      <c r="CU71" s="37">
        <f>-Operations!CU55*(1-$E$43)*CorporateCF!$E$68*Operations!CU62*(1-CorporateCF!$E$69)</f>
        <v>0</v>
      </c>
      <c r="CV71" s="37">
        <f>-Operations!CV55*(1-$E$43)*CorporateCF!$E$68*Operations!CV62*(1-CorporateCF!$E$69)</f>
        <v>0</v>
      </c>
      <c r="CW71" s="37">
        <f>-Operations!CW55*(1-$E$43)*CorporateCF!$E$68*Operations!CW62*(1-CorporateCF!$E$69)</f>
        <v>0</v>
      </c>
      <c r="CX71" s="37">
        <f>-Operations!CX55*(1-$E$43)*CorporateCF!$E$68*Operations!CX62*(1-CorporateCF!$E$69)</f>
        <v>0</v>
      </c>
      <c r="CY71" s="37">
        <f>-Operations!CY55*(1-$E$43)*CorporateCF!$E$68*Operations!CY62*(1-CorporateCF!$E$69)</f>
        <v>0</v>
      </c>
      <c r="CZ71" s="37">
        <f>-Operations!CZ55*(1-$E$43)*CorporateCF!$E$68*Operations!CZ62*(1-CorporateCF!$E$69)</f>
        <v>0</v>
      </c>
      <c r="DA71" s="37">
        <f>-Operations!DA55*(1-$E$43)*CorporateCF!$E$68*Operations!DA62*(1-CorporateCF!$E$69)</f>
        <v>0</v>
      </c>
      <c r="DB71" s="37">
        <f>-Operations!DB55*(1-$E$43)*CorporateCF!$E$68*Operations!DB62*(1-CorporateCF!$E$69)</f>
        <v>0</v>
      </c>
      <c r="DC71" s="37">
        <f>-Operations!DC55*(1-$E$43)*CorporateCF!$E$68*Operations!DC62*(1-CorporateCF!$E$69)</f>
        <v>0</v>
      </c>
      <c r="DD71" s="37">
        <f>-Operations!DD55*(1-$E$43)*CorporateCF!$E$68*Operations!DD62*(1-CorporateCF!$E$69)</f>
        <v>0</v>
      </c>
      <c r="DE71" s="37">
        <f>-Operations!DE55*(1-$E$43)*CorporateCF!$E$68*Operations!DE62*(1-CorporateCF!$E$69)</f>
        <v>0</v>
      </c>
    </row>
    <row r="72" spans="3:109" x14ac:dyDescent="0.15">
      <c r="C72" s="23"/>
      <c r="D72" s="5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</row>
    <row r="73" spans="3:109" x14ac:dyDescent="0.15">
      <c r="C73" t="s">
        <v>276</v>
      </c>
      <c r="D73" s="5" t="s">
        <v>0</v>
      </c>
      <c r="I73" s="35">
        <f ca="1">SUM(J73:DE73)</f>
        <v>6610659849.2280092</v>
      </c>
      <c r="J73" s="59">
        <f ca="1">SUM(J65:J72,J61)</f>
        <v>1077697806.3504634</v>
      </c>
      <c r="K73" s="59">
        <f t="shared" ref="K73:L73" si="28">SUM(K65:K72,K61)</f>
        <v>-264483726.3326031</v>
      </c>
      <c r="L73" s="59">
        <f t="shared" si="28"/>
        <v>-712271010.11568809</v>
      </c>
      <c r="M73" s="59">
        <f t="shared" ref="M73:AR73" ca="1" si="29">SUM(M65:M72,M61)</f>
        <v>-427660154.81858021</v>
      </c>
      <c r="N73" s="59">
        <f t="shared" ca="1" si="29"/>
        <v>738359919.39324057</v>
      </c>
      <c r="O73" s="59">
        <f t="shared" ca="1" si="29"/>
        <v>851897999.58205271</v>
      </c>
      <c r="P73" s="59">
        <f t="shared" ca="1" si="29"/>
        <v>911796367.27197897</v>
      </c>
      <c r="Q73" s="59">
        <f t="shared" ca="1" si="29"/>
        <v>944808718.25454247</v>
      </c>
      <c r="R73" s="59">
        <f t="shared" ca="1" si="29"/>
        <v>842425407.62418139</v>
      </c>
      <c r="S73" s="59">
        <f t="shared" ca="1" si="29"/>
        <v>482364501.87198579</v>
      </c>
      <c r="T73" s="59">
        <f t="shared" ca="1" si="29"/>
        <v>522809909.98177433</v>
      </c>
      <c r="U73" s="59">
        <f t="shared" ca="1" si="29"/>
        <v>577189743.35175753</v>
      </c>
      <c r="V73" s="59">
        <f t="shared" ca="1" si="29"/>
        <v>466031879.02865869</v>
      </c>
      <c r="W73" s="59">
        <f t="shared" ca="1" si="29"/>
        <v>484739018.64755911</v>
      </c>
      <c r="X73" s="59">
        <f t="shared" ca="1" si="29"/>
        <v>162176469.13668537</v>
      </c>
      <c r="Y73" s="59">
        <f t="shared" ca="1" si="29"/>
        <v>-47223000</v>
      </c>
      <c r="Z73" s="59">
        <f t="shared" ca="1" si="29"/>
        <v>0</v>
      </c>
      <c r="AA73" s="59">
        <f t="shared" ca="1" si="29"/>
        <v>0</v>
      </c>
      <c r="AB73" s="59">
        <f t="shared" ca="1" si="29"/>
        <v>0</v>
      </c>
      <c r="AC73" s="59">
        <f t="shared" ca="1" si="29"/>
        <v>0</v>
      </c>
      <c r="AD73" s="59">
        <f t="shared" ca="1" si="29"/>
        <v>0</v>
      </c>
      <c r="AE73" s="59">
        <f t="shared" ca="1" si="29"/>
        <v>0</v>
      </c>
      <c r="AF73" s="59">
        <f t="shared" ca="1" si="29"/>
        <v>0</v>
      </c>
      <c r="AG73" s="59">
        <f t="shared" ca="1" si="29"/>
        <v>0</v>
      </c>
      <c r="AH73" s="59">
        <f t="shared" ca="1" si="29"/>
        <v>0</v>
      </c>
      <c r="AI73" s="59">
        <f t="shared" ca="1" si="29"/>
        <v>0</v>
      </c>
      <c r="AJ73" s="59">
        <f t="shared" ca="1" si="29"/>
        <v>0</v>
      </c>
      <c r="AK73" s="59">
        <f t="shared" ca="1" si="29"/>
        <v>0</v>
      </c>
      <c r="AL73" s="59">
        <f t="shared" ca="1" si="29"/>
        <v>0</v>
      </c>
      <c r="AM73" s="59">
        <f t="shared" ca="1" si="29"/>
        <v>0</v>
      </c>
      <c r="AN73" s="59">
        <f t="shared" ca="1" si="29"/>
        <v>0</v>
      </c>
      <c r="AO73" s="59">
        <f t="shared" ca="1" si="29"/>
        <v>0</v>
      </c>
      <c r="AP73" s="59">
        <f t="shared" ca="1" si="29"/>
        <v>0</v>
      </c>
      <c r="AQ73" s="59">
        <f t="shared" ca="1" si="29"/>
        <v>0</v>
      </c>
      <c r="AR73" s="59">
        <f t="shared" ca="1" si="29"/>
        <v>0</v>
      </c>
      <c r="AS73" s="59">
        <f t="shared" ref="AS73:BX73" ca="1" si="30">SUM(AS65:AS72,AS61)</f>
        <v>0</v>
      </c>
      <c r="AT73" s="59">
        <f t="shared" ca="1" si="30"/>
        <v>0</v>
      </c>
      <c r="AU73" s="59">
        <f t="shared" ca="1" si="30"/>
        <v>0</v>
      </c>
      <c r="AV73" s="59">
        <f t="shared" ca="1" si="30"/>
        <v>0</v>
      </c>
      <c r="AW73" s="59">
        <f t="shared" ca="1" si="30"/>
        <v>0</v>
      </c>
      <c r="AX73" s="59">
        <f t="shared" ca="1" si="30"/>
        <v>0</v>
      </c>
      <c r="AY73" s="59">
        <f t="shared" ca="1" si="30"/>
        <v>0</v>
      </c>
      <c r="AZ73" s="59">
        <f t="shared" ca="1" si="30"/>
        <v>0</v>
      </c>
      <c r="BA73" s="59">
        <f t="shared" ca="1" si="30"/>
        <v>0</v>
      </c>
      <c r="BB73" s="59">
        <f t="shared" ca="1" si="30"/>
        <v>0</v>
      </c>
      <c r="BC73" s="59">
        <f t="shared" ca="1" si="30"/>
        <v>0</v>
      </c>
      <c r="BD73" s="59">
        <f t="shared" ca="1" si="30"/>
        <v>0</v>
      </c>
      <c r="BE73" s="59">
        <f t="shared" ca="1" si="30"/>
        <v>0</v>
      </c>
      <c r="BF73" s="59">
        <f t="shared" ca="1" si="30"/>
        <v>0</v>
      </c>
      <c r="BG73" s="59">
        <f t="shared" ca="1" si="30"/>
        <v>0</v>
      </c>
      <c r="BH73" s="59">
        <f t="shared" ca="1" si="30"/>
        <v>0</v>
      </c>
      <c r="BI73" s="59">
        <f t="shared" ca="1" si="30"/>
        <v>0</v>
      </c>
      <c r="BJ73" s="59">
        <f t="shared" ca="1" si="30"/>
        <v>0</v>
      </c>
      <c r="BK73" s="59">
        <f t="shared" ca="1" si="30"/>
        <v>0</v>
      </c>
      <c r="BL73" s="59">
        <f t="shared" ca="1" si="30"/>
        <v>0</v>
      </c>
      <c r="BM73" s="59">
        <f t="shared" ca="1" si="30"/>
        <v>0</v>
      </c>
      <c r="BN73" s="59">
        <f t="shared" ca="1" si="30"/>
        <v>0</v>
      </c>
      <c r="BO73" s="59">
        <f t="shared" ca="1" si="30"/>
        <v>0</v>
      </c>
      <c r="BP73" s="59">
        <f t="shared" ca="1" si="30"/>
        <v>0</v>
      </c>
      <c r="BQ73" s="59">
        <f t="shared" ca="1" si="30"/>
        <v>0</v>
      </c>
      <c r="BR73" s="59">
        <f t="shared" ca="1" si="30"/>
        <v>0</v>
      </c>
      <c r="BS73" s="59">
        <f t="shared" ca="1" si="30"/>
        <v>0</v>
      </c>
      <c r="BT73" s="59">
        <f t="shared" ca="1" si="30"/>
        <v>0</v>
      </c>
      <c r="BU73" s="59">
        <f t="shared" ca="1" si="30"/>
        <v>0</v>
      </c>
      <c r="BV73" s="59">
        <f t="shared" ca="1" si="30"/>
        <v>0</v>
      </c>
      <c r="BW73" s="59">
        <f t="shared" ca="1" si="30"/>
        <v>0</v>
      </c>
      <c r="BX73" s="59">
        <f t="shared" ca="1" si="30"/>
        <v>0</v>
      </c>
      <c r="BY73" s="59">
        <f t="shared" ref="BY73:DD73" ca="1" si="31">SUM(BY65:BY72,BY61)</f>
        <v>0</v>
      </c>
      <c r="BZ73" s="59">
        <f t="shared" ca="1" si="31"/>
        <v>0</v>
      </c>
      <c r="CA73" s="59">
        <f t="shared" ca="1" si="31"/>
        <v>0</v>
      </c>
      <c r="CB73" s="59">
        <f t="shared" ca="1" si="31"/>
        <v>0</v>
      </c>
      <c r="CC73" s="59">
        <f t="shared" ca="1" si="31"/>
        <v>0</v>
      </c>
      <c r="CD73" s="59">
        <f t="shared" ca="1" si="31"/>
        <v>0</v>
      </c>
      <c r="CE73" s="59">
        <f t="shared" ca="1" si="31"/>
        <v>0</v>
      </c>
      <c r="CF73" s="59">
        <f t="shared" ca="1" si="31"/>
        <v>0</v>
      </c>
      <c r="CG73" s="59">
        <f t="shared" ca="1" si="31"/>
        <v>0</v>
      </c>
      <c r="CH73" s="59">
        <f t="shared" ca="1" si="31"/>
        <v>0</v>
      </c>
      <c r="CI73" s="59">
        <f t="shared" ca="1" si="31"/>
        <v>0</v>
      </c>
      <c r="CJ73" s="59">
        <f t="shared" ca="1" si="31"/>
        <v>0</v>
      </c>
      <c r="CK73" s="59">
        <f t="shared" ca="1" si="31"/>
        <v>0</v>
      </c>
      <c r="CL73" s="59">
        <f t="shared" ca="1" si="31"/>
        <v>0</v>
      </c>
      <c r="CM73" s="59">
        <f t="shared" ca="1" si="31"/>
        <v>0</v>
      </c>
      <c r="CN73" s="59">
        <f t="shared" ca="1" si="31"/>
        <v>0</v>
      </c>
      <c r="CO73" s="59">
        <f t="shared" ca="1" si="31"/>
        <v>0</v>
      </c>
      <c r="CP73" s="59">
        <f t="shared" ca="1" si="31"/>
        <v>0</v>
      </c>
      <c r="CQ73" s="59">
        <f t="shared" ca="1" si="31"/>
        <v>0</v>
      </c>
      <c r="CR73" s="59">
        <f t="shared" ca="1" si="31"/>
        <v>0</v>
      </c>
      <c r="CS73" s="59">
        <f t="shared" ca="1" si="31"/>
        <v>0</v>
      </c>
      <c r="CT73" s="59">
        <f t="shared" ca="1" si="31"/>
        <v>0</v>
      </c>
      <c r="CU73" s="59">
        <f t="shared" ca="1" si="31"/>
        <v>0</v>
      </c>
      <c r="CV73" s="59">
        <f t="shared" ca="1" si="31"/>
        <v>0</v>
      </c>
      <c r="CW73" s="59">
        <f t="shared" ca="1" si="31"/>
        <v>0</v>
      </c>
      <c r="CX73" s="59">
        <f t="shared" ca="1" si="31"/>
        <v>0</v>
      </c>
      <c r="CY73" s="59">
        <f t="shared" ca="1" si="31"/>
        <v>0</v>
      </c>
      <c r="CZ73" s="59">
        <f t="shared" ca="1" si="31"/>
        <v>0</v>
      </c>
      <c r="DA73" s="59">
        <f t="shared" ca="1" si="31"/>
        <v>0</v>
      </c>
      <c r="DB73" s="59">
        <f t="shared" ca="1" si="31"/>
        <v>0</v>
      </c>
      <c r="DC73" s="59">
        <f t="shared" ca="1" si="31"/>
        <v>0</v>
      </c>
      <c r="DD73" s="59">
        <f t="shared" ca="1" si="31"/>
        <v>0</v>
      </c>
      <c r="DE73" s="59">
        <f t="shared" ref="DE73" ca="1" si="32">SUM(DE65:DE72,DE61)</f>
        <v>0</v>
      </c>
    </row>
    <row r="74" spans="3:109" x14ac:dyDescent="0.15">
      <c r="D74" s="5"/>
    </row>
    <row r="75" spans="3:109" ht="14" x14ac:dyDescent="0.15">
      <c r="C75" s="2" t="s">
        <v>333</v>
      </c>
      <c r="D75" s="5"/>
    </row>
    <row r="76" spans="3:109" x14ac:dyDescent="0.15">
      <c r="D76" s="5"/>
    </row>
    <row r="77" spans="3:109" x14ac:dyDescent="0.15">
      <c r="C77" s="23" t="s">
        <v>334</v>
      </c>
      <c r="D77" s="5"/>
      <c r="I77" s="35">
        <f>SUM(J77:DE77)</f>
        <v>400373598</v>
      </c>
      <c r="J77" s="37">
        <f>-(J65+J66+J71)</f>
        <v>-135000000</v>
      </c>
      <c r="K77" s="37">
        <f t="shared" ref="K77:BV77" si="33">-(K65+K66+K71)</f>
        <v>-150000000</v>
      </c>
      <c r="L77" s="37">
        <f t="shared" si="33"/>
        <v>0</v>
      </c>
      <c r="M77" s="37">
        <f t="shared" si="33"/>
        <v>0</v>
      </c>
      <c r="N77" s="37">
        <f t="shared" si="33"/>
        <v>76586202</v>
      </c>
      <c r="O77" s="37">
        <f t="shared" si="33"/>
        <v>85259106</v>
      </c>
      <c r="P77" s="37">
        <f t="shared" si="33"/>
        <v>87177942</v>
      </c>
      <c r="Q77" s="37">
        <f t="shared" si="33"/>
        <v>87034176</v>
      </c>
      <c r="R77" s="37">
        <f t="shared" si="33"/>
        <v>87048846</v>
      </c>
      <c r="S77" s="37">
        <f t="shared" si="33"/>
        <v>45576756</v>
      </c>
      <c r="T77" s="37">
        <f t="shared" si="33"/>
        <v>49247190</v>
      </c>
      <c r="U77" s="37">
        <f t="shared" si="33"/>
        <v>53131806</v>
      </c>
      <c r="V77" s="37">
        <f t="shared" si="33"/>
        <v>45177732</v>
      </c>
      <c r="W77" s="37">
        <f t="shared" si="33"/>
        <v>46210500.000000007</v>
      </c>
      <c r="X77" s="37">
        <f t="shared" si="33"/>
        <v>22923342</v>
      </c>
      <c r="Y77" s="37">
        <f t="shared" si="33"/>
        <v>0</v>
      </c>
      <c r="Z77" s="37">
        <f t="shared" si="33"/>
        <v>0</v>
      </c>
      <c r="AA77" s="37">
        <f t="shared" si="33"/>
        <v>0</v>
      </c>
      <c r="AB77" s="37">
        <f t="shared" si="33"/>
        <v>0</v>
      </c>
      <c r="AC77" s="37">
        <f t="shared" si="33"/>
        <v>0</v>
      </c>
      <c r="AD77" s="37">
        <f t="shared" si="33"/>
        <v>0</v>
      </c>
      <c r="AE77" s="37">
        <f t="shared" si="33"/>
        <v>0</v>
      </c>
      <c r="AF77" s="37">
        <f t="shared" si="33"/>
        <v>0</v>
      </c>
      <c r="AG77" s="37">
        <f t="shared" si="33"/>
        <v>0</v>
      </c>
      <c r="AH77" s="37">
        <f t="shared" si="33"/>
        <v>0</v>
      </c>
      <c r="AI77" s="37">
        <f t="shared" si="33"/>
        <v>0</v>
      </c>
      <c r="AJ77" s="37">
        <f t="shared" si="33"/>
        <v>0</v>
      </c>
      <c r="AK77" s="37">
        <f t="shared" si="33"/>
        <v>0</v>
      </c>
      <c r="AL77" s="37">
        <f t="shared" si="33"/>
        <v>0</v>
      </c>
      <c r="AM77" s="37">
        <f t="shared" si="33"/>
        <v>0</v>
      </c>
      <c r="AN77" s="37">
        <f t="shared" si="33"/>
        <v>0</v>
      </c>
      <c r="AO77" s="37">
        <f t="shared" si="33"/>
        <v>0</v>
      </c>
      <c r="AP77" s="37">
        <f t="shared" si="33"/>
        <v>0</v>
      </c>
      <c r="AQ77" s="37">
        <f t="shared" si="33"/>
        <v>0</v>
      </c>
      <c r="AR77" s="37">
        <f t="shared" si="33"/>
        <v>0</v>
      </c>
      <c r="AS77" s="37">
        <f t="shared" si="33"/>
        <v>0</v>
      </c>
      <c r="AT77" s="37">
        <f t="shared" si="33"/>
        <v>0</v>
      </c>
      <c r="AU77" s="37">
        <f t="shared" si="33"/>
        <v>0</v>
      </c>
      <c r="AV77" s="37">
        <f t="shared" si="33"/>
        <v>0</v>
      </c>
      <c r="AW77" s="37">
        <f t="shared" si="33"/>
        <v>0</v>
      </c>
      <c r="AX77" s="37">
        <f t="shared" si="33"/>
        <v>0</v>
      </c>
      <c r="AY77" s="37">
        <f t="shared" si="33"/>
        <v>0</v>
      </c>
      <c r="AZ77" s="37">
        <f t="shared" si="33"/>
        <v>0</v>
      </c>
      <c r="BA77" s="37">
        <f t="shared" si="33"/>
        <v>0</v>
      </c>
      <c r="BB77" s="37">
        <f t="shared" si="33"/>
        <v>0</v>
      </c>
      <c r="BC77" s="37">
        <f t="shared" si="33"/>
        <v>0</v>
      </c>
      <c r="BD77" s="37">
        <f t="shared" si="33"/>
        <v>0</v>
      </c>
      <c r="BE77" s="37">
        <f t="shared" si="33"/>
        <v>0</v>
      </c>
      <c r="BF77" s="37">
        <f t="shared" si="33"/>
        <v>0</v>
      </c>
      <c r="BG77" s="37">
        <f t="shared" si="33"/>
        <v>0</v>
      </c>
      <c r="BH77" s="37">
        <f t="shared" si="33"/>
        <v>0</v>
      </c>
      <c r="BI77" s="37">
        <f t="shared" si="33"/>
        <v>0</v>
      </c>
      <c r="BJ77" s="37">
        <f t="shared" si="33"/>
        <v>0</v>
      </c>
      <c r="BK77" s="37">
        <f t="shared" si="33"/>
        <v>0</v>
      </c>
      <c r="BL77" s="37">
        <f t="shared" si="33"/>
        <v>0</v>
      </c>
      <c r="BM77" s="37">
        <f t="shared" si="33"/>
        <v>0</v>
      </c>
      <c r="BN77" s="37">
        <f t="shared" si="33"/>
        <v>0</v>
      </c>
      <c r="BO77" s="37">
        <f t="shared" si="33"/>
        <v>0</v>
      </c>
      <c r="BP77" s="37">
        <f t="shared" si="33"/>
        <v>0</v>
      </c>
      <c r="BQ77" s="37">
        <f t="shared" si="33"/>
        <v>0</v>
      </c>
      <c r="BR77" s="37">
        <f t="shared" si="33"/>
        <v>0</v>
      </c>
      <c r="BS77" s="37">
        <f t="shared" si="33"/>
        <v>0</v>
      </c>
      <c r="BT77" s="37">
        <f t="shared" si="33"/>
        <v>0</v>
      </c>
      <c r="BU77" s="37">
        <f t="shared" si="33"/>
        <v>0</v>
      </c>
      <c r="BV77" s="37">
        <f t="shared" si="33"/>
        <v>0</v>
      </c>
      <c r="BW77" s="37">
        <f t="shared" ref="BW77:DE77" si="34">-(BW65+BW66+BW71)</f>
        <v>0</v>
      </c>
      <c r="BX77" s="37">
        <f t="shared" si="34"/>
        <v>0</v>
      </c>
      <c r="BY77" s="37">
        <f t="shared" si="34"/>
        <v>0</v>
      </c>
      <c r="BZ77" s="37">
        <f t="shared" si="34"/>
        <v>0</v>
      </c>
      <c r="CA77" s="37">
        <f t="shared" si="34"/>
        <v>0</v>
      </c>
      <c r="CB77" s="37">
        <f t="shared" si="34"/>
        <v>0</v>
      </c>
      <c r="CC77" s="37">
        <f t="shared" si="34"/>
        <v>0</v>
      </c>
      <c r="CD77" s="37">
        <f t="shared" si="34"/>
        <v>0</v>
      </c>
      <c r="CE77" s="37">
        <f t="shared" si="34"/>
        <v>0</v>
      </c>
      <c r="CF77" s="37">
        <f t="shared" si="34"/>
        <v>0</v>
      </c>
      <c r="CG77" s="37">
        <f t="shared" si="34"/>
        <v>0</v>
      </c>
      <c r="CH77" s="37">
        <f t="shared" si="34"/>
        <v>0</v>
      </c>
      <c r="CI77" s="37">
        <f t="shared" si="34"/>
        <v>0</v>
      </c>
      <c r="CJ77" s="37">
        <f t="shared" si="34"/>
        <v>0</v>
      </c>
      <c r="CK77" s="37">
        <f t="shared" si="34"/>
        <v>0</v>
      </c>
      <c r="CL77" s="37">
        <f t="shared" si="34"/>
        <v>0</v>
      </c>
      <c r="CM77" s="37">
        <f t="shared" si="34"/>
        <v>0</v>
      </c>
      <c r="CN77" s="37">
        <f t="shared" si="34"/>
        <v>0</v>
      </c>
      <c r="CO77" s="37">
        <f t="shared" si="34"/>
        <v>0</v>
      </c>
      <c r="CP77" s="37">
        <f t="shared" si="34"/>
        <v>0</v>
      </c>
      <c r="CQ77" s="37">
        <f t="shared" si="34"/>
        <v>0</v>
      </c>
      <c r="CR77" s="37">
        <f t="shared" si="34"/>
        <v>0</v>
      </c>
      <c r="CS77" s="37">
        <f t="shared" si="34"/>
        <v>0</v>
      </c>
      <c r="CT77" s="37">
        <f t="shared" si="34"/>
        <v>0</v>
      </c>
      <c r="CU77" s="37">
        <f t="shared" si="34"/>
        <v>0</v>
      </c>
      <c r="CV77" s="37">
        <f t="shared" si="34"/>
        <v>0</v>
      </c>
      <c r="CW77" s="37">
        <f t="shared" si="34"/>
        <v>0</v>
      </c>
      <c r="CX77" s="37">
        <f t="shared" si="34"/>
        <v>0</v>
      </c>
      <c r="CY77" s="37">
        <f t="shared" si="34"/>
        <v>0</v>
      </c>
      <c r="CZ77" s="37">
        <f t="shared" si="34"/>
        <v>0</v>
      </c>
      <c r="DA77" s="37">
        <f t="shared" si="34"/>
        <v>0</v>
      </c>
      <c r="DB77" s="37">
        <f t="shared" si="34"/>
        <v>0</v>
      </c>
      <c r="DC77" s="37">
        <f t="shared" si="34"/>
        <v>0</v>
      </c>
      <c r="DD77" s="37">
        <f t="shared" si="34"/>
        <v>0</v>
      </c>
      <c r="DE77" s="37">
        <f t="shared" si="34"/>
        <v>0</v>
      </c>
    </row>
    <row r="78" spans="3:109" x14ac:dyDescent="0.15">
      <c r="C78" s="92" t="s">
        <v>336</v>
      </c>
      <c r="D78" s="93" t="s">
        <v>0</v>
      </c>
      <c r="E78" s="94">
        <f>NPV(8%,J77:DE77)</f>
        <v>96588132.593631625</v>
      </c>
    </row>
    <row r="79" spans="3:109" x14ac:dyDescent="0.15">
      <c r="C79" s="92" t="s">
        <v>335</v>
      </c>
      <c r="D79" s="93"/>
      <c r="E79" s="95">
        <f>IRR(J77:DE77)</f>
        <v>0.13295584266728855</v>
      </c>
    </row>
    <row r="80" spans="3:109" x14ac:dyDescent="0.15">
      <c r="D80" s="5"/>
    </row>
    <row r="81" spans="3:109" s="70" customFormat="1" x14ac:dyDescent="0.15">
      <c r="C81" s="73" t="s">
        <v>242</v>
      </c>
      <c r="D81" s="88" t="s">
        <v>0</v>
      </c>
      <c r="J81" s="40">
        <f ca="1">J73</f>
        <v>1077697806.3504634</v>
      </c>
      <c r="K81" s="40">
        <f t="shared" ref="K81:AP81" ca="1" si="35">J81+K73</f>
        <v>813214080.01786029</v>
      </c>
      <c r="L81" s="40">
        <f t="shared" ca="1" si="35"/>
        <v>100943069.90217221</v>
      </c>
      <c r="M81" s="40">
        <f t="shared" ca="1" si="35"/>
        <v>-326717084.916408</v>
      </c>
      <c r="N81" s="40">
        <f t="shared" ca="1" si="35"/>
        <v>411642834.47683257</v>
      </c>
      <c r="O81" s="40">
        <f t="shared" ca="1" si="35"/>
        <v>1263540834.0588853</v>
      </c>
      <c r="P81" s="40">
        <f t="shared" ca="1" si="35"/>
        <v>2175337201.3308644</v>
      </c>
      <c r="Q81" s="40">
        <f t="shared" ca="1" si="35"/>
        <v>3120145919.5854068</v>
      </c>
      <c r="R81" s="40">
        <f t="shared" ca="1" si="35"/>
        <v>3962571327.2095881</v>
      </c>
      <c r="S81" s="40">
        <f t="shared" ca="1" si="35"/>
        <v>4444935829.0815735</v>
      </c>
      <c r="T81" s="40">
        <f t="shared" ca="1" si="35"/>
        <v>4967745739.0633478</v>
      </c>
      <c r="U81" s="40">
        <f t="shared" ca="1" si="35"/>
        <v>5544935482.4151058</v>
      </c>
      <c r="V81" s="40">
        <f t="shared" ca="1" si="35"/>
        <v>6010967361.4437647</v>
      </c>
      <c r="W81" s="40">
        <f t="shared" ca="1" si="35"/>
        <v>6495706380.0913239</v>
      </c>
      <c r="X81" s="40">
        <f t="shared" ca="1" si="35"/>
        <v>6657882849.2280092</v>
      </c>
      <c r="Y81" s="40">
        <f t="shared" ca="1" si="35"/>
        <v>6610659849.2280092</v>
      </c>
      <c r="Z81" s="40">
        <f t="shared" ca="1" si="35"/>
        <v>6610659849.2280092</v>
      </c>
      <c r="AA81" s="40">
        <f t="shared" ca="1" si="35"/>
        <v>6610659849.2280092</v>
      </c>
      <c r="AB81" s="40">
        <f t="shared" ca="1" si="35"/>
        <v>6610659849.2280092</v>
      </c>
      <c r="AC81" s="40">
        <f t="shared" ca="1" si="35"/>
        <v>6610659849.2280092</v>
      </c>
      <c r="AD81" s="40">
        <f t="shared" ca="1" si="35"/>
        <v>6610659849.2280092</v>
      </c>
      <c r="AE81" s="40">
        <f t="shared" ca="1" si="35"/>
        <v>6610659849.2280092</v>
      </c>
      <c r="AF81" s="40">
        <f t="shared" ca="1" si="35"/>
        <v>6610659849.2280092</v>
      </c>
      <c r="AG81" s="40">
        <f t="shared" ca="1" si="35"/>
        <v>6610659849.2280092</v>
      </c>
      <c r="AH81" s="40">
        <f t="shared" ca="1" si="35"/>
        <v>6610659849.2280092</v>
      </c>
      <c r="AI81" s="40">
        <f t="shared" ca="1" si="35"/>
        <v>6610659849.2280092</v>
      </c>
      <c r="AJ81" s="40">
        <f t="shared" ca="1" si="35"/>
        <v>6610659849.2280092</v>
      </c>
      <c r="AK81" s="40">
        <f t="shared" ca="1" si="35"/>
        <v>6610659849.2280092</v>
      </c>
      <c r="AL81" s="40">
        <f t="shared" ca="1" si="35"/>
        <v>6610659849.2280092</v>
      </c>
      <c r="AM81" s="40">
        <f t="shared" ca="1" si="35"/>
        <v>6610659849.2280092</v>
      </c>
      <c r="AN81" s="40">
        <f t="shared" ca="1" si="35"/>
        <v>6610659849.2280092</v>
      </c>
      <c r="AO81" s="40">
        <f t="shared" ca="1" si="35"/>
        <v>6610659849.2280092</v>
      </c>
      <c r="AP81" s="40">
        <f t="shared" ca="1" si="35"/>
        <v>6610659849.2280092</v>
      </c>
      <c r="AQ81" s="40">
        <f t="shared" ref="AQ81:BV81" ca="1" si="36">AP81+AQ73</f>
        <v>6610659849.2280092</v>
      </c>
      <c r="AR81" s="40">
        <f t="shared" ca="1" si="36"/>
        <v>6610659849.2280092</v>
      </c>
      <c r="AS81" s="40">
        <f t="shared" ca="1" si="36"/>
        <v>6610659849.2280092</v>
      </c>
      <c r="AT81" s="40">
        <f t="shared" ca="1" si="36"/>
        <v>6610659849.2280092</v>
      </c>
      <c r="AU81" s="40">
        <f t="shared" ca="1" si="36"/>
        <v>6610659849.2280092</v>
      </c>
      <c r="AV81" s="40">
        <f t="shared" ca="1" si="36"/>
        <v>6610659849.2280092</v>
      </c>
      <c r="AW81" s="40">
        <f t="shared" ca="1" si="36"/>
        <v>6610659849.2280092</v>
      </c>
      <c r="AX81" s="40">
        <f t="shared" ca="1" si="36"/>
        <v>6610659849.2280092</v>
      </c>
      <c r="AY81" s="40">
        <f t="shared" ca="1" si="36"/>
        <v>6610659849.2280092</v>
      </c>
      <c r="AZ81" s="40">
        <f t="shared" ca="1" si="36"/>
        <v>6610659849.2280092</v>
      </c>
      <c r="BA81" s="40">
        <f t="shared" ca="1" si="36"/>
        <v>6610659849.2280092</v>
      </c>
      <c r="BB81" s="40">
        <f t="shared" ca="1" si="36"/>
        <v>6610659849.2280092</v>
      </c>
      <c r="BC81" s="40">
        <f t="shared" ca="1" si="36"/>
        <v>6610659849.2280092</v>
      </c>
      <c r="BD81" s="40">
        <f t="shared" ca="1" si="36"/>
        <v>6610659849.2280092</v>
      </c>
      <c r="BE81" s="40">
        <f t="shared" ca="1" si="36"/>
        <v>6610659849.2280092</v>
      </c>
      <c r="BF81" s="40">
        <f t="shared" ca="1" si="36"/>
        <v>6610659849.2280092</v>
      </c>
      <c r="BG81" s="40">
        <f t="shared" ca="1" si="36"/>
        <v>6610659849.2280092</v>
      </c>
      <c r="BH81" s="40">
        <f t="shared" ca="1" si="36"/>
        <v>6610659849.2280092</v>
      </c>
      <c r="BI81" s="40">
        <f t="shared" ca="1" si="36"/>
        <v>6610659849.2280092</v>
      </c>
      <c r="BJ81" s="40">
        <f t="shared" ca="1" si="36"/>
        <v>6610659849.2280092</v>
      </c>
      <c r="BK81" s="40">
        <f t="shared" ca="1" si="36"/>
        <v>6610659849.2280092</v>
      </c>
      <c r="BL81" s="40">
        <f t="shared" ca="1" si="36"/>
        <v>6610659849.2280092</v>
      </c>
      <c r="BM81" s="40">
        <f t="shared" ca="1" si="36"/>
        <v>6610659849.2280092</v>
      </c>
      <c r="BN81" s="40">
        <f t="shared" ca="1" si="36"/>
        <v>6610659849.2280092</v>
      </c>
      <c r="BO81" s="40">
        <f t="shared" ca="1" si="36"/>
        <v>6610659849.2280092</v>
      </c>
      <c r="BP81" s="40">
        <f t="shared" ca="1" si="36"/>
        <v>6610659849.2280092</v>
      </c>
      <c r="BQ81" s="40">
        <f t="shared" ca="1" si="36"/>
        <v>6610659849.2280092</v>
      </c>
      <c r="BR81" s="40">
        <f t="shared" ca="1" si="36"/>
        <v>6610659849.2280092</v>
      </c>
      <c r="BS81" s="40">
        <f t="shared" ca="1" si="36"/>
        <v>6610659849.2280092</v>
      </c>
      <c r="BT81" s="40">
        <f t="shared" ca="1" si="36"/>
        <v>6610659849.2280092</v>
      </c>
      <c r="BU81" s="40">
        <f t="shared" ca="1" si="36"/>
        <v>6610659849.2280092</v>
      </c>
      <c r="BV81" s="40">
        <f t="shared" ca="1" si="36"/>
        <v>6610659849.2280092</v>
      </c>
      <c r="BW81" s="40">
        <f t="shared" ref="BW81:DE81" ca="1" si="37">BV81+BW73</f>
        <v>6610659849.2280092</v>
      </c>
      <c r="BX81" s="40">
        <f t="shared" ca="1" si="37"/>
        <v>6610659849.2280092</v>
      </c>
      <c r="BY81" s="40">
        <f t="shared" ca="1" si="37"/>
        <v>6610659849.2280092</v>
      </c>
      <c r="BZ81" s="40">
        <f t="shared" ca="1" si="37"/>
        <v>6610659849.2280092</v>
      </c>
      <c r="CA81" s="40">
        <f t="shared" ca="1" si="37"/>
        <v>6610659849.2280092</v>
      </c>
      <c r="CB81" s="40">
        <f t="shared" ca="1" si="37"/>
        <v>6610659849.2280092</v>
      </c>
      <c r="CC81" s="40">
        <f t="shared" ca="1" si="37"/>
        <v>6610659849.2280092</v>
      </c>
      <c r="CD81" s="40">
        <f t="shared" ca="1" si="37"/>
        <v>6610659849.2280092</v>
      </c>
      <c r="CE81" s="40">
        <f t="shared" ca="1" si="37"/>
        <v>6610659849.2280092</v>
      </c>
      <c r="CF81" s="40">
        <f t="shared" ca="1" si="37"/>
        <v>6610659849.2280092</v>
      </c>
      <c r="CG81" s="40">
        <f t="shared" ca="1" si="37"/>
        <v>6610659849.2280092</v>
      </c>
      <c r="CH81" s="40">
        <f t="shared" ca="1" si="37"/>
        <v>6610659849.2280092</v>
      </c>
      <c r="CI81" s="40">
        <f t="shared" ca="1" si="37"/>
        <v>6610659849.2280092</v>
      </c>
      <c r="CJ81" s="40">
        <f t="shared" ca="1" si="37"/>
        <v>6610659849.2280092</v>
      </c>
      <c r="CK81" s="40">
        <f t="shared" ca="1" si="37"/>
        <v>6610659849.2280092</v>
      </c>
      <c r="CL81" s="40">
        <f t="shared" ca="1" si="37"/>
        <v>6610659849.2280092</v>
      </c>
      <c r="CM81" s="40">
        <f t="shared" ca="1" si="37"/>
        <v>6610659849.2280092</v>
      </c>
      <c r="CN81" s="40">
        <f t="shared" ca="1" si="37"/>
        <v>6610659849.2280092</v>
      </c>
      <c r="CO81" s="40">
        <f t="shared" ca="1" si="37"/>
        <v>6610659849.2280092</v>
      </c>
      <c r="CP81" s="40">
        <f t="shared" ca="1" si="37"/>
        <v>6610659849.2280092</v>
      </c>
      <c r="CQ81" s="40">
        <f t="shared" ca="1" si="37"/>
        <v>6610659849.2280092</v>
      </c>
      <c r="CR81" s="40">
        <f t="shared" ca="1" si="37"/>
        <v>6610659849.2280092</v>
      </c>
      <c r="CS81" s="40">
        <f t="shared" ca="1" si="37"/>
        <v>6610659849.2280092</v>
      </c>
      <c r="CT81" s="40">
        <f t="shared" ca="1" si="37"/>
        <v>6610659849.2280092</v>
      </c>
      <c r="CU81" s="40">
        <f t="shared" ca="1" si="37"/>
        <v>6610659849.2280092</v>
      </c>
      <c r="CV81" s="40">
        <f t="shared" ca="1" si="37"/>
        <v>6610659849.2280092</v>
      </c>
      <c r="CW81" s="40">
        <f t="shared" ca="1" si="37"/>
        <v>6610659849.2280092</v>
      </c>
      <c r="CX81" s="40">
        <f t="shared" ca="1" si="37"/>
        <v>6610659849.2280092</v>
      </c>
      <c r="CY81" s="40">
        <f t="shared" ca="1" si="37"/>
        <v>6610659849.2280092</v>
      </c>
      <c r="CZ81" s="40">
        <f t="shared" ca="1" si="37"/>
        <v>6610659849.2280092</v>
      </c>
      <c r="DA81" s="40">
        <f t="shared" ca="1" si="37"/>
        <v>6610659849.2280092</v>
      </c>
      <c r="DB81" s="40">
        <f t="shared" ca="1" si="37"/>
        <v>6610659849.2280092</v>
      </c>
      <c r="DC81" s="40">
        <f t="shared" ca="1" si="37"/>
        <v>6610659849.2280092</v>
      </c>
      <c r="DD81" s="40">
        <f t="shared" ca="1" si="37"/>
        <v>6610659849.2280092</v>
      </c>
      <c r="DE81" s="40">
        <f t="shared" ca="1" si="37"/>
        <v>6610659849.2280092</v>
      </c>
    </row>
    <row r="82" spans="3:109" x14ac:dyDescent="0.15">
      <c r="D82" s="5"/>
    </row>
    <row r="83" spans="3:109" ht="14" x14ac:dyDescent="0.15">
      <c r="C83" s="2" t="s">
        <v>275</v>
      </c>
      <c r="D83" s="5"/>
      <c r="E83" s="52"/>
      <c r="I83" s="52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</row>
    <row r="84" spans="3:109" x14ac:dyDescent="0.15">
      <c r="D84" s="5"/>
      <c r="U84" s="14"/>
    </row>
    <row r="85" spans="3:109" ht="14" x14ac:dyDescent="0.15">
      <c r="C85" s="1" t="s">
        <v>243</v>
      </c>
      <c r="D85" s="5"/>
      <c r="U85" s="14"/>
    </row>
    <row r="86" spans="3:109" ht="14" x14ac:dyDescent="0.15">
      <c r="C86" s="1"/>
      <c r="D86" s="5"/>
      <c r="U86" s="14"/>
    </row>
    <row r="87" spans="3:109" x14ac:dyDescent="0.15">
      <c r="C87" s="23" t="s">
        <v>244</v>
      </c>
      <c r="D87" s="5" t="s">
        <v>18</v>
      </c>
      <c r="E87" s="66">
        <v>0.08</v>
      </c>
      <c r="U87" s="14"/>
    </row>
    <row r="88" spans="3:109" x14ac:dyDescent="0.15">
      <c r="C88" s="23" t="s">
        <v>245</v>
      </c>
      <c r="D88" s="5" t="s">
        <v>0</v>
      </c>
      <c r="E88" s="64">
        <f ca="1">NPV(E87,J73:DE73)</f>
        <v>3445199557.1632757</v>
      </c>
      <c r="U88" s="14"/>
    </row>
    <row r="89" spans="3:109" x14ac:dyDescent="0.15">
      <c r="C89" s="23" t="s">
        <v>246</v>
      </c>
      <c r="D89" s="5" t="s">
        <v>0</v>
      </c>
      <c r="E89" s="43">
        <v>100000000</v>
      </c>
    </row>
    <row r="90" spans="3:109" s="70" customFormat="1" x14ac:dyDescent="0.15">
      <c r="C90" s="73" t="s">
        <v>243</v>
      </c>
      <c r="D90" s="88" t="s">
        <v>0</v>
      </c>
      <c r="E90" s="40">
        <f ca="1">SUM(E88:E89)</f>
        <v>3545199557.1632757</v>
      </c>
    </row>
    <row r="91" spans="3:109" x14ac:dyDescent="0.15">
      <c r="C91" s="23"/>
      <c r="D91" s="5"/>
      <c r="U91" s="68"/>
      <c r="V91" s="68"/>
    </row>
    <row r="92" spans="3:109" ht="14" x14ac:dyDescent="0.15">
      <c r="C92" s="1" t="s">
        <v>247</v>
      </c>
      <c r="D92" s="5"/>
      <c r="U92" s="68"/>
      <c r="V92" s="68"/>
    </row>
    <row r="93" spans="3:109" x14ac:dyDescent="0.15">
      <c r="C93" s="23" t="s">
        <v>248</v>
      </c>
      <c r="D93" s="5"/>
      <c r="E93" s="43">
        <v>564700000</v>
      </c>
      <c r="I93">
        <v>575</v>
      </c>
      <c r="U93" s="69"/>
      <c r="V93" s="69"/>
    </row>
    <row r="94" spans="3:109" x14ac:dyDescent="0.15">
      <c r="C94" s="23" t="s">
        <v>249</v>
      </c>
      <c r="D94" s="5"/>
      <c r="E94" s="59">
        <v>0</v>
      </c>
      <c r="U94" s="68"/>
      <c r="V94" s="68"/>
    </row>
    <row r="95" spans="3:109" s="70" customFormat="1" x14ac:dyDescent="0.15">
      <c r="C95" s="73" t="s">
        <v>247</v>
      </c>
      <c r="D95" s="71"/>
      <c r="E95" s="75">
        <f>SUM(E93:E94)</f>
        <v>564700000</v>
      </c>
      <c r="U95" s="76"/>
      <c r="V95" s="76"/>
    </row>
    <row r="96" spans="3:109" x14ac:dyDescent="0.15">
      <c r="D96" s="5"/>
    </row>
    <row r="97" spans="3:109" x14ac:dyDescent="0.15">
      <c r="C97" s="23" t="s">
        <v>250</v>
      </c>
      <c r="D97" s="5" t="s">
        <v>0</v>
      </c>
      <c r="E97" s="63">
        <f ca="1">E90/E95</f>
        <v>6.2780229452156471</v>
      </c>
    </row>
    <row r="98" spans="3:109" x14ac:dyDescent="0.15">
      <c r="D98" s="5"/>
    </row>
    <row r="99" spans="3:109" x14ac:dyDescent="0.15">
      <c r="C99" s="23" t="s">
        <v>251</v>
      </c>
      <c r="D99" s="5" t="s">
        <v>252</v>
      </c>
      <c r="E99" s="77">
        <v>1.25</v>
      </c>
    </row>
    <row r="100" spans="3:109" x14ac:dyDescent="0.15">
      <c r="C100" s="23" t="s">
        <v>253</v>
      </c>
      <c r="D100" s="5" t="s">
        <v>0</v>
      </c>
      <c r="E100" s="63">
        <f ca="1">E97*E99</f>
        <v>7.8475286815195586</v>
      </c>
    </row>
    <row r="101" spans="3:109" x14ac:dyDescent="0.15">
      <c r="C101" s="23" t="s">
        <v>254</v>
      </c>
      <c r="D101" s="5" t="s">
        <v>0</v>
      </c>
      <c r="E101" s="77">
        <v>8.3000000000000007</v>
      </c>
    </row>
    <row r="102" spans="3:109" x14ac:dyDescent="0.15">
      <c r="C102" s="23" t="s">
        <v>255</v>
      </c>
      <c r="D102" s="5" t="s">
        <v>18</v>
      </c>
      <c r="E102" s="91">
        <f ca="1">(E100-E101)/E101</f>
        <v>-5.4514616684390609E-2</v>
      </c>
    </row>
    <row r="103" spans="3:109" collapsed="1" x14ac:dyDescent="0.15">
      <c r="D103" s="5"/>
    </row>
    <row r="104" spans="3:109" x14ac:dyDescent="0.15">
      <c r="C104" s="23" t="s">
        <v>257</v>
      </c>
      <c r="D104" s="5" t="s">
        <v>0</v>
      </c>
      <c r="E104" s="43">
        <v>500000000</v>
      </c>
    </row>
    <row r="105" spans="3:109" x14ac:dyDescent="0.15">
      <c r="C105" s="23" t="s">
        <v>258</v>
      </c>
      <c r="D105" s="5"/>
      <c r="E105" s="59">
        <f ca="1">E104/E100</f>
        <v>63714325.909692928</v>
      </c>
    </row>
    <row r="106" spans="3:109" x14ac:dyDescent="0.15">
      <c r="C106" s="23"/>
      <c r="D106" s="5"/>
      <c r="E106" s="59"/>
    </row>
    <row r="107" spans="3:109" x14ac:dyDescent="0.15">
      <c r="C107" s="23" t="s">
        <v>256</v>
      </c>
      <c r="D107" s="5" t="s">
        <v>0</v>
      </c>
      <c r="E107" s="43">
        <v>100000000</v>
      </c>
    </row>
    <row r="108" spans="3:109" x14ac:dyDescent="0.15">
      <c r="D108" s="5"/>
    </row>
    <row r="109" spans="3:109" s="70" customFormat="1" x14ac:dyDescent="0.15">
      <c r="C109" s="70" t="s">
        <v>268</v>
      </c>
      <c r="D109" s="88" t="s">
        <v>0</v>
      </c>
      <c r="I109" s="35">
        <f ca="1">SUM(J109:DE109)</f>
        <v>6610659849.2280092</v>
      </c>
      <c r="J109" s="40">
        <f ca="1">J73</f>
        <v>1077697806.3504634</v>
      </c>
      <c r="K109" s="40">
        <f t="shared" ref="K109:L109" si="38">K73</f>
        <v>-264483726.3326031</v>
      </c>
      <c r="L109" s="40">
        <f t="shared" si="38"/>
        <v>-712271010.11568809</v>
      </c>
      <c r="M109" s="40">
        <f t="shared" ref="M109:AR109" ca="1" si="39">M73</f>
        <v>-427660154.81858021</v>
      </c>
      <c r="N109" s="40">
        <f t="shared" ca="1" si="39"/>
        <v>738359919.39324057</v>
      </c>
      <c r="O109" s="40">
        <f t="shared" ca="1" si="39"/>
        <v>851897999.58205271</v>
      </c>
      <c r="P109" s="40">
        <f t="shared" ca="1" si="39"/>
        <v>911796367.27197897</v>
      </c>
      <c r="Q109" s="40">
        <f t="shared" ca="1" si="39"/>
        <v>944808718.25454247</v>
      </c>
      <c r="R109" s="40">
        <f t="shared" ca="1" si="39"/>
        <v>842425407.62418139</v>
      </c>
      <c r="S109" s="40">
        <f t="shared" ca="1" si="39"/>
        <v>482364501.87198579</v>
      </c>
      <c r="T109" s="40">
        <f t="shared" ca="1" si="39"/>
        <v>522809909.98177433</v>
      </c>
      <c r="U109" s="40">
        <f t="shared" ca="1" si="39"/>
        <v>577189743.35175753</v>
      </c>
      <c r="V109" s="40">
        <f t="shared" ca="1" si="39"/>
        <v>466031879.02865869</v>
      </c>
      <c r="W109" s="40">
        <f t="shared" ca="1" si="39"/>
        <v>484739018.64755911</v>
      </c>
      <c r="X109" s="40">
        <f t="shared" ca="1" si="39"/>
        <v>162176469.13668537</v>
      </c>
      <c r="Y109" s="40">
        <f t="shared" ca="1" si="39"/>
        <v>-47223000</v>
      </c>
      <c r="Z109" s="40">
        <f t="shared" ca="1" si="39"/>
        <v>0</v>
      </c>
      <c r="AA109" s="40">
        <f t="shared" ca="1" si="39"/>
        <v>0</v>
      </c>
      <c r="AB109" s="40">
        <f t="shared" ca="1" si="39"/>
        <v>0</v>
      </c>
      <c r="AC109" s="40">
        <f t="shared" ca="1" si="39"/>
        <v>0</v>
      </c>
      <c r="AD109" s="40">
        <f t="shared" ca="1" si="39"/>
        <v>0</v>
      </c>
      <c r="AE109" s="40">
        <f t="shared" ca="1" si="39"/>
        <v>0</v>
      </c>
      <c r="AF109" s="40">
        <f t="shared" ca="1" si="39"/>
        <v>0</v>
      </c>
      <c r="AG109" s="40">
        <f t="shared" ca="1" si="39"/>
        <v>0</v>
      </c>
      <c r="AH109" s="40">
        <f t="shared" ca="1" si="39"/>
        <v>0</v>
      </c>
      <c r="AI109" s="40">
        <f t="shared" ca="1" si="39"/>
        <v>0</v>
      </c>
      <c r="AJ109" s="40">
        <f t="shared" ca="1" si="39"/>
        <v>0</v>
      </c>
      <c r="AK109" s="40">
        <f t="shared" ca="1" si="39"/>
        <v>0</v>
      </c>
      <c r="AL109" s="40">
        <f t="shared" ca="1" si="39"/>
        <v>0</v>
      </c>
      <c r="AM109" s="40">
        <f t="shared" ca="1" si="39"/>
        <v>0</v>
      </c>
      <c r="AN109" s="40">
        <f t="shared" ca="1" si="39"/>
        <v>0</v>
      </c>
      <c r="AO109" s="40">
        <f t="shared" ca="1" si="39"/>
        <v>0</v>
      </c>
      <c r="AP109" s="40">
        <f t="shared" ca="1" si="39"/>
        <v>0</v>
      </c>
      <c r="AQ109" s="40">
        <f t="shared" ca="1" si="39"/>
        <v>0</v>
      </c>
      <c r="AR109" s="40">
        <f t="shared" ca="1" si="39"/>
        <v>0</v>
      </c>
      <c r="AS109" s="40">
        <f t="shared" ref="AS109:BX109" ca="1" si="40">AS73</f>
        <v>0</v>
      </c>
      <c r="AT109" s="40">
        <f t="shared" ca="1" si="40"/>
        <v>0</v>
      </c>
      <c r="AU109" s="40">
        <f t="shared" ca="1" si="40"/>
        <v>0</v>
      </c>
      <c r="AV109" s="40">
        <f t="shared" ca="1" si="40"/>
        <v>0</v>
      </c>
      <c r="AW109" s="40">
        <f t="shared" ca="1" si="40"/>
        <v>0</v>
      </c>
      <c r="AX109" s="40">
        <f t="shared" ca="1" si="40"/>
        <v>0</v>
      </c>
      <c r="AY109" s="40">
        <f t="shared" ca="1" si="40"/>
        <v>0</v>
      </c>
      <c r="AZ109" s="40">
        <f t="shared" ca="1" si="40"/>
        <v>0</v>
      </c>
      <c r="BA109" s="40">
        <f t="shared" ca="1" si="40"/>
        <v>0</v>
      </c>
      <c r="BB109" s="40">
        <f t="shared" ca="1" si="40"/>
        <v>0</v>
      </c>
      <c r="BC109" s="40">
        <f t="shared" ca="1" si="40"/>
        <v>0</v>
      </c>
      <c r="BD109" s="40">
        <f t="shared" ca="1" si="40"/>
        <v>0</v>
      </c>
      <c r="BE109" s="40">
        <f t="shared" ca="1" si="40"/>
        <v>0</v>
      </c>
      <c r="BF109" s="40">
        <f t="shared" ca="1" si="40"/>
        <v>0</v>
      </c>
      <c r="BG109" s="40">
        <f t="shared" ca="1" si="40"/>
        <v>0</v>
      </c>
      <c r="BH109" s="40">
        <f t="shared" ca="1" si="40"/>
        <v>0</v>
      </c>
      <c r="BI109" s="40">
        <f t="shared" ca="1" si="40"/>
        <v>0</v>
      </c>
      <c r="BJ109" s="40">
        <f t="shared" ca="1" si="40"/>
        <v>0</v>
      </c>
      <c r="BK109" s="40">
        <f t="shared" ca="1" si="40"/>
        <v>0</v>
      </c>
      <c r="BL109" s="40">
        <f t="shared" ca="1" si="40"/>
        <v>0</v>
      </c>
      <c r="BM109" s="40">
        <f t="shared" ca="1" si="40"/>
        <v>0</v>
      </c>
      <c r="BN109" s="40">
        <f t="shared" ca="1" si="40"/>
        <v>0</v>
      </c>
      <c r="BO109" s="40">
        <f t="shared" ca="1" si="40"/>
        <v>0</v>
      </c>
      <c r="BP109" s="40">
        <f t="shared" ca="1" si="40"/>
        <v>0</v>
      </c>
      <c r="BQ109" s="40">
        <f t="shared" ca="1" si="40"/>
        <v>0</v>
      </c>
      <c r="BR109" s="40">
        <f t="shared" ca="1" si="40"/>
        <v>0</v>
      </c>
      <c r="BS109" s="40">
        <f t="shared" ca="1" si="40"/>
        <v>0</v>
      </c>
      <c r="BT109" s="40">
        <f t="shared" ca="1" si="40"/>
        <v>0</v>
      </c>
      <c r="BU109" s="40">
        <f t="shared" ca="1" si="40"/>
        <v>0</v>
      </c>
      <c r="BV109" s="40">
        <f t="shared" ca="1" si="40"/>
        <v>0</v>
      </c>
      <c r="BW109" s="40">
        <f t="shared" ca="1" si="40"/>
        <v>0</v>
      </c>
      <c r="BX109" s="40">
        <f t="shared" ca="1" si="40"/>
        <v>0</v>
      </c>
      <c r="BY109" s="40">
        <f t="shared" ref="BY109:DE109" ca="1" si="41">BY73</f>
        <v>0</v>
      </c>
      <c r="BZ109" s="40">
        <f t="shared" ca="1" si="41"/>
        <v>0</v>
      </c>
      <c r="CA109" s="40">
        <f t="shared" ca="1" si="41"/>
        <v>0</v>
      </c>
      <c r="CB109" s="40">
        <f t="shared" ca="1" si="41"/>
        <v>0</v>
      </c>
      <c r="CC109" s="40">
        <f t="shared" ca="1" si="41"/>
        <v>0</v>
      </c>
      <c r="CD109" s="40">
        <f t="shared" ca="1" si="41"/>
        <v>0</v>
      </c>
      <c r="CE109" s="40">
        <f t="shared" ca="1" si="41"/>
        <v>0</v>
      </c>
      <c r="CF109" s="40">
        <f t="shared" ca="1" si="41"/>
        <v>0</v>
      </c>
      <c r="CG109" s="40">
        <f t="shared" ca="1" si="41"/>
        <v>0</v>
      </c>
      <c r="CH109" s="40">
        <f t="shared" ca="1" si="41"/>
        <v>0</v>
      </c>
      <c r="CI109" s="40">
        <f t="shared" ca="1" si="41"/>
        <v>0</v>
      </c>
      <c r="CJ109" s="40">
        <f t="shared" ca="1" si="41"/>
        <v>0</v>
      </c>
      <c r="CK109" s="40">
        <f t="shared" ca="1" si="41"/>
        <v>0</v>
      </c>
      <c r="CL109" s="40">
        <f t="shared" ca="1" si="41"/>
        <v>0</v>
      </c>
      <c r="CM109" s="40">
        <f t="shared" ca="1" si="41"/>
        <v>0</v>
      </c>
      <c r="CN109" s="40">
        <f t="shared" ca="1" si="41"/>
        <v>0</v>
      </c>
      <c r="CO109" s="40">
        <f t="shared" ca="1" si="41"/>
        <v>0</v>
      </c>
      <c r="CP109" s="40">
        <f t="shared" ca="1" si="41"/>
        <v>0</v>
      </c>
      <c r="CQ109" s="40">
        <f t="shared" ca="1" si="41"/>
        <v>0</v>
      </c>
      <c r="CR109" s="40">
        <f t="shared" ca="1" si="41"/>
        <v>0</v>
      </c>
      <c r="CS109" s="40">
        <f t="shared" ca="1" si="41"/>
        <v>0</v>
      </c>
      <c r="CT109" s="40">
        <f t="shared" ca="1" si="41"/>
        <v>0</v>
      </c>
      <c r="CU109" s="40">
        <f t="shared" ca="1" si="41"/>
        <v>0</v>
      </c>
      <c r="CV109" s="40">
        <f t="shared" ca="1" si="41"/>
        <v>0</v>
      </c>
      <c r="CW109" s="40">
        <f t="shared" ca="1" si="41"/>
        <v>0</v>
      </c>
      <c r="CX109" s="40">
        <f t="shared" ca="1" si="41"/>
        <v>0</v>
      </c>
      <c r="CY109" s="40">
        <f t="shared" ca="1" si="41"/>
        <v>0</v>
      </c>
      <c r="CZ109" s="40">
        <f t="shared" ca="1" si="41"/>
        <v>0</v>
      </c>
      <c r="DA109" s="40">
        <f t="shared" ca="1" si="41"/>
        <v>0</v>
      </c>
      <c r="DB109" s="40">
        <f t="shared" ca="1" si="41"/>
        <v>0</v>
      </c>
      <c r="DC109" s="40">
        <f t="shared" ca="1" si="41"/>
        <v>0</v>
      </c>
      <c r="DD109" s="40">
        <f t="shared" ca="1" si="41"/>
        <v>0</v>
      </c>
      <c r="DE109" s="40">
        <f t="shared" ca="1" si="41"/>
        <v>0</v>
      </c>
    </row>
    <row r="110" spans="3:109" x14ac:dyDescent="0.15">
      <c r="D110" s="5"/>
    </row>
    <row r="111" spans="3:109" x14ac:dyDescent="0.15">
      <c r="C111" s="23"/>
      <c r="D111" s="5"/>
    </row>
    <row r="112" spans="3:109" x14ac:dyDescent="0.15">
      <c r="C112" s="23" t="s">
        <v>351</v>
      </c>
      <c r="D112" s="5" t="s">
        <v>0</v>
      </c>
      <c r="I112" s="35">
        <f>SUM(J112:DE112)</f>
        <v>500000000</v>
      </c>
      <c r="J112" s="37">
        <f>E104</f>
        <v>500000000</v>
      </c>
    </row>
    <row r="113" spans="3:109" x14ac:dyDescent="0.15">
      <c r="C113" s="23" t="s">
        <v>352</v>
      </c>
      <c r="D113" s="5" t="s">
        <v>18</v>
      </c>
      <c r="E113" s="66">
        <v>0.05</v>
      </c>
      <c r="I113" s="35">
        <f>SUM(J113:DE113)</f>
        <v>-25000000</v>
      </c>
      <c r="J113" s="37">
        <f>E113*-J112</f>
        <v>-25000000</v>
      </c>
    </row>
    <row r="114" spans="3:109" x14ac:dyDescent="0.15">
      <c r="C114" s="23"/>
      <c r="D114" s="5"/>
      <c r="J114" s="37"/>
    </row>
    <row r="115" spans="3:109" x14ac:dyDescent="0.15">
      <c r="C115" t="s">
        <v>276</v>
      </c>
      <c r="D115" s="5" t="s">
        <v>0</v>
      </c>
      <c r="I115" s="35">
        <f ca="1">SUM(J115:DE115)</f>
        <v>7085659849.2280092</v>
      </c>
      <c r="J115" s="37">
        <f ca="1">SUM(J109:J113)</f>
        <v>1552697806.3504634</v>
      </c>
      <c r="K115" s="37">
        <f t="shared" ref="K115:L115" si="42">SUM(K109:K113)</f>
        <v>-264483726.3326031</v>
      </c>
      <c r="L115" s="37">
        <f t="shared" si="42"/>
        <v>-712271010.11568809</v>
      </c>
      <c r="M115" s="37">
        <f t="shared" ref="M115:AR115" ca="1" si="43">SUM(M109:M113)</f>
        <v>-427660154.81858021</v>
      </c>
      <c r="N115" s="37">
        <f t="shared" ca="1" si="43"/>
        <v>738359919.39324057</v>
      </c>
      <c r="O115" s="37">
        <f t="shared" ca="1" si="43"/>
        <v>851897999.58205271</v>
      </c>
      <c r="P115" s="37">
        <f t="shared" ca="1" si="43"/>
        <v>911796367.27197897</v>
      </c>
      <c r="Q115" s="37">
        <f t="shared" ca="1" si="43"/>
        <v>944808718.25454247</v>
      </c>
      <c r="R115" s="37">
        <f t="shared" ca="1" si="43"/>
        <v>842425407.62418139</v>
      </c>
      <c r="S115" s="37">
        <f t="shared" ca="1" si="43"/>
        <v>482364501.87198579</v>
      </c>
      <c r="T115" s="37">
        <f t="shared" ca="1" si="43"/>
        <v>522809909.98177433</v>
      </c>
      <c r="U115" s="37">
        <f t="shared" ca="1" si="43"/>
        <v>577189743.35175753</v>
      </c>
      <c r="V115" s="37">
        <f t="shared" ca="1" si="43"/>
        <v>466031879.02865869</v>
      </c>
      <c r="W115" s="37">
        <f t="shared" ca="1" si="43"/>
        <v>484739018.64755911</v>
      </c>
      <c r="X115" s="37">
        <f t="shared" ca="1" si="43"/>
        <v>162176469.13668537</v>
      </c>
      <c r="Y115" s="37">
        <f t="shared" ca="1" si="43"/>
        <v>-47223000</v>
      </c>
      <c r="Z115" s="37">
        <f t="shared" ca="1" si="43"/>
        <v>0</v>
      </c>
      <c r="AA115" s="37">
        <f t="shared" ca="1" si="43"/>
        <v>0</v>
      </c>
      <c r="AB115" s="37">
        <f t="shared" ca="1" si="43"/>
        <v>0</v>
      </c>
      <c r="AC115" s="37">
        <f t="shared" ca="1" si="43"/>
        <v>0</v>
      </c>
      <c r="AD115" s="37">
        <f t="shared" ca="1" si="43"/>
        <v>0</v>
      </c>
      <c r="AE115" s="37">
        <f t="shared" ca="1" si="43"/>
        <v>0</v>
      </c>
      <c r="AF115" s="37">
        <f t="shared" ca="1" si="43"/>
        <v>0</v>
      </c>
      <c r="AG115" s="37">
        <f t="shared" ca="1" si="43"/>
        <v>0</v>
      </c>
      <c r="AH115" s="37">
        <f t="shared" ca="1" si="43"/>
        <v>0</v>
      </c>
      <c r="AI115" s="37">
        <f t="shared" ca="1" si="43"/>
        <v>0</v>
      </c>
      <c r="AJ115" s="37">
        <f t="shared" ca="1" si="43"/>
        <v>0</v>
      </c>
      <c r="AK115" s="37">
        <f t="shared" ca="1" si="43"/>
        <v>0</v>
      </c>
      <c r="AL115" s="37">
        <f t="shared" ca="1" si="43"/>
        <v>0</v>
      </c>
      <c r="AM115" s="37">
        <f t="shared" ca="1" si="43"/>
        <v>0</v>
      </c>
      <c r="AN115" s="37">
        <f t="shared" ca="1" si="43"/>
        <v>0</v>
      </c>
      <c r="AO115" s="37">
        <f t="shared" ca="1" si="43"/>
        <v>0</v>
      </c>
      <c r="AP115" s="37">
        <f t="shared" ca="1" si="43"/>
        <v>0</v>
      </c>
      <c r="AQ115" s="37">
        <f t="shared" ca="1" si="43"/>
        <v>0</v>
      </c>
      <c r="AR115" s="37">
        <f t="shared" ca="1" si="43"/>
        <v>0</v>
      </c>
      <c r="AS115" s="37">
        <f t="shared" ref="AS115:BX115" ca="1" si="44">SUM(AS109:AS113)</f>
        <v>0</v>
      </c>
      <c r="AT115" s="37">
        <f t="shared" ca="1" si="44"/>
        <v>0</v>
      </c>
      <c r="AU115" s="37">
        <f t="shared" ca="1" si="44"/>
        <v>0</v>
      </c>
      <c r="AV115" s="37">
        <f t="shared" ca="1" si="44"/>
        <v>0</v>
      </c>
      <c r="AW115" s="37">
        <f t="shared" ca="1" si="44"/>
        <v>0</v>
      </c>
      <c r="AX115" s="37">
        <f t="shared" ca="1" si="44"/>
        <v>0</v>
      </c>
      <c r="AY115" s="37">
        <f t="shared" ca="1" si="44"/>
        <v>0</v>
      </c>
      <c r="AZ115" s="37">
        <f t="shared" ca="1" si="44"/>
        <v>0</v>
      </c>
      <c r="BA115" s="37">
        <f t="shared" ca="1" si="44"/>
        <v>0</v>
      </c>
      <c r="BB115" s="37">
        <f t="shared" ca="1" si="44"/>
        <v>0</v>
      </c>
      <c r="BC115" s="37">
        <f t="shared" ca="1" si="44"/>
        <v>0</v>
      </c>
      <c r="BD115" s="37">
        <f t="shared" ca="1" si="44"/>
        <v>0</v>
      </c>
      <c r="BE115" s="37">
        <f t="shared" ca="1" si="44"/>
        <v>0</v>
      </c>
      <c r="BF115" s="37">
        <f t="shared" ca="1" si="44"/>
        <v>0</v>
      </c>
      <c r="BG115" s="37">
        <f t="shared" ca="1" si="44"/>
        <v>0</v>
      </c>
      <c r="BH115" s="37">
        <f t="shared" ca="1" si="44"/>
        <v>0</v>
      </c>
      <c r="BI115" s="37">
        <f t="shared" ca="1" si="44"/>
        <v>0</v>
      </c>
      <c r="BJ115" s="37">
        <f t="shared" ca="1" si="44"/>
        <v>0</v>
      </c>
      <c r="BK115" s="37">
        <f t="shared" ca="1" si="44"/>
        <v>0</v>
      </c>
      <c r="BL115" s="37">
        <f t="shared" ca="1" si="44"/>
        <v>0</v>
      </c>
      <c r="BM115" s="37">
        <f t="shared" ca="1" si="44"/>
        <v>0</v>
      </c>
      <c r="BN115" s="37">
        <f t="shared" ca="1" si="44"/>
        <v>0</v>
      </c>
      <c r="BO115" s="37">
        <f t="shared" ca="1" si="44"/>
        <v>0</v>
      </c>
      <c r="BP115" s="37">
        <f t="shared" ca="1" si="44"/>
        <v>0</v>
      </c>
      <c r="BQ115" s="37">
        <f t="shared" ca="1" si="44"/>
        <v>0</v>
      </c>
      <c r="BR115" s="37">
        <f t="shared" ca="1" si="44"/>
        <v>0</v>
      </c>
      <c r="BS115" s="37">
        <f t="shared" ca="1" si="44"/>
        <v>0</v>
      </c>
      <c r="BT115" s="37">
        <f t="shared" ca="1" si="44"/>
        <v>0</v>
      </c>
      <c r="BU115" s="37">
        <f t="shared" ca="1" si="44"/>
        <v>0</v>
      </c>
      <c r="BV115" s="37">
        <f t="shared" ca="1" si="44"/>
        <v>0</v>
      </c>
      <c r="BW115" s="37">
        <f t="shared" ca="1" si="44"/>
        <v>0</v>
      </c>
      <c r="BX115" s="37">
        <f t="shared" ca="1" si="44"/>
        <v>0</v>
      </c>
      <c r="BY115" s="37">
        <f t="shared" ref="BY115:DE115" ca="1" si="45">SUM(BY109:BY113)</f>
        <v>0</v>
      </c>
      <c r="BZ115" s="37">
        <f t="shared" ca="1" si="45"/>
        <v>0</v>
      </c>
      <c r="CA115" s="37">
        <f t="shared" ca="1" si="45"/>
        <v>0</v>
      </c>
      <c r="CB115" s="37">
        <f t="shared" ca="1" si="45"/>
        <v>0</v>
      </c>
      <c r="CC115" s="37">
        <f t="shared" ca="1" si="45"/>
        <v>0</v>
      </c>
      <c r="CD115" s="37">
        <f t="shared" ca="1" si="45"/>
        <v>0</v>
      </c>
      <c r="CE115" s="37">
        <f t="shared" ca="1" si="45"/>
        <v>0</v>
      </c>
      <c r="CF115" s="37">
        <f t="shared" ca="1" si="45"/>
        <v>0</v>
      </c>
      <c r="CG115" s="37">
        <f t="shared" ca="1" si="45"/>
        <v>0</v>
      </c>
      <c r="CH115" s="37">
        <f t="shared" ca="1" si="45"/>
        <v>0</v>
      </c>
      <c r="CI115" s="37">
        <f t="shared" ca="1" si="45"/>
        <v>0</v>
      </c>
      <c r="CJ115" s="37">
        <f t="shared" ca="1" si="45"/>
        <v>0</v>
      </c>
      <c r="CK115" s="37">
        <f t="shared" ca="1" si="45"/>
        <v>0</v>
      </c>
      <c r="CL115" s="37">
        <f t="shared" ca="1" si="45"/>
        <v>0</v>
      </c>
      <c r="CM115" s="37">
        <f t="shared" ca="1" si="45"/>
        <v>0</v>
      </c>
      <c r="CN115" s="37">
        <f t="shared" ca="1" si="45"/>
        <v>0</v>
      </c>
      <c r="CO115" s="37">
        <f t="shared" ca="1" si="45"/>
        <v>0</v>
      </c>
      <c r="CP115" s="37">
        <f t="shared" ca="1" si="45"/>
        <v>0</v>
      </c>
      <c r="CQ115" s="37">
        <f t="shared" ca="1" si="45"/>
        <v>0</v>
      </c>
      <c r="CR115" s="37">
        <f t="shared" ca="1" si="45"/>
        <v>0</v>
      </c>
      <c r="CS115" s="37">
        <f t="shared" ca="1" si="45"/>
        <v>0</v>
      </c>
      <c r="CT115" s="37">
        <f t="shared" ca="1" si="45"/>
        <v>0</v>
      </c>
      <c r="CU115" s="37">
        <f t="shared" ca="1" si="45"/>
        <v>0</v>
      </c>
      <c r="CV115" s="37">
        <f t="shared" ca="1" si="45"/>
        <v>0</v>
      </c>
      <c r="CW115" s="37">
        <f t="shared" ca="1" si="45"/>
        <v>0</v>
      </c>
      <c r="CX115" s="37">
        <f t="shared" ca="1" si="45"/>
        <v>0</v>
      </c>
      <c r="CY115" s="37">
        <f t="shared" ca="1" si="45"/>
        <v>0</v>
      </c>
      <c r="CZ115" s="37">
        <f t="shared" ca="1" si="45"/>
        <v>0</v>
      </c>
      <c r="DA115" s="37">
        <f t="shared" ca="1" si="45"/>
        <v>0</v>
      </c>
      <c r="DB115" s="37">
        <f t="shared" ca="1" si="45"/>
        <v>0</v>
      </c>
      <c r="DC115" s="37">
        <f t="shared" ca="1" si="45"/>
        <v>0</v>
      </c>
      <c r="DD115" s="37">
        <f t="shared" ca="1" si="45"/>
        <v>0</v>
      </c>
      <c r="DE115" s="37">
        <f t="shared" ca="1" si="45"/>
        <v>0</v>
      </c>
    </row>
    <row r="116" spans="3:109" x14ac:dyDescent="0.15">
      <c r="D116" s="5"/>
    </row>
    <row r="117" spans="3:109" s="70" customFormat="1" x14ac:dyDescent="0.15">
      <c r="C117" s="73" t="s">
        <v>259</v>
      </c>
      <c r="D117" s="88" t="s">
        <v>0</v>
      </c>
      <c r="J117" s="40">
        <f ca="1">J115</f>
        <v>1552697806.3504634</v>
      </c>
      <c r="K117" s="40">
        <f t="shared" ref="K117:AP117" ca="1" si="46">J117+K115+SUM(J119:J120)</f>
        <v>1288214080.0178604</v>
      </c>
      <c r="L117" s="40">
        <f t="shared" ca="1" si="46"/>
        <v>575943069.90217233</v>
      </c>
      <c r="M117" s="40">
        <f t="shared" ca="1" si="46"/>
        <v>148282915.08359212</v>
      </c>
      <c r="N117" s="40">
        <f t="shared" ca="1" si="46"/>
        <v>886642834.47683263</v>
      </c>
      <c r="O117" s="40">
        <f t="shared" ca="1" si="46"/>
        <v>1738540834.0588853</v>
      </c>
      <c r="P117" s="40">
        <f t="shared" ca="1" si="46"/>
        <v>2650337201.3308644</v>
      </c>
      <c r="Q117" s="40">
        <f t="shared" ca="1" si="46"/>
        <v>3595145919.5854068</v>
      </c>
      <c r="R117" s="40">
        <f t="shared" ca="1" si="46"/>
        <v>4437571327.2095881</v>
      </c>
      <c r="S117" s="40">
        <f t="shared" ca="1" si="46"/>
        <v>4919935829.0815735</v>
      </c>
      <c r="T117" s="40">
        <f t="shared" ca="1" si="46"/>
        <v>5442745739.0633478</v>
      </c>
      <c r="U117" s="40">
        <f t="shared" ca="1" si="46"/>
        <v>6019935482.4151058</v>
      </c>
      <c r="V117" s="40">
        <f t="shared" ca="1" si="46"/>
        <v>6485967361.4437647</v>
      </c>
      <c r="W117" s="40">
        <f t="shared" ca="1" si="46"/>
        <v>6970706380.0913239</v>
      </c>
      <c r="X117" s="40">
        <f t="shared" ca="1" si="46"/>
        <v>7132882849.2280092</v>
      </c>
      <c r="Y117" s="40">
        <f t="shared" ca="1" si="46"/>
        <v>7085659849.2280092</v>
      </c>
      <c r="Z117" s="40">
        <f t="shared" ca="1" si="46"/>
        <v>7085659849.2280092</v>
      </c>
      <c r="AA117" s="40">
        <f t="shared" ca="1" si="46"/>
        <v>7085659849.2280092</v>
      </c>
      <c r="AB117" s="40">
        <f t="shared" ca="1" si="46"/>
        <v>7085659849.2280092</v>
      </c>
      <c r="AC117" s="40">
        <f t="shared" ca="1" si="46"/>
        <v>7085659849.2280092</v>
      </c>
      <c r="AD117" s="40">
        <f t="shared" ca="1" si="46"/>
        <v>7085659849.2280092</v>
      </c>
      <c r="AE117" s="40">
        <f t="shared" ca="1" si="46"/>
        <v>7085659849.2280092</v>
      </c>
      <c r="AF117" s="40">
        <f t="shared" ca="1" si="46"/>
        <v>7085659849.2280092</v>
      </c>
      <c r="AG117" s="40">
        <f t="shared" ca="1" si="46"/>
        <v>7085659849.2280092</v>
      </c>
      <c r="AH117" s="40">
        <f t="shared" ca="1" si="46"/>
        <v>7085659849.2280092</v>
      </c>
      <c r="AI117" s="40">
        <f t="shared" ca="1" si="46"/>
        <v>7085659849.2280092</v>
      </c>
      <c r="AJ117" s="40">
        <f t="shared" ca="1" si="46"/>
        <v>7085659849.2280092</v>
      </c>
      <c r="AK117" s="40">
        <f t="shared" ca="1" si="46"/>
        <v>7085659849.2280092</v>
      </c>
      <c r="AL117" s="40">
        <f t="shared" ca="1" si="46"/>
        <v>7085659849.2280092</v>
      </c>
      <c r="AM117" s="40">
        <f t="shared" ca="1" si="46"/>
        <v>7085659849.2280092</v>
      </c>
      <c r="AN117" s="40">
        <f t="shared" ca="1" si="46"/>
        <v>7085659849.2280092</v>
      </c>
      <c r="AO117" s="40">
        <f t="shared" ca="1" si="46"/>
        <v>7085659849.2280092</v>
      </c>
      <c r="AP117" s="40">
        <f t="shared" ca="1" si="46"/>
        <v>7085659849.2280092</v>
      </c>
      <c r="AQ117" s="40">
        <f t="shared" ref="AQ117:BV117" ca="1" si="47">AP117+AQ115+SUM(AP119:AP120)</f>
        <v>7085659849.2280092</v>
      </c>
      <c r="AR117" s="40">
        <f t="shared" ca="1" si="47"/>
        <v>7085659849.2280092</v>
      </c>
      <c r="AS117" s="40">
        <f t="shared" ca="1" si="47"/>
        <v>7085659849.2280092</v>
      </c>
      <c r="AT117" s="40">
        <f t="shared" ca="1" si="47"/>
        <v>7085659849.2280092</v>
      </c>
      <c r="AU117" s="40">
        <f t="shared" ca="1" si="47"/>
        <v>7085659849.2280092</v>
      </c>
      <c r="AV117" s="40">
        <f t="shared" ca="1" si="47"/>
        <v>7085659849.2280092</v>
      </c>
      <c r="AW117" s="40">
        <f t="shared" ca="1" si="47"/>
        <v>7085659849.2280092</v>
      </c>
      <c r="AX117" s="40">
        <f t="shared" ca="1" si="47"/>
        <v>7085659849.2280092</v>
      </c>
      <c r="AY117" s="40">
        <f t="shared" ca="1" si="47"/>
        <v>7085659849.2280092</v>
      </c>
      <c r="AZ117" s="40">
        <f t="shared" ca="1" si="47"/>
        <v>7085659849.2280092</v>
      </c>
      <c r="BA117" s="40">
        <f t="shared" ca="1" si="47"/>
        <v>7085659849.2280092</v>
      </c>
      <c r="BB117" s="40">
        <f t="shared" ca="1" si="47"/>
        <v>7085659849.2280092</v>
      </c>
      <c r="BC117" s="40">
        <f t="shared" ca="1" si="47"/>
        <v>7085659849.2280092</v>
      </c>
      <c r="BD117" s="40">
        <f t="shared" ca="1" si="47"/>
        <v>7085659849.2280092</v>
      </c>
      <c r="BE117" s="40">
        <f t="shared" ca="1" si="47"/>
        <v>7085659849.2280092</v>
      </c>
      <c r="BF117" s="40">
        <f t="shared" ca="1" si="47"/>
        <v>7085659849.2280092</v>
      </c>
      <c r="BG117" s="40">
        <f t="shared" ca="1" si="47"/>
        <v>7085659849.2280092</v>
      </c>
      <c r="BH117" s="40">
        <f t="shared" ca="1" si="47"/>
        <v>7085659849.2280092</v>
      </c>
      <c r="BI117" s="40">
        <f t="shared" ca="1" si="47"/>
        <v>7085659849.2280092</v>
      </c>
      <c r="BJ117" s="40">
        <f t="shared" ca="1" si="47"/>
        <v>7085659849.2280092</v>
      </c>
      <c r="BK117" s="40">
        <f t="shared" ca="1" si="47"/>
        <v>7085659849.2280092</v>
      </c>
      <c r="BL117" s="40">
        <f t="shared" ca="1" si="47"/>
        <v>7085659849.2280092</v>
      </c>
      <c r="BM117" s="40">
        <f t="shared" ca="1" si="47"/>
        <v>7085659849.2280092</v>
      </c>
      <c r="BN117" s="40">
        <f t="shared" ca="1" si="47"/>
        <v>7085659849.2280092</v>
      </c>
      <c r="BO117" s="40">
        <f t="shared" ca="1" si="47"/>
        <v>7085659849.2280092</v>
      </c>
      <c r="BP117" s="40">
        <f t="shared" ca="1" si="47"/>
        <v>7085659849.2280092</v>
      </c>
      <c r="BQ117" s="40">
        <f t="shared" ca="1" si="47"/>
        <v>7085659849.2280092</v>
      </c>
      <c r="BR117" s="40">
        <f t="shared" ca="1" si="47"/>
        <v>7085659849.2280092</v>
      </c>
      <c r="BS117" s="40">
        <f t="shared" ca="1" si="47"/>
        <v>7085659849.2280092</v>
      </c>
      <c r="BT117" s="40">
        <f t="shared" ca="1" si="47"/>
        <v>7085659849.2280092</v>
      </c>
      <c r="BU117" s="40">
        <f t="shared" ca="1" si="47"/>
        <v>7085659849.2280092</v>
      </c>
      <c r="BV117" s="40">
        <f t="shared" ca="1" si="47"/>
        <v>7085659849.2280092</v>
      </c>
      <c r="BW117" s="40">
        <f t="shared" ref="BW117:DE117" ca="1" si="48">BV117+BW115+SUM(BV119:BV120)</f>
        <v>7085659849.2280092</v>
      </c>
      <c r="BX117" s="40">
        <f t="shared" ca="1" si="48"/>
        <v>7085659849.2280092</v>
      </c>
      <c r="BY117" s="40">
        <f t="shared" ca="1" si="48"/>
        <v>7085659849.2280092</v>
      </c>
      <c r="BZ117" s="40">
        <f t="shared" ca="1" si="48"/>
        <v>7085659849.2280092</v>
      </c>
      <c r="CA117" s="40">
        <f t="shared" ca="1" si="48"/>
        <v>7085659849.2280092</v>
      </c>
      <c r="CB117" s="40">
        <f t="shared" ca="1" si="48"/>
        <v>7085659849.2280092</v>
      </c>
      <c r="CC117" s="40">
        <f t="shared" ca="1" si="48"/>
        <v>7085659849.2280092</v>
      </c>
      <c r="CD117" s="40">
        <f t="shared" ca="1" si="48"/>
        <v>7085659849.2280092</v>
      </c>
      <c r="CE117" s="40">
        <f t="shared" ca="1" si="48"/>
        <v>7085659849.2280092</v>
      </c>
      <c r="CF117" s="40">
        <f t="shared" ca="1" si="48"/>
        <v>7085659849.2280092</v>
      </c>
      <c r="CG117" s="40">
        <f t="shared" ca="1" si="48"/>
        <v>7085659849.2280092</v>
      </c>
      <c r="CH117" s="40">
        <f t="shared" ca="1" si="48"/>
        <v>7085659849.2280092</v>
      </c>
      <c r="CI117" s="40">
        <f t="shared" ca="1" si="48"/>
        <v>7085659849.2280092</v>
      </c>
      <c r="CJ117" s="40">
        <f t="shared" ca="1" si="48"/>
        <v>7085659849.2280092</v>
      </c>
      <c r="CK117" s="40">
        <f t="shared" ca="1" si="48"/>
        <v>7085659849.2280092</v>
      </c>
      <c r="CL117" s="40">
        <f t="shared" ca="1" si="48"/>
        <v>7085659849.2280092</v>
      </c>
      <c r="CM117" s="40">
        <f t="shared" ca="1" si="48"/>
        <v>7085659849.2280092</v>
      </c>
      <c r="CN117" s="40">
        <f t="shared" ca="1" si="48"/>
        <v>7085659849.2280092</v>
      </c>
      <c r="CO117" s="40">
        <f t="shared" ca="1" si="48"/>
        <v>7085659849.2280092</v>
      </c>
      <c r="CP117" s="40">
        <f t="shared" ca="1" si="48"/>
        <v>7085659849.2280092</v>
      </c>
      <c r="CQ117" s="40">
        <f t="shared" ca="1" si="48"/>
        <v>7085659849.2280092</v>
      </c>
      <c r="CR117" s="40">
        <f t="shared" ca="1" si="48"/>
        <v>7085659849.2280092</v>
      </c>
      <c r="CS117" s="40">
        <f t="shared" ca="1" si="48"/>
        <v>7085659849.2280092</v>
      </c>
      <c r="CT117" s="40">
        <f t="shared" ca="1" si="48"/>
        <v>7085659849.2280092</v>
      </c>
      <c r="CU117" s="40">
        <f t="shared" ca="1" si="48"/>
        <v>7085659849.2280092</v>
      </c>
      <c r="CV117" s="40">
        <f t="shared" ca="1" si="48"/>
        <v>7085659849.2280092</v>
      </c>
      <c r="CW117" s="40">
        <f t="shared" ca="1" si="48"/>
        <v>7085659849.2280092</v>
      </c>
      <c r="CX117" s="40">
        <f t="shared" ca="1" si="48"/>
        <v>7085659849.2280092</v>
      </c>
      <c r="CY117" s="40">
        <f t="shared" ca="1" si="48"/>
        <v>7085659849.2280092</v>
      </c>
      <c r="CZ117" s="40">
        <f t="shared" ca="1" si="48"/>
        <v>7085659849.2280092</v>
      </c>
      <c r="DA117" s="40">
        <f t="shared" ca="1" si="48"/>
        <v>7085659849.2280092</v>
      </c>
      <c r="DB117" s="40">
        <f t="shared" ca="1" si="48"/>
        <v>7085659849.2280092</v>
      </c>
      <c r="DC117" s="40">
        <f t="shared" ca="1" si="48"/>
        <v>7085659849.2280092</v>
      </c>
      <c r="DD117" s="40">
        <f t="shared" ca="1" si="48"/>
        <v>7085659849.2280092</v>
      </c>
      <c r="DE117" s="40">
        <f t="shared" ca="1" si="48"/>
        <v>7085659849.2280092</v>
      </c>
    </row>
    <row r="118" spans="3:109" x14ac:dyDescent="0.15">
      <c r="D118" s="5"/>
    </row>
    <row r="119" spans="3:109" x14ac:dyDescent="0.15">
      <c r="C119" s="23" t="s">
        <v>353</v>
      </c>
      <c r="D119" s="5" t="s">
        <v>0</v>
      </c>
      <c r="I119" s="35">
        <f ca="1">SUM(J119:DE119)</f>
        <v>0</v>
      </c>
      <c r="J119" s="37">
        <f t="shared" ref="J119:AO119" ca="1" si="49">IF(J117&lt;$E$107,($E$107-J117)/(1-$E$120),0)</f>
        <v>0</v>
      </c>
      <c r="K119" s="37">
        <f t="shared" ca="1" si="49"/>
        <v>0</v>
      </c>
      <c r="L119" s="37">
        <f t="shared" ca="1" si="49"/>
        <v>0</v>
      </c>
      <c r="M119" s="37">
        <f t="shared" ca="1" si="49"/>
        <v>0</v>
      </c>
      <c r="N119" s="37">
        <f t="shared" ca="1" si="49"/>
        <v>0</v>
      </c>
      <c r="O119" s="37">
        <f t="shared" ca="1" si="49"/>
        <v>0</v>
      </c>
      <c r="P119" s="37">
        <f t="shared" ca="1" si="49"/>
        <v>0</v>
      </c>
      <c r="Q119" s="37">
        <f t="shared" ca="1" si="49"/>
        <v>0</v>
      </c>
      <c r="R119" s="37">
        <f t="shared" ca="1" si="49"/>
        <v>0</v>
      </c>
      <c r="S119" s="37">
        <f t="shared" ca="1" si="49"/>
        <v>0</v>
      </c>
      <c r="T119" s="37">
        <f t="shared" ca="1" si="49"/>
        <v>0</v>
      </c>
      <c r="U119" s="37">
        <f t="shared" ca="1" si="49"/>
        <v>0</v>
      </c>
      <c r="V119" s="37">
        <f t="shared" ca="1" si="49"/>
        <v>0</v>
      </c>
      <c r="W119" s="37">
        <f t="shared" ca="1" si="49"/>
        <v>0</v>
      </c>
      <c r="X119" s="37">
        <f t="shared" ca="1" si="49"/>
        <v>0</v>
      </c>
      <c r="Y119" s="37">
        <f t="shared" ca="1" si="49"/>
        <v>0</v>
      </c>
      <c r="Z119" s="37">
        <f t="shared" ca="1" si="49"/>
        <v>0</v>
      </c>
      <c r="AA119" s="37">
        <f t="shared" ca="1" si="49"/>
        <v>0</v>
      </c>
      <c r="AB119" s="37">
        <f t="shared" ca="1" si="49"/>
        <v>0</v>
      </c>
      <c r="AC119" s="37">
        <f t="shared" ca="1" si="49"/>
        <v>0</v>
      </c>
      <c r="AD119" s="37">
        <f t="shared" ca="1" si="49"/>
        <v>0</v>
      </c>
      <c r="AE119" s="37">
        <f t="shared" ca="1" si="49"/>
        <v>0</v>
      </c>
      <c r="AF119" s="37">
        <f t="shared" ca="1" si="49"/>
        <v>0</v>
      </c>
      <c r="AG119" s="37">
        <f t="shared" ca="1" si="49"/>
        <v>0</v>
      </c>
      <c r="AH119" s="37">
        <f t="shared" ca="1" si="49"/>
        <v>0</v>
      </c>
      <c r="AI119" s="37">
        <f t="shared" ca="1" si="49"/>
        <v>0</v>
      </c>
      <c r="AJ119" s="37">
        <f t="shared" ca="1" si="49"/>
        <v>0</v>
      </c>
      <c r="AK119" s="37">
        <f t="shared" ca="1" si="49"/>
        <v>0</v>
      </c>
      <c r="AL119" s="37">
        <f t="shared" ca="1" si="49"/>
        <v>0</v>
      </c>
      <c r="AM119" s="37">
        <f t="shared" ca="1" si="49"/>
        <v>0</v>
      </c>
      <c r="AN119" s="37">
        <f t="shared" ca="1" si="49"/>
        <v>0</v>
      </c>
      <c r="AO119" s="37">
        <f t="shared" ca="1" si="49"/>
        <v>0</v>
      </c>
      <c r="AP119" s="37">
        <f t="shared" ref="AP119:BU119" ca="1" si="50">IF(AP117&lt;$E$107,($E$107-AP117)/(1-$E$120),0)</f>
        <v>0</v>
      </c>
      <c r="AQ119" s="37">
        <f t="shared" ca="1" si="50"/>
        <v>0</v>
      </c>
      <c r="AR119" s="37">
        <f t="shared" ca="1" si="50"/>
        <v>0</v>
      </c>
      <c r="AS119" s="37">
        <f t="shared" ca="1" si="50"/>
        <v>0</v>
      </c>
      <c r="AT119" s="37">
        <f t="shared" ca="1" si="50"/>
        <v>0</v>
      </c>
      <c r="AU119" s="37">
        <f t="shared" ca="1" si="50"/>
        <v>0</v>
      </c>
      <c r="AV119" s="37">
        <f t="shared" ca="1" si="50"/>
        <v>0</v>
      </c>
      <c r="AW119" s="37">
        <f t="shared" ca="1" si="50"/>
        <v>0</v>
      </c>
      <c r="AX119" s="37">
        <f t="shared" ca="1" si="50"/>
        <v>0</v>
      </c>
      <c r="AY119" s="37">
        <f t="shared" ca="1" si="50"/>
        <v>0</v>
      </c>
      <c r="AZ119" s="37">
        <f t="shared" ca="1" si="50"/>
        <v>0</v>
      </c>
      <c r="BA119" s="37">
        <f t="shared" ca="1" si="50"/>
        <v>0</v>
      </c>
      <c r="BB119" s="37">
        <f t="shared" ca="1" si="50"/>
        <v>0</v>
      </c>
      <c r="BC119" s="37">
        <f t="shared" ca="1" si="50"/>
        <v>0</v>
      </c>
      <c r="BD119" s="37">
        <f t="shared" ca="1" si="50"/>
        <v>0</v>
      </c>
      <c r="BE119" s="37">
        <f t="shared" ca="1" si="50"/>
        <v>0</v>
      </c>
      <c r="BF119" s="37">
        <f t="shared" ca="1" si="50"/>
        <v>0</v>
      </c>
      <c r="BG119" s="37">
        <f t="shared" ca="1" si="50"/>
        <v>0</v>
      </c>
      <c r="BH119" s="37">
        <f t="shared" ca="1" si="50"/>
        <v>0</v>
      </c>
      <c r="BI119" s="37">
        <f t="shared" ca="1" si="50"/>
        <v>0</v>
      </c>
      <c r="BJ119" s="37">
        <f t="shared" ca="1" si="50"/>
        <v>0</v>
      </c>
      <c r="BK119" s="37">
        <f t="shared" ca="1" si="50"/>
        <v>0</v>
      </c>
      <c r="BL119" s="37">
        <f t="shared" ca="1" si="50"/>
        <v>0</v>
      </c>
      <c r="BM119" s="37">
        <f t="shared" ca="1" si="50"/>
        <v>0</v>
      </c>
      <c r="BN119" s="37">
        <f t="shared" ca="1" si="50"/>
        <v>0</v>
      </c>
      <c r="BO119" s="37">
        <f t="shared" ca="1" si="50"/>
        <v>0</v>
      </c>
      <c r="BP119" s="37">
        <f t="shared" ca="1" si="50"/>
        <v>0</v>
      </c>
      <c r="BQ119" s="37">
        <f t="shared" ca="1" si="50"/>
        <v>0</v>
      </c>
      <c r="BR119" s="37">
        <f t="shared" ca="1" si="50"/>
        <v>0</v>
      </c>
      <c r="BS119" s="37">
        <f t="shared" ca="1" si="50"/>
        <v>0</v>
      </c>
      <c r="BT119" s="37">
        <f t="shared" ca="1" si="50"/>
        <v>0</v>
      </c>
      <c r="BU119" s="37">
        <f t="shared" ca="1" si="50"/>
        <v>0</v>
      </c>
      <c r="BV119" s="37">
        <f t="shared" ref="BV119:DE119" ca="1" si="51">IF(BV117&lt;$E$107,($E$107-BV117)/(1-$E$120),0)</f>
        <v>0</v>
      </c>
      <c r="BW119" s="37">
        <f t="shared" ca="1" si="51"/>
        <v>0</v>
      </c>
      <c r="BX119" s="37">
        <f t="shared" ca="1" si="51"/>
        <v>0</v>
      </c>
      <c r="BY119" s="37">
        <f t="shared" ca="1" si="51"/>
        <v>0</v>
      </c>
      <c r="BZ119" s="37">
        <f t="shared" ca="1" si="51"/>
        <v>0</v>
      </c>
      <c r="CA119" s="37">
        <f t="shared" ca="1" si="51"/>
        <v>0</v>
      </c>
      <c r="CB119" s="37">
        <f t="shared" ca="1" si="51"/>
        <v>0</v>
      </c>
      <c r="CC119" s="37">
        <f t="shared" ca="1" si="51"/>
        <v>0</v>
      </c>
      <c r="CD119" s="37">
        <f t="shared" ca="1" si="51"/>
        <v>0</v>
      </c>
      <c r="CE119" s="37">
        <f t="shared" ca="1" si="51"/>
        <v>0</v>
      </c>
      <c r="CF119" s="37">
        <f t="shared" ca="1" si="51"/>
        <v>0</v>
      </c>
      <c r="CG119" s="37">
        <f t="shared" ca="1" si="51"/>
        <v>0</v>
      </c>
      <c r="CH119" s="37">
        <f t="shared" ca="1" si="51"/>
        <v>0</v>
      </c>
      <c r="CI119" s="37">
        <f t="shared" ca="1" si="51"/>
        <v>0</v>
      </c>
      <c r="CJ119" s="37">
        <f t="shared" ca="1" si="51"/>
        <v>0</v>
      </c>
      <c r="CK119" s="37">
        <f t="shared" ca="1" si="51"/>
        <v>0</v>
      </c>
      <c r="CL119" s="37">
        <f t="shared" ca="1" si="51"/>
        <v>0</v>
      </c>
      <c r="CM119" s="37">
        <f t="shared" ca="1" si="51"/>
        <v>0</v>
      </c>
      <c r="CN119" s="37">
        <f t="shared" ca="1" si="51"/>
        <v>0</v>
      </c>
      <c r="CO119" s="37">
        <f t="shared" ca="1" si="51"/>
        <v>0</v>
      </c>
      <c r="CP119" s="37">
        <f t="shared" ca="1" si="51"/>
        <v>0</v>
      </c>
      <c r="CQ119" s="37">
        <f t="shared" ca="1" si="51"/>
        <v>0</v>
      </c>
      <c r="CR119" s="37">
        <f t="shared" ca="1" si="51"/>
        <v>0</v>
      </c>
      <c r="CS119" s="37">
        <f t="shared" ca="1" si="51"/>
        <v>0</v>
      </c>
      <c r="CT119" s="37">
        <f t="shared" ca="1" si="51"/>
        <v>0</v>
      </c>
      <c r="CU119" s="37">
        <f t="shared" ca="1" si="51"/>
        <v>0</v>
      </c>
      <c r="CV119" s="37">
        <f t="shared" ca="1" si="51"/>
        <v>0</v>
      </c>
      <c r="CW119" s="37">
        <f t="shared" ca="1" si="51"/>
        <v>0</v>
      </c>
      <c r="CX119" s="37">
        <f t="shared" ca="1" si="51"/>
        <v>0</v>
      </c>
      <c r="CY119" s="37">
        <f t="shared" ca="1" si="51"/>
        <v>0</v>
      </c>
      <c r="CZ119" s="37">
        <f t="shared" ca="1" si="51"/>
        <v>0</v>
      </c>
      <c r="DA119" s="37">
        <f t="shared" ca="1" si="51"/>
        <v>0</v>
      </c>
      <c r="DB119" s="37">
        <f t="shared" ca="1" si="51"/>
        <v>0</v>
      </c>
      <c r="DC119" s="37">
        <f t="shared" ca="1" si="51"/>
        <v>0</v>
      </c>
      <c r="DD119" s="37">
        <f t="shared" ca="1" si="51"/>
        <v>0</v>
      </c>
      <c r="DE119" s="37">
        <f t="shared" ca="1" si="51"/>
        <v>0</v>
      </c>
    </row>
    <row r="120" spans="3:109" x14ac:dyDescent="0.15">
      <c r="C120" s="23" t="s">
        <v>354</v>
      </c>
      <c r="D120" s="5" t="s">
        <v>18</v>
      </c>
      <c r="E120" s="98">
        <v>0.05</v>
      </c>
      <c r="I120" s="35">
        <f ca="1">SUM(J120:DE120)</f>
        <v>0</v>
      </c>
      <c r="J120" s="37">
        <f t="shared" ref="J120:AO120" ca="1" si="52">J119*-$E$120</f>
        <v>0</v>
      </c>
      <c r="K120" s="37">
        <f t="shared" ca="1" si="52"/>
        <v>0</v>
      </c>
      <c r="L120" s="37">
        <f t="shared" ca="1" si="52"/>
        <v>0</v>
      </c>
      <c r="M120" s="37">
        <f t="shared" ca="1" si="52"/>
        <v>0</v>
      </c>
      <c r="N120" s="37">
        <f t="shared" ca="1" si="52"/>
        <v>0</v>
      </c>
      <c r="O120" s="37">
        <f t="shared" ca="1" si="52"/>
        <v>0</v>
      </c>
      <c r="P120" s="37">
        <f t="shared" ca="1" si="52"/>
        <v>0</v>
      </c>
      <c r="Q120" s="37">
        <f t="shared" ca="1" si="52"/>
        <v>0</v>
      </c>
      <c r="R120" s="37">
        <f t="shared" ca="1" si="52"/>
        <v>0</v>
      </c>
      <c r="S120" s="37">
        <f t="shared" ca="1" si="52"/>
        <v>0</v>
      </c>
      <c r="T120" s="37">
        <f t="shared" ca="1" si="52"/>
        <v>0</v>
      </c>
      <c r="U120" s="37">
        <f t="shared" ca="1" si="52"/>
        <v>0</v>
      </c>
      <c r="V120" s="37">
        <f t="shared" ca="1" si="52"/>
        <v>0</v>
      </c>
      <c r="W120" s="37">
        <f t="shared" ca="1" si="52"/>
        <v>0</v>
      </c>
      <c r="X120" s="37">
        <f t="shared" ca="1" si="52"/>
        <v>0</v>
      </c>
      <c r="Y120" s="37">
        <f t="shared" ca="1" si="52"/>
        <v>0</v>
      </c>
      <c r="Z120" s="37">
        <f t="shared" ca="1" si="52"/>
        <v>0</v>
      </c>
      <c r="AA120" s="37">
        <f t="shared" ca="1" si="52"/>
        <v>0</v>
      </c>
      <c r="AB120" s="37">
        <f t="shared" ca="1" si="52"/>
        <v>0</v>
      </c>
      <c r="AC120" s="37">
        <f t="shared" ca="1" si="52"/>
        <v>0</v>
      </c>
      <c r="AD120" s="37">
        <f t="shared" ca="1" si="52"/>
        <v>0</v>
      </c>
      <c r="AE120" s="37">
        <f t="shared" ca="1" si="52"/>
        <v>0</v>
      </c>
      <c r="AF120" s="37">
        <f t="shared" ca="1" si="52"/>
        <v>0</v>
      </c>
      <c r="AG120" s="37">
        <f t="shared" ca="1" si="52"/>
        <v>0</v>
      </c>
      <c r="AH120" s="37">
        <f t="shared" ca="1" si="52"/>
        <v>0</v>
      </c>
      <c r="AI120" s="37">
        <f t="shared" ca="1" si="52"/>
        <v>0</v>
      </c>
      <c r="AJ120" s="37">
        <f t="shared" ca="1" si="52"/>
        <v>0</v>
      </c>
      <c r="AK120" s="37">
        <f t="shared" ca="1" si="52"/>
        <v>0</v>
      </c>
      <c r="AL120" s="37">
        <f t="shared" ca="1" si="52"/>
        <v>0</v>
      </c>
      <c r="AM120" s="37">
        <f t="shared" ca="1" si="52"/>
        <v>0</v>
      </c>
      <c r="AN120" s="37">
        <f t="shared" ca="1" si="52"/>
        <v>0</v>
      </c>
      <c r="AO120" s="37">
        <f t="shared" ca="1" si="52"/>
        <v>0</v>
      </c>
      <c r="AP120" s="37">
        <f t="shared" ref="AP120:BU120" ca="1" si="53">AP119*-$E$120</f>
        <v>0</v>
      </c>
      <c r="AQ120" s="37">
        <f t="shared" ca="1" si="53"/>
        <v>0</v>
      </c>
      <c r="AR120" s="37">
        <f t="shared" ca="1" si="53"/>
        <v>0</v>
      </c>
      <c r="AS120" s="37">
        <f t="shared" ca="1" si="53"/>
        <v>0</v>
      </c>
      <c r="AT120" s="37">
        <f t="shared" ca="1" si="53"/>
        <v>0</v>
      </c>
      <c r="AU120" s="37">
        <f t="shared" ca="1" si="53"/>
        <v>0</v>
      </c>
      <c r="AV120" s="37">
        <f t="shared" ca="1" si="53"/>
        <v>0</v>
      </c>
      <c r="AW120" s="37">
        <f t="shared" ca="1" si="53"/>
        <v>0</v>
      </c>
      <c r="AX120" s="37">
        <f t="shared" ca="1" si="53"/>
        <v>0</v>
      </c>
      <c r="AY120" s="37">
        <f t="shared" ca="1" si="53"/>
        <v>0</v>
      </c>
      <c r="AZ120" s="37">
        <f t="shared" ca="1" si="53"/>
        <v>0</v>
      </c>
      <c r="BA120" s="37">
        <f t="shared" ca="1" si="53"/>
        <v>0</v>
      </c>
      <c r="BB120" s="37">
        <f t="shared" ca="1" si="53"/>
        <v>0</v>
      </c>
      <c r="BC120" s="37">
        <f t="shared" ca="1" si="53"/>
        <v>0</v>
      </c>
      <c r="BD120" s="37">
        <f t="shared" ca="1" si="53"/>
        <v>0</v>
      </c>
      <c r="BE120" s="37">
        <f t="shared" ca="1" si="53"/>
        <v>0</v>
      </c>
      <c r="BF120" s="37">
        <f t="shared" ca="1" si="53"/>
        <v>0</v>
      </c>
      <c r="BG120" s="37">
        <f t="shared" ca="1" si="53"/>
        <v>0</v>
      </c>
      <c r="BH120" s="37">
        <f t="shared" ca="1" si="53"/>
        <v>0</v>
      </c>
      <c r="BI120" s="37">
        <f t="shared" ca="1" si="53"/>
        <v>0</v>
      </c>
      <c r="BJ120" s="37">
        <f t="shared" ca="1" si="53"/>
        <v>0</v>
      </c>
      <c r="BK120" s="37">
        <f t="shared" ca="1" si="53"/>
        <v>0</v>
      </c>
      <c r="BL120" s="37">
        <f t="shared" ca="1" si="53"/>
        <v>0</v>
      </c>
      <c r="BM120" s="37">
        <f t="shared" ca="1" si="53"/>
        <v>0</v>
      </c>
      <c r="BN120" s="37">
        <f t="shared" ca="1" si="53"/>
        <v>0</v>
      </c>
      <c r="BO120" s="37">
        <f t="shared" ca="1" si="53"/>
        <v>0</v>
      </c>
      <c r="BP120" s="37">
        <f t="shared" ca="1" si="53"/>
        <v>0</v>
      </c>
      <c r="BQ120" s="37">
        <f t="shared" ca="1" si="53"/>
        <v>0</v>
      </c>
      <c r="BR120" s="37">
        <f t="shared" ca="1" si="53"/>
        <v>0</v>
      </c>
      <c r="BS120" s="37">
        <f t="shared" ca="1" si="53"/>
        <v>0</v>
      </c>
      <c r="BT120" s="37">
        <f t="shared" ca="1" si="53"/>
        <v>0</v>
      </c>
      <c r="BU120" s="37">
        <f t="shared" ca="1" si="53"/>
        <v>0</v>
      </c>
      <c r="BV120" s="37">
        <f t="shared" ref="BV120:DA120" ca="1" si="54">BV119*-$E$120</f>
        <v>0</v>
      </c>
      <c r="BW120" s="37">
        <f t="shared" ca="1" si="54"/>
        <v>0</v>
      </c>
      <c r="BX120" s="37">
        <f t="shared" ca="1" si="54"/>
        <v>0</v>
      </c>
      <c r="BY120" s="37">
        <f t="shared" ca="1" si="54"/>
        <v>0</v>
      </c>
      <c r="BZ120" s="37">
        <f t="shared" ca="1" si="54"/>
        <v>0</v>
      </c>
      <c r="CA120" s="37">
        <f t="shared" ca="1" si="54"/>
        <v>0</v>
      </c>
      <c r="CB120" s="37">
        <f t="shared" ca="1" si="54"/>
        <v>0</v>
      </c>
      <c r="CC120" s="37">
        <f t="shared" ca="1" si="54"/>
        <v>0</v>
      </c>
      <c r="CD120" s="37">
        <f t="shared" ca="1" si="54"/>
        <v>0</v>
      </c>
      <c r="CE120" s="37">
        <f t="shared" ca="1" si="54"/>
        <v>0</v>
      </c>
      <c r="CF120" s="37">
        <f t="shared" ca="1" si="54"/>
        <v>0</v>
      </c>
      <c r="CG120" s="37">
        <f t="shared" ca="1" si="54"/>
        <v>0</v>
      </c>
      <c r="CH120" s="37">
        <f t="shared" ca="1" si="54"/>
        <v>0</v>
      </c>
      <c r="CI120" s="37">
        <f t="shared" ca="1" si="54"/>
        <v>0</v>
      </c>
      <c r="CJ120" s="37">
        <f t="shared" ca="1" si="54"/>
        <v>0</v>
      </c>
      <c r="CK120" s="37">
        <f t="shared" ca="1" si="54"/>
        <v>0</v>
      </c>
      <c r="CL120" s="37">
        <f t="shared" ca="1" si="54"/>
        <v>0</v>
      </c>
      <c r="CM120" s="37">
        <f t="shared" ca="1" si="54"/>
        <v>0</v>
      </c>
      <c r="CN120" s="37">
        <f t="shared" ca="1" si="54"/>
        <v>0</v>
      </c>
      <c r="CO120" s="37">
        <f t="shared" ca="1" si="54"/>
        <v>0</v>
      </c>
      <c r="CP120" s="37">
        <f t="shared" ca="1" si="54"/>
        <v>0</v>
      </c>
      <c r="CQ120" s="37">
        <f t="shared" ca="1" si="54"/>
        <v>0</v>
      </c>
      <c r="CR120" s="37">
        <f t="shared" ca="1" si="54"/>
        <v>0</v>
      </c>
      <c r="CS120" s="37">
        <f t="shared" ca="1" si="54"/>
        <v>0</v>
      </c>
      <c r="CT120" s="37">
        <f t="shared" ca="1" si="54"/>
        <v>0</v>
      </c>
      <c r="CU120" s="37">
        <f t="shared" ca="1" si="54"/>
        <v>0</v>
      </c>
      <c r="CV120" s="37">
        <f t="shared" ca="1" si="54"/>
        <v>0</v>
      </c>
      <c r="CW120" s="37">
        <f t="shared" ca="1" si="54"/>
        <v>0</v>
      </c>
      <c r="CX120" s="37">
        <f t="shared" ca="1" si="54"/>
        <v>0</v>
      </c>
      <c r="CY120" s="37">
        <f t="shared" ca="1" si="54"/>
        <v>0</v>
      </c>
      <c r="CZ120" s="37">
        <f t="shared" ca="1" si="54"/>
        <v>0</v>
      </c>
      <c r="DA120" s="37">
        <f t="shared" ca="1" si="54"/>
        <v>0</v>
      </c>
      <c r="DB120" s="37">
        <f t="shared" ref="DB120:DE120" ca="1" si="55">DB119*-$E$120</f>
        <v>0</v>
      </c>
      <c r="DC120" s="37">
        <f t="shared" ca="1" si="55"/>
        <v>0</v>
      </c>
      <c r="DD120" s="37">
        <f t="shared" ca="1" si="55"/>
        <v>0</v>
      </c>
      <c r="DE120" s="37">
        <f t="shared" ca="1" si="55"/>
        <v>0</v>
      </c>
    </row>
    <row r="121" spans="3:109" x14ac:dyDescent="0.15">
      <c r="C121" s="23" t="s">
        <v>356</v>
      </c>
      <c r="D121" s="5"/>
      <c r="J121" s="37">
        <f t="shared" ref="J121:AO121" ca="1" si="56">J119/J138</f>
        <v>0</v>
      </c>
      <c r="K121" s="37">
        <f t="shared" ca="1" si="56"/>
        <v>0</v>
      </c>
      <c r="L121" s="37">
        <f t="shared" ca="1" si="56"/>
        <v>0</v>
      </c>
      <c r="M121" s="37">
        <f t="shared" ca="1" si="56"/>
        <v>0</v>
      </c>
      <c r="N121" s="37">
        <f t="shared" ca="1" si="56"/>
        <v>0</v>
      </c>
      <c r="O121" s="37">
        <f t="shared" ca="1" si="56"/>
        <v>0</v>
      </c>
      <c r="P121" s="37">
        <f t="shared" ca="1" si="56"/>
        <v>0</v>
      </c>
      <c r="Q121" s="37">
        <f t="shared" ca="1" si="56"/>
        <v>0</v>
      </c>
      <c r="R121" s="37">
        <f t="shared" ca="1" si="56"/>
        <v>0</v>
      </c>
      <c r="S121" s="37">
        <f t="shared" ca="1" si="56"/>
        <v>0</v>
      </c>
      <c r="T121" s="37">
        <f t="shared" ca="1" si="56"/>
        <v>0</v>
      </c>
      <c r="U121" s="37">
        <f t="shared" ca="1" si="56"/>
        <v>0</v>
      </c>
      <c r="V121" s="37">
        <f t="shared" ca="1" si="56"/>
        <v>0</v>
      </c>
      <c r="W121" s="37">
        <f t="shared" ca="1" si="56"/>
        <v>0</v>
      </c>
      <c r="X121" s="37">
        <f t="shared" ca="1" si="56"/>
        <v>0</v>
      </c>
      <c r="Y121" s="37">
        <f t="shared" ca="1" si="56"/>
        <v>0</v>
      </c>
      <c r="Z121" s="37">
        <f t="shared" ca="1" si="56"/>
        <v>0</v>
      </c>
      <c r="AA121" s="37">
        <f t="shared" ca="1" si="56"/>
        <v>0</v>
      </c>
      <c r="AB121" s="37">
        <f t="shared" ca="1" si="56"/>
        <v>0</v>
      </c>
      <c r="AC121" s="37">
        <f t="shared" ca="1" si="56"/>
        <v>0</v>
      </c>
      <c r="AD121" s="37">
        <f t="shared" ca="1" si="56"/>
        <v>0</v>
      </c>
      <c r="AE121" s="37">
        <f t="shared" ca="1" si="56"/>
        <v>0</v>
      </c>
      <c r="AF121" s="37">
        <f t="shared" ca="1" si="56"/>
        <v>0</v>
      </c>
      <c r="AG121" s="37">
        <f t="shared" ca="1" si="56"/>
        <v>0</v>
      </c>
      <c r="AH121" s="37">
        <f t="shared" ca="1" si="56"/>
        <v>0</v>
      </c>
      <c r="AI121" s="37">
        <f t="shared" ca="1" si="56"/>
        <v>0</v>
      </c>
      <c r="AJ121" s="37">
        <f t="shared" ca="1" si="56"/>
        <v>0</v>
      </c>
      <c r="AK121" s="37">
        <f t="shared" ca="1" si="56"/>
        <v>0</v>
      </c>
      <c r="AL121" s="37">
        <f t="shared" ca="1" si="56"/>
        <v>0</v>
      </c>
      <c r="AM121" s="37">
        <f t="shared" ca="1" si="56"/>
        <v>0</v>
      </c>
      <c r="AN121" s="37">
        <f t="shared" ca="1" si="56"/>
        <v>0</v>
      </c>
      <c r="AO121" s="37">
        <f t="shared" ca="1" si="56"/>
        <v>0</v>
      </c>
      <c r="AP121" s="37">
        <f t="shared" ref="AP121:BU121" ca="1" si="57">AP119/AP138</f>
        <v>0</v>
      </c>
      <c r="AQ121" s="37">
        <f t="shared" ca="1" si="57"/>
        <v>0</v>
      </c>
      <c r="AR121" s="37">
        <f t="shared" ca="1" si="57"/>
        <v>0</v>
      </c>
      <c r="AS121" s="37">
        <f t="shared" ca="1" si="57"/>
        <v>0</v>
      </c>
      <c r="AT121" s="37">
        <f t="shared" ca="1" si="57"/>
        <v>0</v>
      </c>
      <c r="AU121" s="37">
        <f t="shared" ca="1" si="57"/>
        <v>0</v>
      </c>
      <c r="AV121" s="37">
        <f t="shared" ca="1" si="57"/>
        <v>0</v>
      </c>
      <c r="AW121" s="37">
        <f t="shared" ca="1" si="57"/>
        <v>0</v>
      </c>
      <c r="AX121" s="37">
        <f t="shared" ca="1" si="57"/>
        <v>0</v>
      </c>
      <c r="AY121" s="37">
        <f t="shared" ca="1" si="57"/>
        <v>0</v>
      </c>
      <c r="AZ121" s="37">
        <f t="shared" ca="1" si="57"/>
        <v>0</v>
      </c>
      <c r="BA121" s="37">
        <f t="shared" ca="1" si="57"/>
        <v>0</v>
      </c>
      <c r="BB121" s="37">
        <f t="shared" ca="1" si="57"/>
        <v>0</v>
      </c>
      <c r="BC121" s="37">
        <f t="shared" ca="1" si="57"/>
        <v>0</v>
      </c>
      <c r="BD121" s="37">
        <f t="shared" ca="1" si="57"/>
        <v>0</v>
      </c>
      <c r="BE121" s="37">
        <f t="shared" ca="1" si="57"/>
        <v>0</v>
      </c>
      <c r="BF121" s="37">
        <f t="shared" ca="1" si="57"/>
        <v>0</v>
      </c>
      <c r="BG121" s="37">
        <f t="shared" ca="1" si="57"/>
        <v>0</v>
      </c>
      <c r="BH121" s="37">
        <f t="shared" ca="1" si="57"/>
        <v>0</v>
      </c>
      <c r="BI121" s="37">
        <f t="shared" ca="1" si="57"/>
        <v>0</v>
      </c>
      <c r="BJ121" s="37">
        <f t="shared" ca="1" si="57"/>
        <v>0</v>
      </c>
      <c r="BK121" s="37">
        <f t="shared" ca="1" si="57"/>
        <v>0</v>
      </c>
      <c r="BL121" s="37">
        <f t="shared" ca="1" si="57"/>
        <v>0</v>
      </c>
      <c r="BM121" s="37">
        <f t="shared" ca="1" si="57"/>
        <v>0</v>
      </c>
      <c r="BN121" s="37">
        <f t="shared" ca="1" si="57"/>
        <v>0</v>
      </c>
      <c r="BO121" s="37">
        <f t="shared" ca="1" si="57"/>
        <v>0</v>
      </c>
      <c r="BP121" s="37">
        <f t="shared" ca="1" si="57"/>
        <v>0</v>
      </c>
      <c r="BQ121" s="37">
        <f t="shared" ca="1" si="57"/>
        <v>0</v>
      </c>
      <c r="BR121" s="37">
        <f t="shared" ca="1" si="57"/>
        <v>0</v>
      </c>
      <c r="BS121" s="37">
        <f t="shared" ca="1" si="57"/>
        <v>0</v>
      </c>
      <c r="BT121" s="37">
        <f t="shared" ca="1" si="57"/>
        <v>0</v>
      </c>
      <c r="BU121" s="37">
        <f t="shared" ca="1" si="57"/>
        <v>0</v>
      </c>
      <c r="BV121" s="37">
        <f t="shared" ref="BV121:DE121" ca="1" si="58">BV119/BV138</f>
        <v>0</v>
      </c>
      <c r="BW121" s="37">
        <f t="shared" ca="1" si="58"/>
        <v>0</v>
      </c>
      <c r="BX121" s="37">
        <f t="shared" ca="1" si="58"/>
        <v>0</v>
      </c>
      <c r="BY121" s="37">
        <f t="shared" ca="1" si="58"/>
        <v>0</v>
      </c>
      <c r="BZ121" s="37">
        <f t="shared" ca="1" si="58"/>
        <v>0</v>
      </c>
      <c r="CA121" s="37">
        <f t="shared" ca="1" si="58"/>
        <v>0</v>
      </c>
      <c r="CB121" s="37">
        <f t="shared" ca="1" si="58"/>
        <v>0</v>
      </c>
      <c r="CC121" s="37">
        <f t="shared" ca="1" si="58"/>
        <v>0</v>
      </c>
      <c r="CD121" s="37">
        <f t="shared" ca="1" si="58"/>
        <v>0</v>
      </c>
      <c r="CE121" s="37">
        <f t="shared" ca="1" si="58"/>
        <v>0</v>
      </c>
      <c r="CF121" s="37">
        <f t="shared" ca="1" si="58"/>
        <v>0</v>
      </c>
      <c r="CG121" s="37">
        <f t="shared" ca="1" si="58"/>
        <v>0</v>
      </c>
      <c r="CH121" s="37">
        <f t="shared" ca="1" si="58"/>
        <v>0</v>
      </c>
      <c r="CI121" s="37">
        <f t="shared" ca="1" si="58"/>
        <v>0</v>
      </c>
      <c r="CJ121" s="37">
        <f t="shared" ca="1" si="58"/>
        <v>0</v>
      </c>
      <c r="CK121" s="37">
        <f t="shared" ca="1" si="58"/>
        <v>0</v>
      </c>
      <c r="CL121" s="37">
        <f t="shared" ca="1" si="58"/>
        <v>0</v>
      </c>
      <c r="CM121" s="37">
        <f t="shared" ca="1" si="58"/>
        <v>0</v>
      </c>
      <c r="CN121" s="37">
        <f t="shared" ca="1" si="58"/>
        <v>0</v>
      </c>
      <c r="CO121" s="37">
        <f t="shared" ca="1" si="58"/>
        <v>0</v>
      </c>
      <c r="CP121" s="37">
        <f t="shared" ca="1" si="58"/>
        <v>0</v>
      </c>
      <c r="CQ121" s="37">
        <f t="shared" ca="1" si="58"/>
        <v>0</v>
      </c>
      <c r="CR121" s="37">
        <f t="shared" ca="1" si="58"/>
        <v>0</v>
      </c>
      <c r="CS121" s="37">
        <f t="shared" ca="1" si="58"/>
        <v>0</v>
      </c>
      <c r="CT121" s="37">
        <f t="shared" ca="1" si="58"/>
        <v>0</v>
      </c>
      <c r="CU121" s="37">
        <f t="shared" ca="1" si="58"/>
        <v>0</v>
      </c>
      <c r="CV121" s="37">
        <f t="shared" ca="1" si="58"/>
        <v>0</v>
      </c>
      <c r="CW121" s="37">
        <f t="shared" ca="1" si="58"/>
        <v>0</v>
      </c>
      <c r="CX121" s="37">
        <f t="shared" ca="1" si="58"/>
        <v>0</v>
      </c>
      <c r="CY121" s="37">
        <f t="shared" ca="1" si="58"/>
        <v>0</v>
      </c>
      <c r="CZ121" s="37">
        <f t="shared" ca="1" si="58"/>
        <v>0</v>
      </c>
      <c r="DA121" s="37">
        <f t="shared" ca="1" si="58"/>
        <v>0</v>
      </c>
      <c r="DB121" s="37">
        <f t="shared" ca="1" si="58"/>
        <v>0</v>
      </c>
      <c r="DC121" s="37">
        <f t="shared" ca="1" si="58"/>
        <v>0</v>
      </c>
      <c r="DD121" s="37">
        <f t="shared" ca="1" si="58"/>
        <v>0</v>
      </c>
      <c r="DE121" s="37">
        <f t="shared" ca="1" si="58"/>
        <v>0</v>
      </c>
    </row>
    <row r="122" spans="3:109" x14ac:dyDescent="0.15">
      <c r="C122" s="23"/>
      <c r="D122" s="5"/>
      <c r="J122" s="37"/>
    </row>
    <row r="123" spans="3:109" s="70" customFormat="1" x14ac:dyDescent="0.15">
      <c r="C123" s="73" t="s">
        <v>355</v>
      </c>
      <c r="D123" s="88" t="s">
        <v>0</v>
      </c>
      <c r="J123" s="40">
        <f ca="1">J117+J119+J120</f>
        <v>1552697806.3504634</v>
      </c>
      <c r="K123" s="40">
        <f t="shared" ref="K123:AP123" ca="1" si="59">J123+K115+K119+K120</f>
        <v>1288214080.0178604</v>
      </c>
      <c r="L123" s="40">
        <f t="shared" ca="1" si="59"/>
        <v>575943069.90217233</v>
      </c>
      <c r="M123" s="40">
        <f t="shared" ca="1" si="59"/>
        <v>148282915.08359212</v>
      </c>
      <c r="N123" s="40">
        <f t="shared" ca="1" si="59"/>
        <v>886642834.47683263</v>
      </c>
      <c r="O123" s="40">
        <f t="shared" ca="1" si="59"/>
        <v>1738540834.0588853</v>
      </c>
      <c r="P123" s="40">
        <f t="shared" ca="1" si="59"/>
        <v>2650337201.3308644</v>
      </c>
      <c r="Q123" s="40">
        <f t="shared" ca="1" si="59"/>
        <v>3595145919.5854068</v>
      </c>
      <c r="R123" s="40">
        <f t="shared" ca="1" si="59"/>
        <v>4437571327.2095881</v>
      </c>
      <c r="S123" s="40">
        <f t="shared" ca="1" si="59"/>
        <v>4919935829.0815735</v>
      </c>
      <c r="T123" s="40">
        <f t="shared" ca="1" si="59"/>
        <v>5442745739.0633478</v>
      </c>
      <c r="U123" s="40">
        <f t="shared" ca="1" si="59"/>
        <v>6019935482.4151058</v>
      </c>
      <c r="V123" s="40">
        <f t="shared" ca="1" si="59"/>
        <v>6485967361.4437647</v>
      </c>
      <c r="W123" s="40">
        <f t="shared" ca="1" si="59"/>
        <v>6970706380.0913239</v>
      </c>
      <c r="X123" s="40">
        <f t="shared" ca="1" si="59"/>
        <v>7132882849.2280092</v>
      </c>
      <c r="Y123" s="40">
        <f t="shared" ca="1" si="59"/>
        <v>7085659849.2280092</v>
      </c>
      <c r="Z123" s="40">
        <f t="shared" ca="1" si="59"/>
        <v>7085659849.2280092</v>
      </c>
      <c r="AA123" s="40">
        <f t="shared" ca="1" si="59"/>
        <v>7085659849.2280092</v>
      </c>
      <c r="AB123" s="40">
        <f t="shared" ca="1" si="59"/>
        <v>7085659849.2280092</v>
      </c>
      <c r="AC123" s="40">
        <f t="shared" ca="1" si="59"/>
        <v>7085659849.2280092</v>
      </c>
      <c r="AD123" s="40">
        <f t="shared" ca="1" si="59"/>
        <v>7085659849.2280092</v>
      </c>
      <c r="AE123" s="40">
        <f t="shared" ca="1" si="59"/>
        <v>7085659849.2280092</v>
      </c>
      <c r="AF123" s="40">
        <f t="shared" ca="1" si="59"/>
        <v>7085659849.2280092</v>
      </c>
      <c r="AG123" s="40">
        <f t="shared" ca="1" si="59"/>
        <v>7085659849.2280092</v>
      </c>
      <c r="AH123" s="40">
        <f t="shared" ca="1" si="59"/>
        <v>7085659849.2280092</v>
      </c>
      <c r="AI123" s="40">
        <f t="shared" ca="1" si="59"/>
        <v>7085659849.2280092</v>
      </c>
      <c r="AJ123" s="40">
        <f t="shared" ca="1" si="59"/>
        <v>7085659849.2280092</v>
      </c>
      <c r="AK123" s="40">
        <f t="shared" ca="1" si="59"/>
        <v>7085659849.2280092</v>
      </c>
      <c r="AL123" s="40">
        <f t="shared" ca="1" si="59"/>
        <v>7085659849.2280092</v>
      </c>
      <c r="AM123" s="40">
        <f t="shared" ca="1" si="59"/>
        <v>7085659849.2280092</v>
      </c>
      <c r="AN123" s="40">
        <f t="shared" ca="1" si="59"/>
        <v>7085659849.2280092</v>
      </c>
      <c r="AO123" s="40">
        <f t="shared" ca="1" si="59"/>
        <v>7085659849.2280092</v>
      </c>
      <c r="AP123" s="40">
        <f t="shared" ca="1" si="59"/>
        <v>7085659849.2280092</v>
      </c>
      <c r="AQ123" s="40">
        <f t="shared" ref="AQ123:BV123" ca="1" si="60">AP123+AQ115+AQ119+AQ120</f>
        <v>7085659849.2280092</v>
      </c>
      <c r="AR123" s="40">
        <f t="shared" ca="1" si="60"/>
        <v>7085659849.2280092</v>
      </c>
      <c r="AS123" s="40">
        <f t="shared" ca="1" si="60"/>
        <v>7085659849.2280092</v>
      </c>
      <c r="AT123" s="40">
        <f t="shared" ca="1" si="60"/>
        <v>7085659849.2280092</v>
      </c>
      <c r="AU123" s="40">
        <f t="shared" ca="1" si="60"/>
        <v>7085659849.2280092</v>
      </c>
      <c r="AV123" s="40">
        <f t="shared" ca="1" si="60"/>
        <v>7085659849.2280092</v>
      </c>
      <c r="AW123" s="40">
        <f t="shared" ca="1" si="60"/>
        <v>7085659849.2280092</v>
      </c>
      <c r="AX123" s="40">
        <f t="shared" ca="1" si="60"/>
        <v>7085659849.2280092</v>
      </c>
      <c r="AY123" s="40">
        <f t="shared" ca="1" si="60"/>
        <v>7085659849.2280092</v>
      </c>
      <c r="AZ123" s="40">
        <f t="shared" ca="1" si="60"/>
        <v>7085659849.2280092</v>
      </c>
      <c r="BA123" s="40">
        <f t="shared" ca="1" si="60"/>
        <v>7085659849.2280092</v>
      </c>
      <c r="BB123" s="40">
        <f t="shared" ca="1" si="60"/>
        <v>7085659849.2280092</v>
      </c>
      <c r="BC123" s="40">
        <f t="shared" ca="1" si="60"/>
        <v>7085659849.2280092</v>
      </c>
      <c r="BD123" s="40">
        <f t="shared" ca="1" si="60"/>
        <v>7085659849.2280092</v>
      </c>
      <c r="BE123" s="40">
        <f t="shared" ca="1" si="60"/>
        <v>7085659849.2280092</v>
      </c>
      <c r="BF123" s="40">
        <f t="shared" ca="1" si="60"/>
        <v>7085659849.2280092</v>
      </c>
      <c r="BG123" s="40">
        <f t="shared" ca="1" si="60"/>
        <v>7085659849.2280092</v>
      </c>
      <c r="BH123" s="40">
        <f t="shared" ca="1" si="60"/>
        <v>7085659849.2280092</v>
      </c>
      <c r="BI123" s="40">
        <f t="shared" ca="1" si="60"/>
        <v>7085659849.2280092</v>
      </c>
      <c r="BJ123" s="40">
        <f t="shared" ca="1" si="60"/>
        <v>7085659849.2280092</v>
      </c>
      <c r="BK123" s="40">
        <f t="shared" ca="1" si="60"/>
        <v>7085659849.2280092</v>
      </c>
      <c r="BL123" s="40">
        <f t="shared" ca="1" si="60"/>
        <v>7085659849.2280092</v>
      </c>
      <c r="BM123" s="40">
        <f t="shared" ca="1" si="60"/>
        <v>7085659849.2280092</v>
      </c>
      <c r="BN123" s="40">
        <f t="shared" ca="1" si="60"/>
        <v>7085659849.2280092</v>
      </c>
      <c r="BO123" s="40">
        <f t="shared" ca="1" si="60"/>
        <v>7085659849.2280092</v>
      </c>
      <c r="BP123" s="40">
        <f t="shared" ca="1" si="60"/>
        <v>7085659849.2280092</v>
      </c>
      <c r="BQ123" s="40">
        <f t="shared" ca="1" si="60"/>
        <v>7085659849.2280092</v>
      </c>
      <c r="BR123" s="40">
        <f t="shared" ca="1" si="60"/>
        <v>7085659849.2280092</v>
      </c>
      <c r="BS123" s="40">
        <f t="shared" ca="1" si="60"/>
        <v>7085659849.2280092</v>
      </c>
      <c r="BT123" s="40">
        <f t="shared" ca="1" si="60"/>
        <v>7085659849.2280092</v>
      </c>
      <c r="BU123" s="40">
        <f t="shared" ca="1" si="60"/>
        <v>7085659849.2280092</v>
      </c>
      <c r="BV123" s="40">
        <f t="shared" ca="1" si="60"/>
        <v>7085659849.2280092</v>
      </c>
      <c r="BW123" s="40">
        <f t="shared" ref="BW123:DE123" ca="1" si="61">BV123+BW115+BW119+BW120</f>
        <v>7085659849.2280092</v>
      </c>
      <c r="BX123" s="40">
        <f t="shared" ca="1" si="61"/>
        <v>7085659849.2280092</v>
      </c>
      <c r="BY123" s="40">
        <f t="shared" ca="1" si="61"/>
        <v>7085659849.2280092</v>
      </c>
      <c r="BZ123" s="40">
        <f t="shared" ca="1" si="61"/>
        <v>7085659849.2280092</v>
      </c>
      <c r="CA123" s="40">
        <f t="shared" ca="1" si="61"/>
        <v>7085659849.2280092</v>
      </c>
      <c r="CB123" s="40">
        <f t="shared" ca="1" si="61"/>
        <v>7085659849.2280092</v>
      </c>
      <c r="CC123" s="40">
        <f t="shared" ca="1" si="61"/>
        <v>7085659849.2280092</v>
      </c>
      <c r="CD123" s="40">
        <f t="shared" ca="1" si="61"/>
        <v>7085659849.2280092</v>
      </c>
      <c r="CE123" s="40">
        <f t="shared" ca="1" si="61"/>
        <v>7085659849.2280092</v>
      </c>
      <c r="CF123" s="40">
        <f t="shared" ca="1" si="61"/>
        <v>7085659849.2280092</v>
      </c>
      <c r="CG123" s="40">
        <f t="shared" ca="1" si="61"/>
        <v>7085659849.2280092</v>
      </c>
      <c r="CH123" s="40">
        <f t="shared" ca="1" si="61"/>
        <v>7085659849.2280092</v>
      </c>
      <c r="CI123" s="40">
        <f t="shared" ca="1" si="61"/>
        <v>7085659849.2280092</v>
      </c>
      <c r="CJ123" s="40">
        <f t="shared" ca="1" si="61"/>
        <v>7085659849.2280092</v>
      </c>
      <c r="CK123" s="40">
        <f t="shared" ca="1" si="61"/>
        <v>7085659849.2280092</v>
      </c>
      <c r="CL123" s="40">
        <f t="shared" ca="1" si="61"/>
        <v>7085659849.2280092</v>
      </c>
      <c r="CM123" s="40">
        <f t="shared" ca="1" si="61"/>
        <v>7085659849.2280092</v>
      </c>
      <c r="CN123" s="40">
        <f t="shared" ca="1" si="61"/>
        <v>7085659849.2280092</v>
      </c>
      <c r="CO123" s="40">
        <f t="shared" ca="1" si="61"/>
        <v>7085659849.2280092</v>
      </c>
      <c r="CP123" s="40">
        <f t="shared" ca="1" si="61"/>
        <v>7085659849.2280092</v>
      </c>
      <c r="CQ123" s="40">
        <f t="shared" ca="1" si="61"/>
        <v>7085659849.2280092</v>
      </c>
      <c r="CR123" s="40">
        <f t="shared" ca="1" si="61"/>
        <v>7085659849.2280092</v>
      </c>
      <c r="CS123" s="40">
        <f t="shared" ca="1" si="61"/>
        <v>7085659849.2280092</v>
      </c>
      <c r="CT123" s="40">
        <f t="shared" ca="1" si="61"/>
        <v>7085659849.2280092</v>
      </c>
      <c r="CU123" s="40">
        <f t="shared" ca="1" si="61"/>
        <v>7085659849.2280092</v>
      </c>
      <c r="CV123" s="40">
        <f t="shared" ca="1" si="61"/>
        <v>7085659849.2280092</v>
      </c>
      <c r="CW123" s="40">
        <f t="shared" ca="1" si="61"/>
        <v>7085659849.2280092</v>
      </c>
      <c r="CX123" s="40">
        <f t="shared" ca="1" si="61"/>
        <v>7085659849.2280092</v>
      </c>
      <c r="CY123" s="40">
        <f t="shared" ca="1" si="61"/>
        <v>7085659849.2280092</v>
      </c>
      <c r="CZ123" s="40">
        <f t="shared" ca="1" si="61"/>
        <v>7085659849.2280092</v>
      </c>
      <c r="DA123" s="40">
        <f t="shared" ca="1" si="61"/>
        <v>7085659849.2280092</v>
      </c>
      <c r="DB123" s="40">
        <f t="shared" ca="1" si="61"/>
        <v>7085659849.2280092</v>
      </c>
      <c r="DC123" s="40">
        <f t="shared" ca="1" si="61"/>
        <v>7085659849.2280092</v>
      </c>
      <c r="DD123" s="40">
        <f t="shared" ca="1" si="61"/>
        <v>7085659849.2280092</v>
      </c>
      <c r="DE123" s="40">
        <f t="shared" ca="1" si="61"/>
        <v>7085659849.2280092</v>
      </c>
    </row>
    <row r="124" spans="3:109" x14ac:dyDescent="0.15">
      <c r="D124" s="5"/>
    </row>
    <row r="125" spans="3:109" ht="14" x14ac:dyDescent="0.15">
      <c r="C125" s="2" t="s">
        <v>277</v>
      </c>
      <c r="D125" s="5"/>
      <c r="U125" s="14"/>
    </row>
    <row r="126" spans="3:109" ht="14" x14ac:dyDescent="0.15">
      <c r="C126" s="2"/>
      <c r="D126" s="5"/>
      <c r="U126" s="14"/>
    </row>
    <row r="127" spans="3:109" ht="14" x14ac:dyDescent="0.15">
      <c r="C127" s="1" t="s">
        <v>358</v>
      </c>
    </row>
    <row r="128" spans="3:109" ht="14" x14ac:dyDescent="0.15">
      <c r="C128" s="1"/>
    </row>
    <row r="129" spans="3:109" x14ac:dyDescent="0.15">
      <c r="C129" s="23" t="s">
        <v>260</v>
      </c>
      <c r="D129" s="5" t="s">
        <v>18</v>
      </c>
      <c r="E129" s="66">
        <v>0.08</v>
      </c>
    </row>
    <row r="131" spans="3:109" x14ac:dyDescent="0.15">
      <c r="C131" s="23" t="s">
        <v>261</v>
      </c>
      <c r="D131" s="5" t="s">
        <v>0</v>
      </c>
      <c r="J131" s="59">
        <f ca="1">NPV($E$129,K115:$DE$115)</f>
        <v>2643117715.3858747</v>
      </c>
      <c r="K131" s="59">
        <f ca="1">NPV($E$129,L115:$DE$115)</f>
        <v>3119050858.949348</v>
      </c>
      <c r="L131" s="59">
        <f ca="1">NPV($E$129,M115:$DE$115)</f>
        <v>4080845937.7809839</v>
      </c>
      <c r="M131" s="59">
        <f ca="1">NPV($E$129,N115:$DE$115)</f>
        <v>4834973767.6220436</v>
      </c>
      <c r="N131" s="59">
        <f ca="1">NPV($E$129,O115:$DE$115)</f>
        <v>4483411749.638567</v>
      </c>
      <c r="O131" s="59">
        <f ca="1">NPV($E$129,P115:$DE$115)</f>
        <v>3990186690.0275998</v>
      </c>
      <c r="P131" s="59">
        <f ca="1">NPV($E$129,Q115:$DE$115)</f>
        <v>3397605257.957828</v>
      </c>
      <c r="Q131" s="59">
        <f ca="1">NPV($E$129,R115:$DE$115)</f>
        <v>2724604960.3399124</v>
      </c>
      <c r="R131" s="59">
        <f ca="1">NPV($E$129,S115:$DE$115)</f>
        <v>2100147949.5429242</v>
      </c>
      <c r="S131" s="59">
        <f ca="1">NPV($E$129,T115:$DE$115)</f>
        <v>1785795283.6343727</v>
      </c>
      <c r="T131" s="59">
        <f ca="1">NPV($E$129,U115:$DE$115)</f>
        <v>1405848996.343348</v>
      </c>
      <c r="U131" s="59">
        <f ca="1">NPV($E$129,V115:$DE$115)</f>
        <v>941127172.69905865</v>
      </c>
      <c r="V131" s="59">
        <f ca="1">NPV($E$129,W115:$DE$115)</f>
        <v>550385467.48632479</v>
      </c>
      <c r="W131" s="59">
        <f ca="1">NPV($E$129,X115:$DE$115)</f>
        <v>109677286.23767163</v>
      </c>
      <c r="X131" s="59">
        <f ca="1">NPV($E$129,Y115:$DE$115)</f>
        <v>-43725000</v>
      </c>
      <c r="Y131" s="59">
        <f ca="1">NPV($E$129,Z115:$DE$115)</f>
        <v>0</v>
      </c>
      <c r="Z131" s="59">
        <f ca="1">NPV($E$129,AA115:$DE$115)</f>
        <v>0</v>
      </c>
      <c r="AA131" s="59">
        <f ca="1">NPV($E$129,AB115:$DE$115)</f>
        <v>0</v>
      </c>
      <c r="AB131" s="59">
        <f ca="1">NPV($E$129,AC115:$DE$115)</f>
        <v>0</v>
      </c>
      <c r="AC131" s="59">
        <f ca="1">NPV($E$129,AD115:$DE$115)</f>
        <v>0</v>
      </c>
      <c r="AD131" s="59">
        <f ca="1">NPV($E$129,AE115:$DE$115)</f>
        <v>0</v>
      </c>
      <c r="AE131" s="59">
        <f ca="1">NPV($E$129,AF115:$DE$115)</f>
        <v>0</v>
      </c>
      <c r="AF131" s="59">
        <f ca="1">NPV($E$129,AG115:$DE$115)</f>
        <v>0</v>
      </c>
      <c r="AG131" s="59">
        <f ca="1">NPV($E$129,AH115:$DE$115)</f>
        <v>0</v>
      </c>
      <c r="AH131" s="59">
        <f ca="1">NPV($E$129,AI115:$DE$115)</f>
        <v>0</v>
      </c>
      <c r="AI131" s="59">
        <f ca="1">NPV($E$129,AJ115:$DE$115)</f>
        <v>0</v>
      </c>
      <c r="AJ131" s="59">
        <f ca="1">NPV($E$129,AK115:$DE$115)</f>
        <v>0</v>
      </c>
      <c r="AK131" s="59">
        <f ca="1">NPV($E$129,AL115:$DE$115)</f>
        <v>0</v>
      </c>
      <c r="AL131" s="59">
        <f ca="1">NPV($E$129,AM115:$DE$115)</f>
        <v>0</v>
      </c>
      <c r="AM131" s="59">
        <f ca="1">NPV($E$129,AN115:$DE$115)</f>
        <v>0</v>
      </c>
      <c r="AN131" s="59">
        <f ca="1">NPV($E$129,AO115:$DE$115)</f>
        <v>0</v>
      </c>
      <c r="AO131" s="59">
        <f ca="1">NPV($E$129,AP115:$DE$115)</f>
        <v>0</v>
      </c>
      <c r="AP131" s="59">
        <f ca="1">NPV($E$129,AQ115:$DE$115)</f>
        <v>0</v>
      </c>
      <c r="AQ131" s="59">
        <f ca="1">NPV($E$129,AR115:$DE$115)</f>
        <v>0</v>
      </c>
      <c r="AR131" s="59">
        <f ca="1">NPV($E$129,AS115:$DE$115)</f>
        <v>0</v>
      </c>
      <c r="AS131" s="59">
        <f ca="1">NPV($E$129,AT115:$DE$115)</f>
        <v>0</v>
      </c>
      <c r="AT131" s="59">
        <f ca="1">NPV($E$129,AU115:$DE$115)</f>
        <v>0</v>
      </c>
      <c r="AU131" s="59">
        <f ca="1">NPV($E$129,AV115:$DE$115)</f>
        <v>0</v>
      </c>
      <c r="AV131" s="59">
        <f ca="1">NPV($E$129,AW115:$DE$115)</f>
        <v>0</v>
      </c>
      <c r="AW131" s="59">
        <f ca="1">NPV($E$129,AX115:$DE$115)</f>
        <v>0</v>
      </c>
      <c r="AX131" s="59">
        <f ca="1">NPV($E$129,AY115:$DE$115)</f>
        <v>0</v>
      </c>
      <c r="AY131" s="59">
        <f ca="1">NPV($E$129,AZ115:$DE$115)</f>
        <v>0</v>
      </c>
      <c r="AZ131" s="59">
        <f ca="1">NPV($E$129,BA115:$DE$115)</f>
        <v>0</v>
      </c>
      <c r="BA131" s="59">
        <f ca="1">NPV($E$129,BB115:$DE$115)</f>
        <v>0</v>
      </c>
      <c r="BB131" s="59">
        <f ca="1">NPV($E$129,BC115:$DE$115)</f>
        <v>0</v>
      </c>
      <c r="BC131" s="59">
        <f ca="1">NPV($E$129,BD115:$DE$115)</f>
        <v>0</v>
      </c>
      <c r="BD131" s="59">
        <f ca="1">NPV($E$129,BE115:$DE$115)</f>
        <v>0</v>
      </c>
      <c r="BE131" s="59">
        <f ca="1">NPV($E$129,BF115:$DE$115)</f>
        <v>0</v>
      </c>
      <c r="BF131" s="59">
        <f ca="1">NPV($E$129,BG115:$DE$115)</f>
        <v>0</v>
      </c>
      <c r="BG131" s="59">
        <f ca="1">NPV($E$129,BH115:$DE$115)</f>
        <v>0</v>
      </c>
      <c r="BH131" s="59">
        <f ca="1">NPV($E$129,BI115:$DE$115)</f>
        <v>0</v>
      </c>
      <c r="BI131" s="59">
        <f ca="1">NPV($E$129,BJ115:$DE$115)</f>
        <v>0</v>
      </c>
      <c r="BJ131" s="59">
        <f ca="1">NPV($E$129,BK115:$DE$115)</f>
        <v>0</v>
      </c>
      <c r="BK131" s="59">
        <f ca="1">NPV($E$129,BL115:$DE$115)</f>
        <v>0</v>
      </c>
      <c r="BL131" s="59">
        <f ca="1">NPV($E$129,BM115:$DE$115)</f>
        <v>0</v>
      </c>
      <c r="BM131" s="59">
        <f ca="1">NPV($E$129,BN115:$DE$115)</f>
        <v>0</v>
      </c>
      <c r="BN131" s="59">
        <f ca="1">NPV($E$129,BO115:$DE$115)</f>
        <v>0</v>
      </c>
      <c r="BO131" s="59">
        <f ca="1">NPV($E$129,BP115:$DE$115)</f>
        <v>0</v>
      </c>
      <c r="BP131" s="59">
        <f ca="1">NPV($E$129,BQ115:$DE$115)</f>
        <v>0</v>
      </c>
      <c r="BQ131" s="59">
        <f ca="1">NPV($E$129,BR115:$DE$115)</f>
        <v>0</v>
      </c>
      <c r="BR131" s="59">
        <f ca="1">NPV($E$129,BS115:$DE$115)</f>
        <v>0</v>
      </c>
      <c r="BS131" s="59">
        <f ca="1">NPV($E$129,BT115:$DE$115)</f>
        <v>0</v>
      </c>
      <c r="BT131" s="59">
        <f ca="1">NPV($E$129,BU115:$DE$115)</f>
        <v>0</v>
      </c>
      <c r="BU131" s="59">
        <f ca="1">NPV($E$129,BV115:$DE$115)</f>
        <v>0</v>
      </c>
      <c r="BV131" s="59">
        <f ca="1">NPV($E$129,BW115:$DE$115)</f>
        <v>0</v>
      </c>
      <c r="BW131" s="59">
        <f ca="1">NPV($E$129,BX115:$DE$115)</f>
        <v>0</v>
      </c>
      <c r="BX131" s="59">
        <f ca="1">NPV($E$129,BY115:$DE$115)</f>
        <v>0</v>
      </c>
      <c r="BY131" s="59">
        <f ca="1">NPV($E$129,BZ115:$DE$115)</f>
        <v>0</v>
      </c>
      <c r="BZ131" s="59">
        <f ca="1">NPV($E$129,CA115:$DE$115)</f>
        <v>0</v>
      </c>
      <c r="CA131" s="59">
        <f ca="1">NPV($E$129,CB115:$DE$115)</f>
        <v>0</v>
      </c>
      <c r="CB131" s="59">
        <f ca="1">NPV($E$129,CC115:$DE$115)</f>
        <v>0</v>
      </c>
      <c r="CC131" s="59">
        <f ca="1">NPV($E$129,CD115:$DE$115)</f>
        <v>0</v>
      </c>
      <c r="CD131" s="59">
        <f ca="1">NPV($E$129,CE115:$DE$115)</f>
        <v>0</v>
      </c>
      <c r="CE131" s="59">
        <f ca="1">NPV($E$129,CF115:$DE$115)</f>
        <v>0</v>
      </c>
      <c r="CF131" s="59">
        <f ca="1">NPV($E$129,CG115:$DE$115)</f>
        <v>0</v>
      </c>
      <c r="CG131" s="59">
        <f ca="1">NPV($E$129,CH115:$DE$115)</f>
        <v>0</v>
      </c>
      <c r="CH131" s="59">
        <f ca="1">NPV($E$129,CI115:$DE$115)</f>
        <v>0</v>
      </c>
      <c r="CI131" s="59">
        <f ca="1">NPV($E$129,CJ115:$DE$115)</f>
        <v>0</v>
      </c>
      <c r="CJ131" s="59">
        <f ca="1">NPV($E$129,CK115:$DE$115)</f>
        <v>0</v>
      </c>
      <c r="CK131" s="59">
        <f ca="1">NPV($E$129,CL115:$DE$115)</f>
        <v>0</v>
      </c>
      <c r="CL131" s="59">
        <f ca="1">NPV($E$129,CM115:$DE$115)</f>
        <v>0</v>
      </c>
      <c r="CM131" s="59">
        <f ca="1">NPV($E$129,CN115:$DE$115)</f>
        <v>0</v>
      </c>
      <c r="CN131" s="59">
        <f ca="1">NPV($E$129,CO115:$DE$115)</f>
        <v>0</v>
      </c>
      <c r="CO131" s="59">
        <f ca="1">NPV($E$129,CP115:$DE$115)</f>
        <v>0</v>
      </c>
      <c r="CP131" s="59">
        <f ca="1">NPV($E$129,CQ115:$DE$115)</f>
        <v>0</v>
      </c>
      <c r="CQ131" s="59">
        <f ca="1">NPV($E$129,CR115:$DE$115)</f>
        <v>0</v>
      </c>
      <c r="CR131" s="59">
        <f ca="1">NPV($E$129,CS115:$DE$115)</f>
        <v>0</v>
      </c>
      <c r="CS131" s="59">
        <f ca="1">NPV($E$129,CT115:$DE$115)</f>
        <v>0</v>
      </c>
      <c r="CT131" s="59">
        <f ca="1">NPV($E$129,CU115:$DE$115)</f>
        <v>0</v>
      </c>
      <c r="CU131" s="59">
        <f ca="1">NPV($E$129,CV115:$DE$115)</f>
        <v>0</v>
      </c>
      <c r="CV131" s="59">
        <f ca="1">NPV($E$129,CW115:$DE$115)</f>
        <v>0</v>
      </c>
      <c r="CW131" s="59">
        <f ca="1">NPV($E$129,CX115:$DE$115)</f>
        <v>0</v>
      </c>
      <c r="CX131" s="59">
        <f ca="1">NPV($E$129,CY115:$DE$115)</f>
        <v>0</v>
      </c>
      <c r="CY131" s="59">
        <f ca="1">NPV($E$129,CZ115:$DE$115)</f>
        <v>0</v>
      </c>
      <c r="CZ131" s="59">
        <f ca="1">NPV($E$129,DA115:$DE$115)</f>
        <v>0</v>
      </c>
      <c r="DA131" s="59">
        <f ca="1">NPV($E$129,DB115:$DE$115)</f>
        <v>0</v>
      </c>
      <c r="DB131" s="59">
        <f ca="1">NPV($E$129,DC115:$DE$115)</f>
        <v>0</v>
      </c>
      <c r="DC131" s="59">
        <f ca="1">NPV($E$129,DD115:$DE$115)</f>
        <v>0</v>
      </c>
      <c r="DD131" s="59">
        <f ca="1">NPV($E$129,DE115:$DE$115)</f>
        <v>0</v>
      </c>
      <c r="DE131" s="59">
        <f ca="1">NPV($E$129,$DE115:DF$115)</f>
        <v>0</v>
      </c>
    </row>
    <row r="132" spans="3:109" x14ac:dyDescent="0.15">
      <c r="C132" s="23" t="s">
        <v>262</v>
      </c>
      <c r="D132" s="5" t="s">
        <v>0</v>
      </c>
      <c r="J132" s="37">
        <f t="shared" ref="J132:AO132" ca="1" si="62">J117</f>
        <v>1552697806.3504634</v>
      </c>
      <c r="K132" s="37">
        <f t="shared" ca="1" si="62"/>
        <v>1288214080.0178604</v>
      </c>
      <c r="L132" s="37">
        <f t="shared" ca="1" si="62"/>
        <v>575943069.90217233</v>
      </c>
      <c r="M132" s="37">
        <f t="shared" ca="1" si="62"/>
        <v>148282915.08359212</v>
      </c>
      <c r="N132" s="37">
        <f t="shared" ca="1" si="62"/>
        <v>886642834.47683263</v>
      </c>
      <c r="O132" s="37">
        <f t="shared" ca="1" si="62"/>
        <v>1738540834.0588853</v>
      </c>
      <c r="P132" s="37">
        <f t="shared" ca="1" si="62"/>
        <v>2650337201.3308644</v>
      </c>
      <c r="Q132" s="37">
        <f t="shared" ca="1" si="62"/>
        <v>3595145919.5854068</v>
      </c>
      <c r="R132" s="37">
        <f t="shared" ca="1" si="62"/>
        <v>4437571327.2095881</v>
      </c>
      <c r="S132" s="37">
        <f t="shared" ca="1" si="62"/>
        <v>4919935829.0815735</v>
      </c>
      <c r="T132" s="37">
        <f t="shared" ca="1" si="62"/>
        <v>5442745739.0633478</v>
      </c>
      <c r="U132" s="37">
        <f t="shared" ca="1" si="62"/>
        <v>6019935482.4151058</v>
      </c>
      <c r="V132" s="37">
        <f t="shared" ca="1" si="62"/>
        <v>6485967361.4437647</v>
      </c>
      <c r="W132" s="37">
        <f t="shared" ca="1" si="62"/>
        <v>6970706380.0913239</v>
      </c>
      <c r="X132" s="37">
        <f t="shared" ca="1" si="62"/>
        <v>7132882849.2280092</v>
      </c>
      <c r="Y132" s="37">
        <f t="shared" ca="1" si="62"/>
        <v>7085659849.2280092</v>
      </c>
      <c r="Z132" s="37">
        <f t="shared" ca="1" si="62"/>
        <v>7085659849.2280092</v>
      </c>
      <c r="AA132" s="37">
        <f t="shared" ca="1" si="62"/>
        <v>7085659849.2280092</v>
      </c>
      <c r="AB132" s="37">
        <f t="shared" ca="1" si="62"/>
        <v>7085659849.2280092</v>
      </c>
      <c r="AC132" s="37">
        <f t="shared" ca="1" si="62"/>
        <v>7085659849.2280092</v>
      </c>
      <c r="AD132" s="37">
        <f t="shared" ca="1" si="62"/>
        <v>7085659849.2280092</v>
      </c>
      <c r="AE132" s="37">
        <f t="shared" ca="1" si="62"/>
        <v>7085659849.2280092</v>
      </c>
      <c r="AF132" s="37">
        <f t="shared" ca="1" si="62"/>
        <v>7085659849.2280092</v>
      </c>
      <c r="AG132" s="37">
        <f t="shared" ca="1" si="62"/>
        <v>7085659849.2280092</v>
      </c>
      <c r="AH132" s="37">
        <f t="shared" ca="1" si="62"/>
        <v>7085659849.2280092</v>
      </c>
      <c r="AI132" s="37">
        <f t="shared" ca="1" si="62"/>
        <v>7085659849.2280092</v>
      </c>
      <c r="AJ132" s="37">
        <f t="shared" ca="1" si="62"/>
        <v>7085659849.2280092</v>
      </c>
      <c r="AK132" s="37">
        <f t="shared" ca="1" si="62"/>
        <v>7085659849.2280092</v>
      </c>
      <c r="AL132" s="37">
        <f t="shared" ca="1" si="62"/>
        <v>7085659849.2280092</v>
      </c>
      <c r="AM132" s="37">
        <f t="shared" ca="1" si="62"/>
        <v>7085659849.2280092</v>
      </c>
      <c r="AN132" s="37">
        <f t="shared" ca="1" si="62"/>
        <v>7085659849.2280092</v>
      </c>
      <c r="AO132" s="37">
        <f t="shared" ca="1" si="62"/>
        <v>7085659849.2280092</v>
      </c>
      <c r="AP132" s="37">
        <f t="shared" ref="AP132:BU132" ca="1" si="63">AP117</f>
        <v>7085659849.2280092</v>
      </c>
      <c r="AQ132" s="37">
        <f t="shared" ca="1" si="63"/>
        <v>7085659849.2280092</v>
      </c>
      <c r="AR132" s="37">
        <f t="shared" ca="1" si="63"/>
        <v>7085659849.2280092</v>
      </c>
      <c r="AS132" s="37">
        <f t="shared" ca="1" si="63"/>
        <v>7085659849.2280092</v>
      </c>
      <c r="AT132" s="37">
        <f t="shared" ca="1" si="63"/>
        <v>7085659849.2280092</v>
      </c>
      <c r="AU132" s="37">
        <f t="shared" ca="1" si="63"/>
        <v>7085659849.2280092</v>
      </c>
      <c r="AV132" s="37">
        <f t="shared" ca="1" si="63"/>
        <v>7085659849.2280092</v>
      </c>
      <c r="AW132" s="37">
        <f t="shared" ca="1" si="63"/>
        <v>7085659849.2280092</v>
      </c>
      <c r="AX132" s="37">
        <f t="shared" ca="1" si="63"/>
        <v>7085659849.2280092</v>
      </c>
      <c r="AY132" s="37">
        <f t="shared" ca="1" si="63"/>
        <v>7085659849.2280092</v>
      </c>
      <c r="AZ132" s="37">
        <f t="shared" ca="1" si="63"/>
        <v>7085659849.2280092</v>
      </c>
      <c r="BA132" s="37">
        <f t="shared" ca="1" si="63"/>
        <v>7085659849.2280092</v>
      </c>
      <c r="BB132" s="37">
        <f t="shared" ca="1" si="63"/>
        <v>7085659849.2280092</v>
      </c>
      <c r="BC132" s="37">
        <f t="shared" ca="1" si="63"/>
        <v>7085659849.2280092</v>
      </c>
      <c r="BD132" s="37">
        <f t="shared" ca="1" si="63"/>
        <v>7085659849.2280092</v>
      </c>
      <c r="BE132" s="37">
        <f t="shared" ca="1" si="63"/>
        <v>7085659849.2280092</v>
      </c>
      <c r="BF132" s="37">
        <f t="shared" ca="1" si="63"/>
        <v>7085659849.2280092</v>
      </c>
      <c r="BG132" s="37">
        <f t="shared" ca="1" si="63"/>
        <v>7085659849.2280092</v>
      </c>
      <c r="BH132" s="37">
        <f t="shared" ca="1" si="63"/>
        <v>7085659849.2280092</v>
      </c>
      <c r="BI132" s="37">
        <f t="shared" ca="1" si="63"/>
        <v>7085659849.2280092</v>
      </c>
      <c r="BJ132" s="37">
        <f t="shared" ca="1" si="63"/>
        <v>7085659849.2280092</v>
      </c>
      <c r="BK132" s="37">
        <f t="shared" ca="1" si="63"/>
        <v>7085659849.2280092</v>
      </c>
      <c r="BL132" s="37">
        <f t="shared" ca="1" si="63"/>
        <v>7085659849.2280092</v>
      </c>
      <c r="BM132" s="37">
        <f t="shared" ca="1" si="63"/>
        <v>7085659849.2280092</v>
      </c>
      <c r="BN132" s="37">
        <f t="shared" ca="1" si="63"/>
        <v>7085659849.2280092</v>
      </c>
      <c r="BO132" s="37">
        <f t="shared" ca="1" si="63"/>
        <v>7085659849.2280092</v>
      </c>
      <c r="BP132" s="37">
        <f t="shared" ca="1" si="63"/>
        <v>7085659849.2280092</v>
      </c>
      <c r="BQ132" s="37">
        <f t="shared" ca="1" si="63"/>
        <v>7085659849.2280092</v>
      </c>
      <c r="BR132" s="37">
        <f t="shared" ca="1" si="63"/>
        <v>7085659849.2280092</v>
      </c>
      <c r="BS132" s="37">
        <f t="shared" ca="1" si="63"/>
        <v>7085659849.2280092</v>
      </c>
      <c r="BT132" s="37">
        <f t="shared" ca="1" si="63"/>
        <v>7085659849.2280092</v>
      </c>
      <c r="BU132" s="37">
        <f t="shared" ca="1" si="63"/>
        <v>7085659849.2280092</v>
      </c>
      <c r="BV132" s="37">
        <f t="shared" ref="BV132:DE132" ca="1" si="64">BV117</f>
        <v>7085659849.2280092</v>
      </c>
      <c r="BW132" s="37">
        <f t="shared" ca="1" si="64"/>
        <v>7085659849.2280092</v>
      </c>
      <c r="BX132" s="37">
        <f t="shared" ca="1" si="64"/>
        <v>7085659849.2280092</v>
      </c>
      <c r="BY132" s="37">
        <f t="shared" ca="1" si="64"/>
        <v>7085659849.2280092</v>
      </c>
      <c r="BZ132" s="37">
        <f t="shared" ca="1" si="64"/>
        <v>7085659849.2280092</v>
      </c>
      <c r="CA132" s="37">
        <f t="shared" ca="1" si="64"/>
        <v>7085659849.2280092</v>
      </c>
      <c r="CB132" s="37">
        <f t="shared" ca="1" si="64"/>
        <v>7085659849.2280092</v>
      </c>
      <c r="CC132" s="37">
        <f t="shared" ca="1" si="64"/>
        <v>7085659849.2280092</v>
      </c>
      <c r="CD132" s="37">
        <f t="shared" ca="1" si="64"/>
        <v>7085659849.2280092</v>
      </c>
      <c r="CE132" s="37">
        <f t="shared" ca="1" si="64"/>
        <v>7085659849.2280092</v>
      </c>
      <c r="CF132" s="37">
        <f t="shared" ca="1" si="64"/>
        <v>7085659849.2280092</v>
      </c>
      <c r="CG132" s="37">
        <f t="shared" ca="1" si="64"/>
        <v>7085659849.2280092</v>
      </c>
      <c r="CH132" s="37">
        <f t="shared" ca="1" si="64"/>
        <v>7085659849.2280092</v>
      </c>
      <c r="CI132" s="37">
        <f t="shared" ca="1" si="64"/>
        <v>7085659849.2280092</v>
      </c>
      <c r="CJ132" s="37">
        <f t="shared" ca="1" si="64"/>
        <v>7085659849.2280092</v>
      </c>
      <c r="CK132" s="37">
        <f t="shared" ca="1" si="64"/>
        <v>7085659849.2280092</v>
      </c>
      <c r="CL132" s="37">
        <f t="shared" ca="1" si="64"/>
        <v>7085659849.2280092</v>
      </c>
      <c r="CM132" s="37">
        <f t="shared" ca="1" si="64"/>
        <v>7085659849.2280092</v>
      </c>
      <c r="CN132" s="37">
        <f t="shared" ca="1" si="64"/>
        <v>7085659849.2280092</v>
      </c>
      <c r="CO132" s="37">
        <f t="shared" ca="1" si="64"/>
        <v>7085659849.2280092</v>
      </c>
      <c r="CP132" s="37">
        <f t="shared" ca="1" si="64"/>
        <v>7085659849.2280092</v>
      </c>
      <c r="CQ132" s="37">
        <f t="shared" ca="1" si="64"/>
        <v>7085659849.2280092</v>
      </c>
      <c r="CR132" s="37">
        <f t="shared" ca="1" si="64"/>
        <v>7085659849.2280092</v>
      </c>
      <c r="CS132" s="37">
        <f t="shared" ca="1" si="64"/>
        <v>7085659849.2280092</v>
      </c>
      <c r="CT132" s="37">
        <f t="shared" ca="1" si="64"/>
        <v>7085659849.2280092</v>
      </c>
      <c r="CU132" s="37">
        <f t="shared" ca="1" si="64"/>
        <v>7085659849.2280092</v>
      </c>
      <c r="CV132" s="37">
        <f t="shared" ca="1" si="64"/>
        <v>7085659849.2280092</v>
      </c>
      <c r="CW132" s="37">
        <f t="shared" ca="1" si="64"/>
        <v>7085659849.2280092</v>
      </c>
      <c r="CX132" s="37">
        <f t="shared" ca="1" si="64"/>
        <v>7085659849.2280092</v>
      </c>
      <c r="CY132" s="37">
        <f t="shared" ca="1" si="64"/>
        <v>7085659849.2280092</v>
      </c>
      <c r="CZ132" s="37">
        <f t="shared" ca="1" si="64"/>
        <v>7085659849.2280092</v>
      </c>
      <c r="DA132" s="37">
        <f t="shared" ca="1" si="64"/>
        <v>7085659849.2280092</v>
      </c>
      <c r="DB132" s="37">
        <f t="shared" ca="1" si="64"/>
        <v>7085659849.2280092</v>
      </c>
      <c r="DC132" s="37">
        <f t="shared" ca="1" si="64"/>
        <v>7085659849.2280092</v>
      </c>
      <c r="DD132" s="37">
        <f t="shared" ca="1" si="64"/>
        <v>7085659849.2280092</v>
      </c>
      <c r="DE132" s="37">
        <f t="shared" ca="1" si="64"/>
        <v>7085659849.2280092</v>
      </c>
    </row>
    <row r="133" spans="3:109" x14ac:dyDescent="0.15">
      <c r="C133" s="23" t="s">
        <v>263</v>
      </c>
      <c r="D133" s="5" t="s">
        <v>0</v>
      </c>
      <c r="J133" s="37">
        <f t="shared" ref="J133:AO133" ca="1" si="65">SUM(J131:J132)</f>
        <v>4195815521.7363381</v>
      </c>
      <c r="K133" s="37">
        <f t="shared" ca="1" si="65"/>
        <v>4407264938.9672089</v>
      </c>
      <c r="L133" s="37">
        <f t="shared" ca="1" si="65"/>
        <v>4656789007.683156</v>
      </c>
      <c r="M133" s="37">
        <f t="shared" ca="1" si="65"/>
        <v>4983256682.705636</v>
      </c>
      <c r="N133" s="37">
        <f t="shared" ca="1" si="65"/>
        <v>5370054584.1153994</v>
      </c>
      <c r="O133" s="37">
        <f t="shared" ca="1" si="65"/>
        <v>5728727524.0864849</v>
      </c>
      <c r="P133" s="37">
        <f t="shared" ca="1" si="65"/>
        <v>6047942459.2886925</v>
      </c>
      <c r="Q133" s="37">
        <f t="shared" ca="1" si="65"/>
        <v>6319750879.9253197</v>
      </c>
      <c r="R133" s="37">
        <f t="shared" ca="1" si="65"/>
        <v>6537719276.752512</v>
      </c>
      <c r="S133" s="37">
        <f t="shared" ca="1" si="65"/>
        <v>6705731112.7159462</v>
      </c>
      <c r="T133" s="37">
        <f t="shared" ca="1" si="65"/>
        <v>6848594735.4066963</v>
      </c>
      <c r="U133" s="37">
        <f t="shared" ca="1" si="65"/>
        <v>6961062655.1141644</v>
      </c>
      <c r="V133" s="37">
        <f t="shared" ca="1" si="65"/>
        <v>7036352828.93009</v>
      </c>
      <c r="W133" s="37">
        <f t="shared" ca="1" si="65"/>
        <v>7080383666.3289957</v>
      </c>
      <c r="X133" s="37">
        <f t="shared" ca="1" si="65"/>
        <v>7089157849.2280092</v>
      </c>
      <c r="Y133" s="37">
        <f t="shared" ca="1" si="65"/>
        <v>7085659849.2280092</v>
      </c>
      <c r="Z133" s="37">
        <f t="shared" ca="1" si="65"/>
        <v>7085659849.2280092</v>
      </c>
      <c r="AA133" s="37">
        <f t="shared" ca="1" si="65"/>
        <v>7085659849.2280092</v>
      </c>
      <c r="AB133" s="37">
        <f t="shared" ca="1" si="65"/>
        <v>7085659849.2280092</v>
      </c>
      <c r="AC133" s="37">
        <f t="shared" ca="1" si="65"/>
        <v>7085659849.2280092</v>
      </c>
      <c r="AD133" s="37">
        <f t="shared" ca="1" si="65"/>
        <v>7085659849.2280092</v>
      </c>
      <c r="AE133" s="37">
        <f t="shared" ca="1" si="65"/>
        <v>7085659849.2280092</v>
      </c>
      <c r="AF133" s="37">
        <f t="shared" ca="1" si="65"/>
        <v>7085659849.2280092</v>
      </c>
      <c r="AG133" s="37">
        <f t="shared" ca="1" si="65"/>
        <v>7085659849.2280092</v>
      </c>
      <c r="AH133" s="37">
        <f t="shared" ca="1" si="65"/>
        <v>7085659849.2280092</v>
      </c>
      <c r="AI133" s="37">
        <f t="shared" ca="1" si="65"/>
        <v>7085659849.2280092</v>
      </c>
      <c r="AJ133" s="37">
        <f t="shared" ca="1" si="65"/>
        <v>7085659849.2280092</v>
      </c>
      <c r="AK133" s="37">
        <f t="shared" ca="1" si="65"/>
        <v>7085659849.2280092</v>
      </c>
      <c r="AL133" s="37">
        <f t="shared" ca="1" si="65"/>
        <v>7085659849.2280092</v>
      </c>
      <c r="AM133" s="37">
        <f t="shared" ca="1" si="65"/>
        <v>7085659849.2280092</v>
      </c>
      <c r="AN133" s="37">
        <f t="shared" ca="1" si="65"/>
        <v>7085659849.2280092</v>
      </c>
      <c r="AO133" s="37">
        <f t="shared" ca="1" si="65"/>
        <v>7085659849.2280092</v>
      </c>
      <c r="AP133" s="37">
        <f t="shared" ref="AP133:BU133" ca="1" si="66">SUM(AP131:AP132)</f>
        <v>7085659849.2280092</v>
      </c>
      <c r="AQ133" s="37">
        <f t="shared" ca="1" si="66"/>
        <v>7085659849.2280092</v>
      </c>
      <c r="AR133" s="37">
        <f t="shared" ca="1" si="66"/>
        <v>7085659849.2280092</v>
      </c>
      <c r="AS133" s="37">
        <f t="shared" ca="1" si="66"/>
        <v>7085659849.2280092</v>
      </c>
      <c r="AT133" s="37">
        <f t="shared" ca="1" si="66"/>
        <v>7085659849.2280092</v>
      </c>
      <c r="AU133" s="37">
        <f t="shared" ca="1" si="66"/>
        <v>7085659849.2280092</v>
      </c>
      <c r="AV133" s="37">
        <f t="shared" ca="1" si="66"/>
        <v>7085659849.2280092</v>
      </c>
      <c r="AW133" s="37">
        <f t="shared" ca="1" si="66"/>
        <v>7085659849.2280092</v>
      </c>
      <c r="AX133" s="37">
        <f t="shared" ca="1" si="66"/>
        <v>7085659849.2280092</v>
      </c>
      <c r="AY133" s="37">
        <f t="shared" ca="1" si="66"/>
        <v>7085659849.2280092</v>
      </c>
      <c r="AZ133" s="37">
        <f t="shared" ca="1" si="66"/>
        <v>7085659849.2280092</v>
      </c>
      <c r="BA133" s="37">
        <f t="shared" ca="1" si="66"/>
        <v>7085659849.2280092</v>
      </c>
      <c r="BB133" s="37">
        <f t="shared" ca="1" si="66"/>
        <v>7085659849.2280092</v>
      </c>
      <c r="BC133" s="37">
        <f t="shared" ca="1" si="66"/>
        <v>7085659849.2280092</v>
      </c>
      <c r="BD133" s="37">
        <f t="shared" ca="1" si="66"/>
        <v>7085659849.2280092</v>
      </c>
      <c r="BE133" s="37">
        <f t="shared" ca="1" si="66"/>
        <v>7085659849.2280092</v>
      </c>
      <c r="BF133" s="37">
        <f t="shared" ca="1" si="66"/>
        <v>7085659849.2280092</v>
      </c>
      <c r="BG133" s="37">
        <f t="shared" ca="1" si="66"/>
        <v>7085659849.2280092</v>
      </c>
      <c r="BH133" s="37">
        <f t="shared" ca="1" si="66"/>
        <v>7085659849.2280092</v>
      </c>
      <c r="BI133" s="37">
        <f t="shared" ca="1" si="66"/>
        <v>7085659849.2280092</v>
      </c>
      <c r="BJ133" s="37">
        <f t="shared" ca="1" si="66"/>
        <v>7085659849.2280092</v>
      </c>
      <c r="BK133" s="37">
        <f t="shared" ca="1" si="66"/>
        <v>7085659849.2280092</v>
      </c>
      <c r="BL133" s="37">
        <f t="shared" ca="1" si="66"/>
        <v>7085659849.2280092</v>
      </c>
      <c r="BM133" s="37">
        <f t="shared" ca="1" si="66"/>
        <v>7085659849.2280092</v>
      </c>
      <c r="BN133" s="37">
        <f t="shared" ca="1" si="66"/>
        <v>7085659849.2280092</v>
      </c>
      <c r="BO133" s="37">
        <f t="shared" ca="1" si="66"/>
        <v>7085659849.2280092</v>
      </c>
      <c r="BP133" s="37">
        <f t="shared" ca="1" si="66"/>
        <v>7085659849.2280092</v>
      </c>
      <c r="BQ133" s="37">
        <f t="shared" ca="1" si="66"/>
        <v>7085659849.2280092</v>
      </c>
      <c r="BR133" s="37">
        <f t="shared" ca="1" si="66"/>
        <v>7085659849.2280092</v>
      </c>
      <c r="BS133" s="37">
        <f t="shared" ca="1" si="66"/>
        <v>7085659849.2280092</v>
      </c>
      <c r="BT133" s="37">
        <f t="shared" ca="1" si="66"/>
        <v>7085659849.2280092</v>
      </c>
      <c r="BU133" s="37">
        <f t="shared" ca="1" si="66"/>
        <v>7085659849.2280092</v>
      </c>
      <c r="BV133" s="37">
        <f t="shared" ref="BV133:DA133" ca="1" si="67">SUM(BV131:BV132)</f>
        <v>7085659849.2280092</v>
      </c>
      <c r="BW133" s="37">
        <f t="shared" ca="1" si="67"/>
        <v>7085659849.2280092</v>
      </c>
      <c r="BX133" s="37">
        <f t="shared" ca="1" si="67"/>
        <v>7085659849.2280092</v>
      </c>
      <c r="BY133" s="37">
        <f t="shared" ca="1" si="67"/>
        <v>7085659849.2280092</v>
      </c>
      <c r="BZ133" s="37">
        <f t="shared" ca="1" si="67"/>
        <v>7085659849.2280092</v>
      </c>
      <c r="CA133" s="37">
        <f t="shared" ca="1" si="67"/>
        <v>7085659849.2280092</v>
      </c>
      <c r="CB133" s="37">
        <f t="shared" ca="1" si="67"/>
        <v>7085659849.2280092</v>
      </c>
      <c r="CC133" s="37">
        <f t="shared" ca="1" si="67"/>
        <v>7085659849.2280092</v>
      </c>
      <c r="CD133" s="37">
        <f t="shared" ca="1" si="67"/>
        <v>7085659849.2280092</v>
      </c>
      <c r="CE133" s="37">
        <f t="shared" ca="1" si="67"/>
        <v>7085659849.2280092</v>
      </c>
      <c r="CF133" s="37">
        <f t="shared" ca="1" si="67"/>
        <v>7085659849.2280092</v>
      </c>
      <c r="CG133" s="37">
        <f t="shared" ca="1" si="67"/>
        <v>7085659849.2280092</v>
      </c>
      <c r="CH133" s="37">
        <f t="shared" ca="1" si="67"/>
        <v>7085659849.2280092</v>
      </c>
      <c r="CI133" s="37">
        <f t="shared" ca="1" si="67"/>
        <v>7085659849.2280092</v>
      </c>
      <c r="CJ133" s="37">
        <f t="shared" ca="1" si="67"/>
        <v>7085659849.2280092</v>
      </c>
      <c r="CK133" s="37">
        <f t="shared" ca="1" si="67"/>
        <v>7085659849.2280092</v>
      </c>
      <c r="CL133" s="37">
        <f t="shared" ca="1" si="67"/>
        <v>7085659849.2280092</v>
      </c>
      <c r="CM133" s="37">
        <f t="shared" ca="1" si="67"/>
        <v>7085659849.2280092</v>
      </c>
      <c r="CN133" s="37">
        <f t="shared" ca="1" si="67"/>
        <v>7085659849.2280092</v>
      </c>
      <c r="CO133" s="37">
        <f t="shared" ca="1" si="67"/>
        <v>7085659849.2280092</v>
      </c>
      <c r="CP133" s="37">
        <f t="shared" ca="1" si="67"/>
        <v>7085659849.2280092</v>
      </c>
      <c r="CQ133" s="37">
        <f t="shared" ca="1" si="67"/>
        <v>7085659849.2280092</v>
      </c>
      <c r="CR133" s="37">
        <f t="shared" ca="1" si="67"/>
        <v>7085659849.2280092</v>
      </c>
      <c r="CS133" s="37">
        <f t="shared" ca="1" si="67"/>
        <v>7085659849.2280092</v>
      </c>
      <c r="CT133" s="37">
        <f t="shared" ca="1" si="67"/>
        <v>7085659849.2280092</v>
      </c>
      <c r="CU133" s="37">
        <f t="shared" ca="1" si="67"/>
        <v>7085659849.2280092</v>
      </c>
      <c r="CV133" s="37">
        <f t="shared" ca="1" si="67"/>
        <v>7085659849.2280092</v>
      </c>
      <c r="CW133" s="37">
        <f t="shared" ca="1" si="67"/>
        <v>7085659849.2280092</v>
      </c>
      <c r="CX133" s="37">
        <f t="shared" ca="1" si="67"/>
        <v>7085659849.2280092</v>
      </c>
      <c r="CY133" s="37">
        <f t="shared" ca="1" si="67"/>
        <v>7085659849.2280092</v>
      </c>
      <c r="CZ133" s="37">
        <f t="shared" ca="1" si="67"/>
        <v>7085659849.2280092</v>
      </c>
      <c r="DA133" s="37">
        <f t="shared" ca="1" si="67"/>
        <v>7085659849.2280092</v>
      </c>
      <c r="DB133" s="37">
        <f t="shared" ref="DB133:DE133" ca="1" si="68">SUM(DB131:DB132)</f>
        <v>7085659849.2280092</v>
      </c>
      <c r="DC133" s="37">
        <f t="shared" ca="1" si="68"/>
        <v>7085659849.2280092</v>
      </c>
      <c r="DD133" s="37">
        <f t="shared" ca="1" si="68"/>
        <v>7085659849.2280092</v>
      </c>
      <c r="DE133" s="37">
        <f t="shared" ca="1" si="68"/>
        <v>7085659849.2280092</v>
      </c>
    </row>
    <row r="134" spans="3:109" x14ac:dyDescent="0.15">
      <c r="D134" s="5"/>
    </row>
    <row r="135" spans="3:109" x14ac:dyDescent="0.15">
      <c r="C135" t="s">
        <v>264</v>
      </c>
      <c r="D135" s="5"/>
      <c r="J135" s="78">
        <f ca="1">$E$105+$E$95</f>
        <v>628414325.90969288</v>
      </c>
      <c r="K135" s="78">
        <f t="shared" ref="K135:AP135" ca="1" si="69">J146</f>
        <v>628414325.90969288</v>
      </c>
      <c r="L135" s="78">
        <f t="shared" ca="1" si="69"/>
        <v>628414325.90969288</v>
      </c>
      <c r="M135" s="78">
        <f t="shared" ca="1" si="69"/>
        <v>628414325.90969288</v>
      </c>
      <c r="N135" s="78">
        <f t="shared" ca="1" si="69"/>
        <v>628414325.90969288</v>
      </c>
      <c r="O135" s="78">
        <f t="shared" ca="1" si="69"/>
        <v>628414325.90969288</v>
      </c>
      <c r="P135" s="78">
        <f t="shared" ca="1" si="69"/>
        <v>628414325.90969288</v>
      </c>
      <c r="Q135" s="78">
        <f t="shared" ca="1" si="69"/>
        <v>628414325.90969288</v>
      </c>
      <c r="R135" s="78">
        <f t="shared" ca="1" si="69"/>
        <v>628414325.90969288</v>
      </c>
      <c r="S135" s="78">
        <f t="shared" ca="1" si="69"/>
        <v>628414325.90969288</v>
      </c>
      <c r="T135" s="78">
        <f t="shared" ca="1" si="69"/>
        <v>628414325.90969288</v>
      </c>
      <c r="U135" s="78">
        <f t="shared" ca="1" si="69"/>
        <v>628414325.90969288</v>
      </c>
      <c r="V135" s="78">
        <f t="shared" ca="1" si="69"/>
        <v>628414325.90969288</v>
      </c>
      <c r="W135" s="78">
        <f t="shared" ca="1" si="69"/>
        <v>628414325.90969288</v>
      </c>
      <c r="X135" s="78">
        <f t="shared" ca="1" si="69"/>
        <v>628414325.90969288</v>
      </c>
      <c r="Y135" s="78">
        <f t="shared" ca="1" si="69"/>
        <v>628414325.90969288</v>
      </c>
      <c r="Z135" s="78">
        <f t="shared" ca="1" si="69"/>
        <v>628414325.90969288</v>
      </c>
      <c r="AA135" s="78">
        <f t="shared" ca="1" si="69"/>
        <v>628414325.90969288</v>
      </c>
      <c r="AB135" s="78">
        <f t="shared" ca="1" si="69"/>
        <v>628414325.90969288</v>
      </c>
      <c r="AC135" s="78">
        <f t="shared" ca="1" si="69"/>
        <v>628414325.90969288</v>
      </c>
      <c r="AD135" s="78">
        <f t="shared" ca="1" si="69"/>
        <v>628414325.90969288</v>
      </c>
      <c r="AE135" s="78">
        <f t="shared" ca="1" si="69"/>
        <v>628414325.90969288</v>
      </c>
      <c r="AF135" s="78">
        <f t="shared" ca="1" si="69"/>
        <v>628414325.90969288</v>
      </c>
      <c r="AG135" s="78">
        <f t="shared" ca="1" si="69"/>
        <v>628414325.90969288</v>
      </c>
      <c r="AH135" s="78">
        <f t="shared" ca="1" si="69"/>
        <v>628414325.90969288</v>
      </c>
      <c r="AI135" s="78">
        <f t="shared" ca="1" si="69"/>
        <v>628414325.90969288</v>
      </c>
      <c r="AJ135" s="78">
        <f t="shared" ca="1" si="69"/>
        <v>628414325.90969288</v>
      </c>
      <c r="AK135" s="78">
        <f t="shared" ca="1" si="69"/>
        <v>628414325.90969288</v>
      </c>
      <c r="AL135" s="78">
        <f t="shared" ca="1" si="69"/>
        <v>628414325.90969288</v>
      </c>
      <c r="AM135" s="78">
        <f t="shared" ca="1" si="69"/>
        <v>628414325.90969288</v>
      </c>
      <c r="AN135" s="78">
        <f t="shared" ca="1" si="69"/>
        <v>628414325.90969288</v>
      </c>
      <c r="AO135" s="78">
        <f t="shared" ca="1" si="69"/>
        <v>628414325.90969288</v>
      </c>
      <c r="AP135" s="78">
        <f t="shared" ca="1" si="69"/>
        <v>628414325.90969288</v>
      </c>
      <c r="AQ135" s="78">
        <f t="shared" ref="AQ135:BV135" ca="1" si="70">AP146</f>
        <v>628414325.90969288</v>
      </c>
      <c r="AR135" s="78">
        <f t="shared" ca="1" si="70"/>
        <v>628414325.90969288</v>
      </c>
      <c r="AS135" s="78">
        <f t="shared" ca="1" si="70"/>
        <v>628414325.90969288</v>
      </c>
      <c r="AT135" s="78">
        <f t="shared" ca="1" si="70"/>
        <v>628414325.90969288</v>
      </c>
      <c r="AU135" s="78">
        <f t="shared" ca="1" si="70"/>
        <v>628414325.90969288</v>
      </c>
      <c r="AV135" s="78">
        <f t="shared" ca="1" si="70"/>
        <v>628414325.90969288</v>
      </c>
      <c r="AW135" s="78">
        <f t="shared" ca="1" si="70"/>
        <v>628414325.90969288</v>
      </c>
      <c r="AX135" s="78">
        <f t="shared" ca="1" si="70"/>
        <v>628414325.90969288</v>
      </c>
      <c r="AY135" s="78">
        <f t="shared" ca="1" si="70"/>
        <v>628414325.90969288</v>
      </c>
      <c r="AZ135" s="78">
        <f t="shared" ca="1" si="70"/>
        <v>628414325.90969288</v>
      </c>
      <c r="BA135" s="78">
        <f t="shared" ca="1" si="70"/>
        <v>628414325.90969288</v>
      </c>
      <c r="BB135" s="78">
        <f t="shared" ca="1" si="70"/>
        <v>628414325.90969288</v>
      </c>
      <c r="BC135" s="78">
        <f t="shared" ca="1" si="70"/>
        <v>628414325.90969288</v>
      </c>
      <c r="BD135" s="78">
        <f t="shared" ca="1" si="70"/>
        <v>628414325.90969288</v>
      </c>
      <c r="BE135" s="78">
        <f t="shared" ca="1" si="70"/>
        <v>628414325.90969288</v>
      </c>
      <c r="BF135" s="78">
        <f t="shared" ca="1" si="70"/>
        <v>628414325.90969288</v>
      </c>
      <c r="BG135" s="78">
        <f t="shared" ca="1" si="70"/>
        <v>628414325.90969288</v>
      </c>
      <c r="BH135" s="78">
        <f t="shared" ca="1" si="70"/>
        <v>628414325.90969288</v>
      </c>
      <c r="BI135" s="78">
        <f t="shared" ca="1" si="70"/>
        <v>628414325.90969288</v>
      </c>
      <c r="BJ135" s="78">
        <f t="shared" ca="1" si="70"/>
        <v>628414325.90969288</v>
      </c>
      <c r="BK135" s="78">
        <f t="shared" ca="1" si="70"/>
        <v>628414325.90969288</v>
      </c>
      <c r="BL135" s="78">
        <f t="shared" ca="1" si="70"/>
        <v>628414325.90969288</v>
      </c>
      <c r="BM135" s="78">
        <f t="shared" ca="1" si="70"/>
        <v>628414325.90969288</v>
      </c>
      <c r="BN135" s="78">
        <f t="shared" ca="1" si="70"/>
        <v>628414325.90969288</v>
      </c>
      <c r="BO135" s="78">
        <f t="shared" ca="1" si="70"/>
        <v>628414325.90969288</v>
      </c>
      <c r="BP135" s="78">
        <f t="shared" ca="1" si="70"/>
        <v>628414325.90969288</v>
      </c>
      <c r="BQ135" s="78">
        <f t="shared" ca="1" si="70"/>
        <v>628414325.90969288</v>
      </c>
      <c r="BR135" s="78">
        <f t="shared" ca="1" si="70"/>
        <v>628414325.90969288</v>
      </c>
      <c r="BS135" s="78">
        <f t="shared" ca="1" si="70"/>
        <v>628414325.90969288</v>
      </c>
      <c r="BT135" s="78">
        <f t="shared" ca="1" si="70"/>
        <v>628414325.90969288</v>
      </c>
      <c r="BU135" s="78">
        <f t="shared" ca="1" si="70"/>
        <v>628414325.90969288</v>
      </c>
      <c r="BV135" s="78">
        <f t="shared" ca="1" si="70"/>
        <v>628414325.90969288</v>
      </c>
      <c r="BW135" s="78">
        <f t="shared" ref="BW135:DE135" ca="1" si="71">BV146</f>
        <v>628414325.90969288</v>
      </c>
      <c r="BX135" s="78">
        <f t="shared" ca="1" si="71"/>
        <v>628414325.90969288</v>
      </c>
      <c r="BY135" s="78">
        <f t="shared" ca="1" si="71"/>
        <v>628414325.90969288</v>
      </c>
      <c r="BZ135" s="78">
        <f t="shared" ca="1" si="71"/>
        <v>628414325.90969288</v>
      </c>
      <c r="CA135" s="78">
        <f t="shared" ca="1" si="71"/>
        <v>628414325.90969288</v>
      </c>
      <c r="CB135" s="78">
        <f t="shared" ca="1" si="71"/>
        <v>628414325.90969288</v>
      </c>
      <c r="CC135" s="78">
        <f t="shared" ca="1" si="71"/>
        <v>628414325.90969288</v>
      </c>
      <c r="CD135" s="78">
        <f t="shared" ca="1" si="71"/>
        <v>628414325.90969288</v>
      </c>
      <c r="CE135" s="78">
        <f t="shared" ca="1" si="71"/>
        <v>628414325.90969288</v>
      </c>
      <c r="CF135" s="78">
        <f t="shared" ca="1" si="71"/>
        <v>628414325.90969288</v>
      </c>
      <c r="CG135" s="78">
        <f t="shared" ca="1" si="71"/>
        <v>628414325.90969288</v>
      </c>
      <c r="CH135" s="78">
        <f t="shared" ca="1" si="71"/>
        <v>628414325.90969288</v>
      </c>
      <c r="CI135" s="78">
        <f t="shared" ca="1" si="71"/>
        <v>628414325.90969288</v>
      </c>
      <c r="CJ135" s="78">
        <f t="shared" ca="1" si="71"/>
        <v>628414325.90969288</v>
      </c>
      <c r="CK135" s="78">
        <f t="shared" ca="1" si="71"/>
        <v>628414325.90969288</v>
      </c>
      <c r="CL135" s="78">
        <f t="shared" ca="1" si="71"/>
        <v>628414325.90969288</v>
      </c>
      <c r="CM135" s="78">
        <f t="shared" ca="1" si="71"/>
        <v>628414325.90969288</v>
      </c>
      <c r="CN135" s="78">
        <f t="shared" ca="1" si="71"/>
        <v>628414325.90969288</v>
      </c>
      <c r="CO135" s="78">
        <f t="shared" ca="1" si="71"/>
        <v>628414325.90969288</v>
      </c>
      <c r="CP135" s="78">
        <f t="shared" ca="1" si="71"/>
        <v>628414325.90969288</v>
      </c>
      <c r="CQ135" s="78">
        <f t="shared" ca="1" si="71"/>
        <v>628414325.90969288</v>
      </c>
      <c r="CR135" s="78">
        <f t="shared" ca="1" si="71"/>
        <v>628414325.90969288</v>
      </c>
      <c r="CS135" s="78">
        <f t="shared" ca="1" si="71"/>
        <v>628414325.90969288</v>
      </c>
      <c r="CT135" s="78">
        <f t="shared" ca="1" si="71"/>
        <v>628414325.90969288</v>
      </c>
      <c r="CU135" s="78">
        <f t="shared" ca="1" si="71"/>
        <v>628414325.90969288</v>
      </c>
      <c r="CV135" s="78">
        <f t="shared" ca="1" si="71"/>
        <v>628414325.90969288</v>
      </c>
      <c r="CW135" s="78">
        <f t="shared" ca="1" si="71"/>
        <v>628414325.90969288</v>
      </c>
      <c r="CX135" s="78">
        <f t="shared" ca="1" si="71"/>
        <v>628414325.90969288</v>
      </c>
      <c r="CY135" s="78">
        <f t="shared" ca="1" si="71"/>
        <v>628414325.90969288</v>
      </c>
      <c r="CZ135" s="78">
        <f t="shared" ca="1" si="71"/>
        <v>628414325.90969288</v>
      </c>
      <c r="DA135" s="78">
        <f t="shared" ca="1" si="71"/>
        <v>628414325.90969288</v>
      </c>
      <c r="DB135" s="78">
        <f t="shared" ca="1" si="71"/>
        <v>628414325.90969288</v>
      </c>
      <c r="DC135" s="78">
        <f t="shared" ca="1" si="71"/>
        <v>628414325.90969288</v>
      </c>
      <c r="DD135" s="78">
        <f t="shared" ca="1" si="71"/>
        <v>628414325.90969288</v>
      </c>
      <c r="DE135" s="78">
        <f t="shared" ca="1" si="71"/>
        <v>628414325.90969288</v>
      </c>
    </row>
    <row r="136" spans="3:109" x14ac:dyDescent="0.15">
      <c r="C136" t="s">
        <v>265</v>
      </c>
      <c r="D136" s="5"/>
      <c r="J136" s="63">
        <f t="shared" ref="J136:AO136" ca="1" si="72">J133/J135</f>
        <v>6.6768298378024298</v>
      </c>
      <c r="K136" s="63">
        <f t="shared" ca="1" si="72"/>
        <v>7.0133107366501388</v>
      </c>
      <c r="L136" s="63">
        <f t="shared" ca="1" si="72"/>
        <v>7.4103800879172921</v>
      </c>
      <c r="M136" s="63">
        <f t="shared" ca="1" si="72"/>
        <v>7.9298903243363705</v>
      </c>
      <c r="N136" s="63">
        <f t="shared" ca="1" si="72"/>
        <v>8.5454044612075091</v>
      </c>
      <c r="O136" s="63">
        <f t="shared" ca="1" si="72"/>
        <v>9.1161631552456672</v>
      </c>
      <c r="P136" s="63">
        <f t="shared" ca="1" si="72"/>
        <v>9.6241320573551352</v>
      </c>
      <c r="Q136" s="63">
        <f t="shared" ca="1" si="72"/>
        <v>10.056662649720542</v>
      </c>
      <c r="R136" s="63">
        <f t="shared" ca="1" si="72"/>
        <v>10.403517245232285</v>
      </c>
      <c r="S136" s="63">
        <f t="shared" ca="1" si="72"/>
        <v>10.670875624944939</v>
      </c>
      <c r="T136" s="63">
        <f t="shared" ca="1" si="72"/>
        <v>10.898215481470235</v>
      </c>
      <c r="U136" s="63">
        <f t="shared" ca="1" si="72"/>
        <v>11.077186448665579</v>
      </c>
      <c r="V136" s="63">
        <f t="shared" ca="1" si="72"/>
        <v>11.196996215425646</v>
      </c>
      <c r="W136" s="63">
        <f t="shared" ca="1" si="72"/>
        <v>11.267062787086257</v>
      </c>
      <c r="X136" s="63">
        <f t="shared" ca="1" si="72"/>
        <v>11.281025204137002</v>
      </c>
      <c r="Y136" s="63">
        <f t="shared" ca="1" si="72"/>
        <v>11.275458812895145</v>
      </c>
      <c r="Z136" s="63">
        <f t="shared" ca="1" si="72"/>
        <v>11.275458812895145</v>
      </c>
      <c r="AA136" s="63">
        <f t="shared" ca="1" si="72"/>
        <v>11.275458812895145</v>
      </c>
      <c r="AB136" s="63">
        <f t="shared" ca="1" si="72"/>
        <v>11.275458812895145</v>
      </c>
      <c r="AC136" s="63">
        <f t="shared" ca="1" si="72"/>
        <v>11.275458812895145</v>
      </c>
      <c r="AD136" s="63">
        <f t="shared" ca="1" si="72"/>
        <v>11.275458812895145</v>
      </c>
      <c r="AE136" s="63">
        <f t="shared" ca="1" si="72"/>
        <v>11.275458812895145</v>
      </c>
      <c r="AF136" s="63">
        <f t="shared" ca="1" si="72"/>
        <v>11.275458812895145</v>
      </c>
      <c r="AG136" s="63">
        <f t="shared" ca="1" si="72"/>
        <v>11.275458812895145</v>
      </c>
      <c r="AH136" s="63">
        <f t="shared" ca="1" si="72"/>
        <v>11.275458812895145</v>
      </c>
      <c r="AI136" s="63">
        <f t="shared" ca="1" si="72"/>
        <v>11.275458812895145</v>
      </c>
      <c r="AJ136" s="63">
        <f t="shared" ca="1" si="72"/>
        <v>11.275458812895145</v>
      </c>
      <c r="AK136" s="63">
        <f t="shared" ca="1" si="72"/>
        <v>11.275458812895145</v>
      </c>
      <c r="AL136" s="63">
        <f t="shared" ca="1" si="72"/>
        <v>11.275458812895145</v>
      </c>
      <c r="AM136" s="63">
        <f t="shared" ca="1" si="72"/>
        <v>11.275458812895145</v>
      </c>
      <c r="AN136" s="63">
        <f t="shared" ca="1" si="72"/>
        <v>11.275458812895145</v>
      </c>
      <c r="AO136" s="63">
        <f t="shared" ca="1" si="72"/>
        <v>11.275458812895145</v>
      </c>
      <c r="AP136" s="63">
        <f t="shared" ref="AP136:BU136" ca="1" si="73">AP133/AP135</f>
        <v>11.275458812895145</v>
      </c>
      <c r="AQ136" s="63">
        <f t="shared" ca="1" si="73"/>
        <v>11.275458812895145</v>
      </c>
      <c r="AR136" s="63">
        <f t="shared" ca="1" si="73"/>
        <v>11.275458812895145</v>
      </c>
      <c r="AS136" s="63">
        <f t="shared" ca="1" si="73"/>
        <v>11.275458812895145</v>
      </c>
      <c r="AT136" s="63">
        <f t="shared" ca="1" si="73"/>
        <v>11.275458812895145</v>
      </c>
      <c r="AU136" s="63">
        <f t="shared" ca="1" si="73"/>
        <v>11.275458812895145</v>
      </c>
      <c r="AV136" s="63">
        <f t="shared" ca="1" si="73"/>
        <v>11.275458812895145</v>
      </c>
      <c r="AW136" s="63">
        <f t="shared" ca="1" si="73"/>
        <v>11.275458812895145</v>
      </c>
      <c r="AX136" s="63">
        <f t="shared" ca="1" si="73"/>
        <v>11.275458812895145</v>
      </c>
      <c r="AY136" s="63">
        <f t="shared" ca="1" si="73"/>
        <v>11.275458812895145</v>
      </c>
      <c r="AZ136" s="63">
        <f t="shared" ca="1" si="73"/>
        <v>11.275458812895145</v>
      </c>
      <c r="BA136" s="63">
        <f t="shared" ca="1" si="73"/>
        <v>11.275458812895145</v>
      </c>
      <c r="BB136" s="63">
        <f t="shared" ca="1" si="73"/>
        <v>11.275458812895145</v>
      </c>
      <c r="BC136" s="63">
        <f t="shared" ca="1" si="73"/>
        <v>11.275458812895145</v>
      </c>
      <c r="BD136" s="63">
        <f t="shared" ca="1" si="73"/>
        <v>11.275458812895145</v>
      </c>
      <c r="BE136" s="63">
        <f t="shared" ca="1" si="73"/>
        <v>11.275458812895145</v>
      </c>
      <c r="BF136" s="63">
        <f t="shared" ca="1" si="73"/>
        <v>11.275458812895145</v>
      </c>
      <c r="BG136" s="63">
        <f t="shared" ca="1" si="73"/>
        <v>11.275458812895145</v>
      </c>
      <c r="BH136" s="63">
        <f t="shared" ca="1" si="73"/>
        <v>11.275458812895145</v>
      </c>
      <c r="BI136" s="63">
        <f t="shared" ca="1" si="73"/>
        <v>11.275458812895145</v>
      </c>
      <c r="BJ136" s="63">
        <f t="shared" ca="1" si="73"/>
        <v>11.275458812895145</v>
      </c>
      <c r="BK136" s="63">
        <f t="shared" ca="1" si="73"/>
        <v>11.275458812895145</v>
      </c>
      <c r="BL136" s="63">
        <f t="shared" ca="1" si="73"/>
        <v>11.275458812895145</v>
      </c>
      <c r="BM136" s="63">
        <f t="shared" ca="1" si="73"/>
        <v>11.275458812895145</v>
      </c>
      <c r="BN136" s="63">
        <f t="shared" ca="1" si="73"/>
        <v>11.275458812895145</v>
      </c>
      <c r="BO136" s="63">
        <f t="shared" ca="1" si="73"/>
        <v>11.275458812895145</v>
      </c>
      <c r="BP136" s="63">
        <f t="shared" ca="1" si="73"/>
        <v>11.275458812895145</v>
      </c>
      <c r="BQ136" s="63">
        <f t="shared" ca="1" si="73"/>
        <v>11.275458812895145</v>
      </c>
      <c r="BR136" s="63">
        <f t="shared" ca="1" si="73"/>
        <v>11.275458812895145</v>
      </c>
      <c r="BS136" s="63">
        <f t="shared" ca="1" si="73"/>
        <v>11.275458812895145</v>
      </c>
      <c r="BT136" s="63">
        <f t="shared" ca="1" si="73"/>
        <v>11.275458812895145</v>
      </c>
      <c r="BU136" s="63">
        <f t="shared" ca="1" si="73"/>
        <v>11.275458812895145</v>
      </c>
      <c r="BV136" s="63">
        <f t="shared" ref="BV136:DA136" ca="1" si="74">BV133/BV135</f>
        <v>11.275458812895145</v>
      </c>
      <c r="BW136" s="63">
        <f t="shared" ca="1" si="74"/>
        <v>11.275458812895145</v>
      </c>
      <c r="BX136" s="63">
        <f t="shared" ca="1" si="74"/>
        <v>11.275458812895145</v>
      </c>
      <c r="BY136" s="63">
        <f t="shared" ca="1" si="74"/>
        <v>11.275458812895145</v>
      </c>
      <c r="BZ136" s="63">
        <f t="shared" ca="1" si="74"/>
        <v>11.275458812895145</v>
      </c>
      <c r="CA136" s="63">
        <f t="shared" ca="1" si="74"/>
        <v>11.275458812895145</v>
      </c>
      <c r="CB136" s="63">
        <f t="shared" ca="1" si="74"/>
        <v>11.275458812895145</v>
      </c>
      <c r="CC136" s="63">
        <f t="shared" ca="1" si="74"/>
        <v>11.275458812895145</v>
      </c>
      <c r="CD136" s="63">
        <f t="shared" ca="1" si="74"/>
        <v>11.275458812895145</v>
      </c>
      <c r="CE136" s="63">
        <f t="shared" ca="1" si="74"/>
        <v>11.275458812895145</v>
      </c>
      <c r="CF136" s="63">
        <f t="shared" ca="1" si="74"/>
        <v>11.275458812895145</v>
      </c>
      <c r="CG136" s="63">
        <f t="shared" ca="1" si="74"/>
        <v>11.275458812895145</v>
      </c>
      <c r="CH136" s="63">
        <f t="shared" ca="1" si="74"/>
        <v>11.275458812895145</v>
      </c>
      <c r="CI136" s="63">
        <f t="shared" ca="1" si="74"/>
        <v>11.275458812895145</v>
      </c>
      <c r="CJ136" s="63">
        <f t="shared" ca="1" si="74"/>
        <v>11.275458812895145</v>
      </c>
      <c r="CK136" s="63">
        <f t="shared" ca="1" si="74"/>
        <v>11.275458812895145</v>
      </c>
      <c r="CL136" s="63">
        <f t="shared" ca="1" si="74"/>
        <v>11.275458812895145</v>
      </c>
      <c r="CM136" s="63">
        <f t="shared" ca="1" si="74"/>
        <v>11.275458812895145</v>
      </c>
      <c r="CN136" s="63">
        <f t="shared" ca="1" si="74"/>
        <v>11.275458812895145</v>
      </c>
      <c r="CO136" s="63">
        <f t="shared" ca="1" si="74"/>
        <v>11.275458812895145</v>
      </c>
      <c r="CP136" s="63">
        <f t="shared" ca="1" si="74"/>
        <v>11.275458812895145</v>
      </c>
      <c r="CQ136" s="63">
        <f t="shared" ca="1" si="74"/>
        <v>11.275458812895145</v>
      </c>
      <c r="CR136" s="63">
        <f t="shared" ca="1" si="74"/>
        <v>11.275458812895145</v>
      </c>
      <c r="CS136" s="63">
        <f t="shared" ca="1" si="74"/>
        <v>11.275458812895145</v>
      </c>
      <c r="CT136" s="63">
        <f t="shared" ca="1" si="74"/>
        <v>11.275458812895145</v>
      </c>
      <c r="CU136" s="63">
        <f t="shared" ca="1" si="74"/>
        <v>11.275458812895145</v>
      </c>
      <c r="CV136" s="63">
        <f t="shared" ca="1" si="74"/>
        <v>11.275458812895145</v>
      </c>
      <c r="CW136" s="63">
        <f t="shared" ca="1" si="74"/>
        <v>11.275458812895145</v>
      </c>
      <c r="CX136" s="63">
        <f t="shared" ca="1" si="74"/>
        <v>11.275458812895145</v>
      </c>
      <c r="CY136" s="63">
        <f t="shared" ca="1" si="74"/>
        <v>11.275458812895145</v>
      </c>
      <c r="CZ136" s="63">
        <f t="shared" ca="1" si="74"/>
        <v>11.275458812895145</v>
      </c>
      <c r="DA136" s="63">
        <f t="shared" ca="1" si="74"/>
        <v>11.275458812895145</v>
      </c>
      <c r="DB136" s="63">
        <f t="shared" ref="DB136:DE136" ca="1" si="75">DB133/DB135</f>
        <v>11.275458812895145</v>
      </c>
      <c r="DC136" s="63">
        <f t="shared" ca="1" si="75"/>
        <v>11.275458812895145</v>
      </c>
      <c r="DD136" s="63">
        <f t="shared" ca="1" si="75"/>
        <v>11.275458812895145</v>
      </c>
      <c r="DE136" s="63">
        <f t="shared" ca="1" si="75"/>
        <v>11.275458812895145</v>
      </c>
    </row>
    <row r="137" spans="3:109" x14ac:dyDescent="0.15">
      <c r="C137" t="s">
        <v>326</v>
      </c>
      <c r="D137" s="5"/>
      <c r="J137" s="77">
        <v>1.2</v>
      </c>
      <c r="K137" s="77">
        <v>1.2</v>
      </c>
      <c r="L137" s="77">
        <v>0.8</v>
      </c>
      <c r="M137" s="77">
        <v>0.6</v>
      </c>
      <c r="N137" s="77">
        <v>0.8</v>
      </c>
      <c r="O137" s="77">
        <v>1</v>
      </c>
      <c r="P137" s="77">
        <v>1</v>
      </c>
      <c r="Q137" s="77">
        <v>1.1000000000000001</v>
      </c>
      <c r="R137" s="77">
        <v>1.2</v>
      </c>
      <c r="S137" s="77">
        <f>$R$137</f>
        <v>1.2</v>
      </c>
      <c r="T137" s="77">
        <f t="shared" ref="T137:CE137" si="76">$R$137</f>
        <v>1.2</v>
      </c>
      <c r="U137" s="77">
        <f t="shared" si="76"/>
        <v>1.2</v>
      </c>
      <c r="V137" s="77">
        <f t="shared" si="76"/>
        <v>1.2</v>
      </c>
      <c r="W137" s="77">
        <f t="shared" si="76"/>
        <v>1.2</v>
      </c>
      <c r="X137" s="77">
        <f t="shared" si="76"/>
        <v>1.2</v>
      </c>
      <c r="Y137" s="77">
        <f t="shared" si="76"/>
        <v>1.2</v>
      </c>
      <c r="Z137" s="77">
        <f t="shared" si="76"/>
        <v>1.2</v>
      </c>
      <c r="AA137" s="77">
        <f t="shared" si="76"/>
        <v>1.2</v>
      </c>
      <c r="AB137" s="77">
        <f t="shared" si="76"/>
        <v>1.2</v>
      </c>
      <c r="AC137" s="77">
        <f t="shared" si="76"/>
        <v>1.2</v>
      </c>
      <c r="AD137" s="77">
        <f t="shared" si="76"/>
        <v>1.2</v>
      </c>
      <c r="AE137" s="77">
        <f t="shared" si="76"/>
        <v>1.2</v>
      </c>
      <c r="AF137" s="77">
        <f t="shared" si="76"/>
        <v>1.2</v>
      </c>
      <c r="AG137" s="77">
        <f t="shared" si="76"/>
        <v>1.2</v>
      </c>
      <c r="AH137" s="77">
        <f t="shared" si="76"/>
        <v>1.2</v>
      </c>
      <c r="AI137" s="77">
        <f t="shared" si="76"/>
        <v>1.2</v>
      </c>
      <c r="AJ137" s="77">
        <f t="shared" si="76"/>
        <v>1.2</v>
      </c>
      <c r="AK137" s="77">
        <f t="shared" si="76"/>
        <v>1.2</v>
      </c>
      <c r="AL137" s="77">
        <f t="shared" si="76"/>
        <v>1.2</v>
      </c>
      <c r="AM137" s="77">
        <f t="shared" si="76"/>
        <v>1.2</v>
      </c>
      <c r="AN137" s="77">
        <f t="shared" si="76"/>
        <v>1.2</v>
      </c>
      <c r="AO137" s="77">
        <f t="shared" si="76"/>
        <v>1.2</v>
      </c>
      <c r="AP137" s="77">
        <f t="shared" si="76"/>
        <v>1.2</v>
      </c>
      <c r="AQ137" s="77">
        <f t="shared" si="76"/>
        <v>1.2</v>
      </c>
      <c r="AR137" s="77">
        <f t="shared" si="76"/>
        <v>1.2</v>
      </c>
      <c r="AS137" s="77">
        <f t="shared" si="76"/>
        <v>1.2</v>
      </c>
      <c r="AT137" s="77">
        <f t="shared" si="76"/>
        <v>1.2</v>
      </c>
      <c r="AU137" s="77">
        <f t="shared" si="76"/>
        <v>1.2</v>
      </c>
      <c r="AV137" s="77">
        <f t="shared" si="76"/>
        <v>1.2</v>
      </c>
      <c r="AW137" s="77">
        <f t="shared" si="76"/>
        <v>1.2</v>
      </c>
      <c r="AX137" s="77">
        <f t="shared" si="76"/>
        <v>1.2</v>
      </c>
      <c r="AY137" s="77">
        <f t="shared" si="76"/>
        <v>1.2</v>
      </c>
      <c r="AZ137" s="77">
        <f t="shared" si="76"/>
        <v>1.2</v>
      </c>
      <c r="BA137" s="77">
        <f t="shared" si="76"/>
        <v>1.2</v>
      </c>
      <c r="BB137" s="77">
        <f t="shared" si="76"/>
        <v>1.2</v>
      </c>
      <c r="BC137" s="77">
        <f t="shared" si="76"/>
        <v>1.2</v>
      </c>
      <c r="BD137" s="77">
        <f t="shared" si="76"/>
        <v>1.2</v>
      </c>
      <c r="BE137" s="77">
        <f t="shared" si="76"/>
        <v>1.2</v>
      </c>
      <c r="BF137" s="77">
        <f t="shared" si="76"/>
        <v>1.2</v>
      </c>
      <c r="BG137" s="77">
        <f t="shared" si="76"/>
        <v>1.2</v>
      </c>
      <c r="BH137" s="77">
        <f t="shared" si="76"/>
        <v>1.2</v>
      </c>
      <c r="BI137" s="77">
        <f t="shared" si="76"/>
        <v>1.2</v>
      </c>
      <c r="BJ137" s="77">
        <f t="shared" si="76"/>
        <v>1.2</v>
      </c>
      <c r="BK137" s="77">
        <f t="shared" si="76"/>
        <v>1.2</v>
      </c>
      <c r="BL137" s="77">
        <f t="shared" si="76"/>
        <v>1.2</v>
      </c>
      <c r="BM137" s="77">
        <f t="shared" si="76"/>
        <v>1.2</v>
      </c>
      <c r="BN137" s="77">
        <f t="shared" si="76"/>
        <v>1.2</v>
      </c>
      <c r="BO137" s="77">
        <f t="shared" si="76"/>
        <v>1.2</v>
      </c>
      <c r="BP137" s="77">
        <f t="shared" si="76"/>
        <v>1.2</v>
      </c>
      <c r="BQ137" s="77">
        <f t="shared" si="76"/>
        <v>1.2</v>
      </c>
      <c r="BR137" s="77">
        <f t="shared" si="76"/>
        <v>1.2</v>
      </c>
      <c r="BS137" s="77">
        <f t="shared" si="76"/>
        <v>1.2</v>
      </c>
      <c r="BT137" s="77">
        <f t="shared" si="76"/>
        <v>1.2</v>
      </c>
      <c r="BU137" s="77">
        <f t="shared" si="76"/>
        <v>1.2</v>
      </c>
      <c r="BV137" s="77">
        <f t="shared" si="76"/>
        <v>1.2</v>
      </c>
      <c r="BW137" s="77">
        <f t="shared" si="76"/>
        <v>1.2</v>
      </c>
      <c r="BX137" s="77">
        <f t="shared" si="76"/>
        <v>1.2</v>
      </c>
      <c r="BY137" s="77">
        <f t="shared" si="76"/>
        <v>1.2</v>
      </c>
      <c r="BZ137" s="77">
        <f t="shared" si="76"/>
        <v>1.2</v>
      </c>
      <c r="CA137" s="77">
        <f t="shared" si="76"/>
        <v>1.2</v>
      </c>
      <c r="CB137" s="77">
        <f t="shared" si="76"/>
        <v>1.2</v>
      </c>
      <c r="CC137" s="77">
        <f t="shared" si="76"/>
        <v>1.2</v>
      </c>
      <c r="CD137" s="77">
        <f t="shared" si="76"/>
        <v>1.2</v>
      </c>
      <c r="CE137" s="77">
        <f t="shared" si="76"/>
        <v>1.2</v>
      </c>
      <c r="CF137" s="77">
        <f t="shared" ref="CF137:DE137" si="77">$R$137</f>
        <v>1.2</v>
      </c>
      <c r="CG137" s="77">
        <f t="shared" si="77"/>
        <v>1.2</v>
      </c>
      <c r="CH137" s="77">
        <f t="shared" si="77"/>
        <v>1.2</v>
      </c>
      <c r="CI137" s="77">
        <f t="shared" si="77"/>
        <v>1.2</v>
      </c>
      <c r="CJ137" s="77">
        <f t="shared" si="77"/>
        <v>1.2</v>
      </c>
      <c r="CK137" s="77">
        <f t="shared" si="77"/>
        <v>1.2</v>
      </c>
      <c r="CL137" s="77">
        <f t="shared" si="77"/>
        <v>1.2</v>
      </c>
      <c r="CM137" s="77">
        <f t="shared" si="77"/>
        <v>1.2</v>
      </c>
      <c r="CN137" s="77">
        <f t="shared" si="77"/>
        <v>1.2</v>
      </c>
      <c r="CO137" s="77">
        <f t="shared" si="77"/>
        <v>1.2</v>
      </c>
      <c r="CP137" s="77">
        <f t="shared" si="77"/>
        <v>1.2</v>
      </c>
      <c r="CQ137" s="77">
        <f t="shared" si="77"/>
        <v>1.2</v>
      </c>
      <c r="CR137" s="77">
        <f t="shared" si="77"/>
        <v>1.2</v>
      </c>
      <c r="CS137" s="77">
        <f t="shared" si="77"/>
        <v>1.2</v>
      </c>
      <c r="CT137" s="77">
        <f t="shared" si="77"/>
        <v>1.2</v>
      </c>
      <c r="CU137" s="77">
        <f t="shared" si="77"/>
        <v>1.2</v>
      </c>
      <c r="CV137" s="77">
        <f t="shared" si="77"/>
        <v>1.2</v>
      </c>
      <c r="CW137" s="77">
        <f t="shared" si="77"/>
        <v>1.2</v>
      </c>
      <c r="CX137" s="77">
        <f t="shared" si="77"/>
        <v>1.2</v>
      </c>
      <c r="CY137" s="77">
        <f t="shared" si="77"/>
        <v>1.2</v>
      </c>
      <c r="CZ137" s="77">
        <f t="shared" si="77"/>
        <v>1.2</v>
      </c>
      <c r="DA137" s="77">
        <f t="shared" si="77"/>
        <v>1.2</v>
      </c>
      <c r="DB137" s="77">
        <f t="shared" si="77"/>
        <v>1.2</v>
      </c>
      <c r="DC137" s="77">
        <f t="shared" si="77"/>
        <v>1.2</v>
      </c>
      <c r="DD137" s="77">
        <f t="shared" si="77"/>
        <v>1.2</v>
      </c>
      <c r="DE137" s="77">
        <f t="shared" si="77"/>
        <v>1.2</v>
      </c>
    </row>
    <row r="138" spans="3:109" x14ac:dyDescent="0.15">
      <c r="C138" t="s">
        <v>357</v>
      </c>
      <c r="D138" s="5" t="s">
        <v>0</v>
      </c>
      <c r="J138" s="63">
        <f t="shared" ref="J138:AO138" ca="1" si="78">J136*J137</f>
        <v>8.0121958053629161</v>
      </c>
      <c r="K138" s="63">
        <f t="shared" ca="1" si="78"/>
        <v>8.4159728839801655</v>
      </c>
      <c r="L138" s="63">
        <f t="shared" ca="1" si="78"/>
        <v>5.9283040703338337</v>
      </c>
      <c r="M138" s="63">
        <f t="shared" ca="1" si="78"/>
        <v>4.7579341946018223</v>
      </c>
      <c r="N138" s="63">
        <f t="shared" ca="1" si="78"/>
        <v>6.8363235689660078</v>
      </c>
      <c r="O138" s="63">
        <f t="shared" ca="1" si="78"/>
        <v>9.1161631552456672</v>
      </c>
      <c r="P138" s="63">
        <f t="shared" ca="1" si="78"/>
        <v>9.6241320573551352</v>
      </c>
      <c r="Q138" s="63">
        <f t="shared" ca="1" si="78"/>
        <v>11.062328914692596</v>
      </c>
      <c r="R138" s="63">
        <f t="shared" ca="1" si="78"/>
        <v>12.484220694278742</v>
      </c>
      <c r="S138" s="63">
        <f t="shared" ca="1" si="78"/>
        <v>12.805050749933926</v>
      </c>
      <c r="T138" s="63">
        <f t="shared" ca="1" si="78"/>
        <v>13.077858577764282</v>
      </c>
      <c r="U138" s="63">
        <f t="shared" ca="1" si="78"/>
        <v>13.292623738398694</v>
      </c>
      <c r="V138" s="63">
        <f t="shared" ca="1" si="78"/>
        <v>13.436395458510775</v>
      </c>
      <c r="W138" s="63">
        <f t="shared" ca="1" si="78"/>
        <v>13.520475344503508</v>
      </c>
      <c r="X138" s="63">
        <f t="shared" ca="1" si="78"/>
        <v>13.537230244964402</v>
      </c>
      <c r="Y138" s="63">
        <f t="shared" ca="1" si="78"/>
        <v>13.530550575474175</v>
      </c>
      <c r="Z138" s="63">
        <f t="shared" ca="1" si="78"/>
        <v>13.530550575474175</v>
      </c>
      <c r="AA138" s="63">
        <f t="shared" ca="1" si="78"/>
        <v>13.530550575474175</v>
      </c>
      <c r="AB138" s="63">
        <f t="shared" ca="1" si="78"/>
        <v>13.530550575474175</v>
      </c>
      <c r="AC138" s="63">
        <f t="shared" ca="1" si="78"/>
        <v>13.530550575474175</v>
      </c>
      <c r="AD138" s="63">
        <f t="shared" ca="1" si="78"/>
        <v>13.530550575474175</v>
      </c>
      <c r="AE138" s="63">
        <f t="shared" ca="1" si="78"/>
        <v>13.530550575474175</v>
      </c>
      <c r="AF138" s="63">
        <f t="shared" ca="1" si="78"/>
        <v>13.530550575474175</v>
      </c>
      <c r="AG138" s="63">
        <f t="shared" ca="1" si="78"/>
        <v>13.530550575474175</v>
      </c>
      <c r="AH138" s="63">
        <f t="shared" ca="1" si="78"/>
        <v>13.530550575474175</v>
      </c>
      <c r="AI138" s="63">
        <f t="shared" ca="1" si="78"/>
        <v>13.530550575474175</v>
      </c>
      <c r="AJ138" s="63">
        <f t="shared" ca="1" si="78"/>
        <v>13.530550575474175</v>
      </c>
      <c r="AK138" s="63">
        <f t="shared" ca="1" si="78"/>
        <v>13.530550575474175</v>
      </c>
      <c r="AL138" s="63">
        <f t="shared" ca="1" si="78"/>
        <v>13.530550575474175</v>
      </c>
      <c r="AM138" s="63">
        <f t="shared" ca="1" si="78"/>
        <v>13.530550575474175</v>
      </c>
      <c r="AN138" s="63">
        <f t="shared" ca="1" si="78"/>
        <v>13.530550575474175</v>
      </c>
      <c r="AO138" s="63">
        <f t="shared" ca="1" si="78"/>
        <v>13.530550575474175</v>
      </c>
      <c r="AP138" s="63">
        <f t="shared" ref="AP138:BU138" ca="1" si="79">AP136*AP137</f>
        <v>13.530550575474175</v>
      </c>
      <c r="AQ138" s="63">
        <f t="shared" ca="1" si="79"/>
        <v>13.530550575474175</v>
      </c>
      <c r="AR138" s="63">
        <f t="shared" ca="1" si="79"/>
        <v>13.530550575474175</v>
      </c>
      <c r="AS138" s="63">
        <f t="shared" ca="1" si="79"/>
        <v>13.530550575474175</v>
      </c>
      <c r="AT138" s="63">
        <f t="shared" ca="1" si="79"/>
        <v>13.530550575474175</v>
      </c>
      <c r="AU138" s="63">
        <f t="shared" ca="1" si="79"/>
        <v>13.530550575474175</v>
      </c>
      <c r="AV138" s="63">
        <f t="shared" ca="1" si="79"/>
        <v>13.530550575474175</v>
      </c>
      <c r="AW138" s="63">
        <f t="shared" ca="1" si="79"/>
        <v>13.530550575474175</v>
      </c>
      <c r="AX138" s="63">
        <f t="shared" ca="1" si="79"/>
        <v>13.530550575474175</v>
      </c>
      <c r="AY138" s="63">
        <f t="shared" ca="1" si="79"/>
        <v>13.530550575474175</v>
      </c>
      <c r="AZ138" s="63">
        <f t="shared" ca="1" si="79"/>
        <v>13.530550575474175</v>
      </c>
      <c r="BA138" s="63">
        <f t="shared" ca="1" si="79"/>
        <v>13.530550575474175</v>
      </c>
      <c r="BB138" s="63">
        <f t="shared" ca="1" si="79"/>
        <v>13.530550575474175</v>
      </c>
      <c r="BC138" s="63">
        <f t="shared" ca="1" si="79"/>
        <v>13.530550575474175</v>
      </c>
      <c r="BD138" s="63">
        <f t="shared" ca="1" si="79"/>
        <v>13.530550575474175</v>
      </c>
      <c r="BE138" s="63">
        <f t="shared" ca="1" si="79"/>
        <v>13.530550575474175</v>
      </c>
      <c r="BF138" s="63">
        <f t="shared" ca="1" si="79"/>
        <v>13.530550575474175</v>
      </c>
      <c r="BG138" s="63">
        <f t="shared" ca="1" si="79"/>
        <v>13.530550575474175</v>
      </c>
      <c r="BH138" s="63">
        <f t="shared" ca="1" si="79"/>
        <v>13.530550575474175</v>
      </c>
      <c r="BI138" s="63">
        <f t="shared" ca="1" si="79"/>
        <v>13.530550575474175</v>
      </c>
      <c r="BJ138" s="63">
        <f t="shared" ca="1" si="79"/>
        <v>13.530550575474175</v>
      </c>
      <c r="BK138" s="63">
        <f t="shared" ca="1" si="79"/>
        <v>13.530550575474175</v>
      </c>
      <c r="BL138" s="63">
        <f t="shared" ca="1" si="79"/>
        <v>13.530550575474175</v>
      </c>
      <c r="BM138" s="63">
        <f t="shared" ca="1" si="79"/>
        <v>13.530550575474175</v>
      </c>
      <c r="BN138" s="63">
        <f t="shared" ca="1" si="79"/>
        <v>13.530550575474175</v>
      </c>
      <c r="BO138" s="63">
        <f t="shared" ca="1" si="79"/>
        <v>13.530550575474175</v>
      </c>
      <c r="BP138" s="63">
        <f t="shared" ca="1" si="79"/>
        <v>13.530550575474175</v>
      </c>
      <c r="BQ138" s="63">
        <f t="shared" ca="1" si="79"/>
        <v>13.530550575474175</v>
      </c>
      <c r="BR138" s="63">
        <f t="shared" ca="1" si="79"/>
        <v>13.530550575474175</v>
      </c>
      <c r="BS138" s="63">
        <f t="shared" ca="1" si="79"/>
        <v>13.530550575474175</v>
      </c>
      <c r="BT138" s="63">
        <f t="shared" ca="1" si="79"/>
        <v>13.530550575474175</v>
      </c>
      <c r="BU138" s="63">
        <f t="shared" ca="1" si="79"/>
        <v>13.530550575474175</v>
      </c>
      <c r="BV138" s="63">
        <f t="shared" ref="BV138:DA138" ca="1" si="80">BV136*BV137</f>
        <v>13.530550575474175</v>
      </c>
      <c r="BW138" s="63">
        <f t="shared" ca="1" si="80"/>
        <v>13.530550575474175</v>
      </c>
      <c r="BX138" s="63">
        <f t="shared" ca="1" si="80"/>
        <v>13.530550575474175</v>
      </c>
      <c r="BY138" s="63">
        <f t="shared" ca="1" si="80"/>
        <v>13.530550575474175</v>
      </c>
      <c r="BZ138" s="63">
        <f t="shared" ca="1" si="80"/>
        <v>13.530550575474175</v>
      </c>
      <c r="CA138" s="63">
        <f t="shared" ca="1" si="80"/>
        <v>13.530550575474175</v>
      </c>
      <c r="CB138" s="63">
        <f t="shared" ca="1" si="80"/>
        <v>13.530550575474175</v>
      </c>
      <c r="CC138" s="63">
        <f t="shared" ca="1" si="80"/>
        <v>13.530550575474175</v>
      </c>
      <c r="CD138" s="63">
        <f t="shared" ca="1" si="80"/>
        <v>13.530550575474175</v>
      </c>
      <c r="CE138" s="63">
        <f t="shared" ca="1" si="80"/>
        <v>13.530550575474175</v>
      </c>
      <c r="CF138" s="63">
        <f t="shared" ca="1" si="80"/>
        <v>13.530550575474175</v>
      </c>
      <c r="CG138" s="63">
        <f t="shared" ca="1" si="80"/>
        <v>13.530550575474175</v>
      </c>
      <c r="CH138" s="63">
        <f t="shared" ca="1" si="80"/>
        <v>13.530550575474175</v>
      </c>
      <c r="CI138" s="63">
        <f t="shared" ca="1" si="80"/>
        <v>13.530550575474175</v>
      </c>
      <c r="CJ138" s="63">
        <f t="shared" ca="1" si="80"/>
        <v>13.530550575474175</v>
      </c>
      <c r="CK138" s="63">
        <f t="shared" ca="1" si="80"/>
        <v>13.530550575474175</v>
      </c>
      <c r="CL138" s="63">
        <f t="shared" ca="1" si="80"/>
        <v>13.530550575474175</v>
      </c>
      <c r="CM138" s="63">
        <f t="shared" ca="1" si="80"/>
        <v>13.530550575474175</v>
      </c>
      <c r="CN138" s="63">
        <f t="shared" ca="1" si="80"/>
        <v>13.530550575474175</v>
      </c>
      <c r="CO138" s="63">
        <f t="shared" ca="1" si="80"/>
        <v>13.530550575474175</v>
      </c>
      <c r="CP138" s="63">
        <f t="shared" ca="1" si="80"/>
        <v>13.530550575474175</v>
      </c>
      <c r="CQ138" s="63">
        <f t="shared" ca="1" si="80"/>
        <v>13.530550575474175</v>
      </c>
      <c r="CR138" s="63">
        <f t="shared" ca="1" si="80"/>
        <v>13.530550575474175</v>
      </c>
      <c r="CS138" s="63">
        <f t="shared" ca="1" si="80"/>
        <v>13.530550575474175</v>
      </c>
      <c r="CT138" s="63">
        <f t="shared" ca="1" si="80"/>
        <v>13.530550575474175</v>
      </c>
      <c r="CU138" s="63">
        <f t="shared" ca="1" si="80"/>
        <v>13.530550575474175</v>
      </c>
      <c r="CV138" s="63">
        <f t="shared" ca="1" si="80"/>
        <v>13.530550575474175</v>
      </c>
      <c r="CW138" s="63">
        <f t="shared" ca="1" si="80"/>
        <v>13.530550575474175</v>
      </c>
      <c r="CX138" s="63">
        <f t="shared" ca="1" si="80"/>
        <v>13.530550575474175</v>
      </c>
      <c r="CY138" s="63">
        <f t="shared" ca="1" si="80"/>
        <v>13.530550575474175</v>
      </c>
      <c r="CZ138" s="63">
        <f t="shared" ca="1" si="80"/>
        <v>13.530550575474175</v>
      </c>
      <c r="DA138" s="63">
        <f t="shared" ca="1" si="80"/>
        <v>13.530550575474175</v>
      </c>
      <c r="DB138" s="63">
        <f t="shared" ref="DB138:DE138" ca="1" si="81">DB136*DB137</f>
        <v>13.530550575474175</v>
      </c>
      <c r="DC138" s="63">
        <f t="shared" ca="1" si="81"/>
        <v>13.530550575474175</v>
      </c>
      <c r="DD138" s="63">
        <f t="shared" ca="1" si="81"/>
        <v>13.530550575474175</v>
      </c>
      <c r="DE138" s="63">
        <f t="shared" ca="1" si="81"/>
        <v>13.530550575474175</v>
      </c>
    </row>
    <row r="139" spans="3:109" x14ac:dyDescent="0.15">
      <c r="D139" s="5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</row>
    <row r="140" spans="3:109" ht="14" x14ac:dyDescent="0.15">
      <c r="C140" s="1" t="s">
        <v>359</v>
      </c>
    </row>
    <row r="141" spans="3:109" ht="14" x14ac:dyDescent="0.15">
      <c r="C141" s="1"/>
    </row>
    <row r="142" spans="3:109" x14ac:dyDescent="0.15">
      <c r="C142" s="23" t="s">
        <v>261</v>
      </c>
      <c r="D142" s="5" t="s">
        <v>0</v>
      </c>
      <c r="J142" s="59">
        <f ca="1">NPV($E$129,K$115:$DE115)</f>
        <v>2643117715.3858747</v>
      </c>
      <c r="K142" s="59">
        <f ca="1">NPV($E$129,L$115:$DE115)</f>
        <v>3119050858.949348</v>
      </c>
      <c r="L142" s="59">
        <f ca="1">NPV($E$129,M$115:$DE115)</f>
        <v>4080845937.7809839</v>
      </c>
      <c r="M142" s="59">
        <f ca="1">NPV($E$129,N$115:$DE115)</f>
        <v>4834973767.6220436</v>
      </c>
      <c r="N142" s="59">
        <f ca="1">NPV($E$129,O$115:$DE115)</f>
        <v>4483411749.638567</v>
      </c>
      <c r="O142" s="59">
        <f ca="1">NPV($E$129,P$115:$DE115)</f>
        <v>3990186690.0275998</v>
      </c>
      <c r="P142" s="59">
        <f ca="1">NPV($E$129,Q$115:$DE115)</f>
        <v>3397605257.957828</v>
      </c>
      <c r="Q142" s="59">
        <f ca="1">NPV($E$129,R$115:$DE115)</f>
        <v>2724604960.3399124</v>
      </c>
      <c r="R142" s="59">
        <f ca="1">NPV($E$129,S$115:$DE115)</f>
        <v>2100147949.5429242</v>
      </c>
      <c r="S142" s="59">
        <f ca="1">NPV($E$129,T$115:$DE115)</f>
        <v>1785795283.6343727</v>
      </c>
      <c r="T142" s="59">
        <f ca="1">NPV($E$129,U$115:$DE115)</f>
        <v>1405848996.343348</v>
      </c>
      <c r="U142" s="59">
        <f ca="1">NPV($E$129,V$115:$DE115)</f>
        <v>941127172.69905865</v>
      </c>
      <c r="V142" s="59">
        <f ca="1">NPV($E$129,W$115:$DE115)</f>
        <v>550385467.48632479</v>
      </c>
      <c r="W142" s="59">
        <f ca="1">NPV($E$129,X$115:$DE115)</f>
        <v>109677286.23767163</v>
      </c>
      <c r="X142" s="59">
        <f ca="1">NPV($E$129,Y$115:$DE115)</f>
        <v>-43725000</v>
      </c>
      <c r="Y142" s="59">
        <f ca="1">NPV($E$129,Z$115:$DE115)</f>
        <v>0</v>
      </c>
      <c r="Z142" s="59">
        <f ca="1">NPV($E$129,AA$115:$DE115)</f>
        <v>0</v>
      </c>
      <c r="AA142" s="59">
        <f ca="1">NPV($E$129,AB$115:$DE115)</f>
        <v>0</v>
      </c>
      <c r="AB142" s="59">
        <f ca="1">NPV($E$129,AC$115:$DE115)</f>
        <v>0</v>
      </c>
      <c r="AC142" s="59">
        <f ca="1">NPV($E$129,AD$115:$DE115)</f>
        <v>0</v>
      </c>
      <c r="AD142" s="59">
        <f ca="1">NPV($E$129,AE$115:$DE115)</f>
        <v>0</v>
      </c>
      <c r="AE142" s="59">
        <f ca="1">NPV($E$129,AF$115:$DE115)</f>
        <v>0</v>
      </c>
      <c r="AF142" s="59">
        <f ca="1">NPV($E$129,AG$115:$DE115)</f>
        <v>0</v>
      </c>
      <c r="AG142" s="59">
        <f ca="1">NPV($E$129,AH$115:$DE115)</f>
        <v>0</v>
      </c>
      <c r="AH142" s="59">
        <f ca="1">NPV($E$129,AI$115:$DE115)</f>
        <v>0</v>
      </c>
      <c r="AI142" s="59">
        <f ca="1">NPV($E$129,AJ$115:$DE115)</f>
        <v>0</v>
      </c>
      <c r="AJ142" s="59">
        <f ca="1">NPV($E$129,AK$115:$DE115)</f>
        <v>0</v>
      </c>
      <c r="AK142" s="59">
        <f ca="1">NPV($E$129,AL$115:$DE115)</f>
        <v>0</v>
      </c>
      <c r="AL142" s="59">
        <f ca="1">NPV($E$129,AM$115:$DE115)</f>
        <v>0</v>
      </c>
      <c r="AM142" s="59">
        <f ca="1">NPV($E$129,AN$115:$DE115)</f>
        <v>0</v>
      </c>
      <c r="AN142" s="59">
        <f ca="1">NPV($E$129,AO$115:$DE115)</f>
        <v>0</v>
      </c>
      <c r="AO142" s="59">
        <f ca="1">NPV($E$129,AP$115:$DE115)</f>
        <v>0</v>
      </c>
      <c r="AP142" s="59">
        <f ca="1">NPV($E$129,AQ$115:$DE115)</f>
        <v>0</v>
      </c>
      <c r="AQ142" s="59">
        <f ca="1">NPV($E$129,AR$115:$DE115)</f>
        <v>0</v>
      </c>
      <c r="AR142" s="59">
        <f ca="1">NPV($E$129,AS$115:$DE115)</f>
        <v>0</v>
      </c>
      <c r="AS142" s="59">
        <f ca="1">NPV($E$129,AT$115:$DE115)</f>
        <v>0</v>
      </c>
      <c r="AT142" s="59">
        <f ca="1">NPV($E$129,AU$115:$DE115)</f>
        <v>0</v>
      </c>
      <c r="AU142" s="59">
        <f ca="1">NPV($E$129,AV$115:$DE115)</f>
        <v>0</v>
      </c>
      <c r="AV142" s="59">
        <f ca="1">NPV($E$129,AW$115:$DE115)</f>
        <v>0</v>
      </c>
      <c r="AW142" s="59">
        <f ca="1">NPV($E$129,AX$115:$DE115)</f>
        <v>0</v>
      </c>
      <c r="AX142" s="59">
        <f ca="1">NPV($E$129,AY$115:$DE115)</f>
        <v>0</v>
      </c>
      <c r="AY142" s="59">
        <f ca="1">NPV($E$129,AZ$115:$DE115)</f>
        <v>0</v>
      </c>
      <c r="AZ142" s="59">
        <f ca="1">NPV($E$129,BA$115:$DE115)</f>
        <v>0</v>
      </c>
      <c r="BA142" s="59">
        <f ca="1">NPV($E$129,BB$115:$DE115)</f>
        <v>0</v>
      </c>
      <c r="BB142" s="59">
        <f ca="1">NPV($E$129,BC$115:$DE115)</f>
        <v>0</v>
      </c>
      <c r="BC142" s="59">
        <f ca="1">NPV($E$129,BD$115:$DE115)</f>
        <v>0</v>
      </c>
      <c r="BD142" s="59">
        <f ca="1">NPV($E$129,BE$115:$DE115)</f>
        <v>0</v>
      </c>
      <c r="BE142" s="59">
        <f ca="1">NPV($E$129,BF$115:$DE115)</f>
        <v>0</v>
      </c>
      <c r="BF142" s="59">
        <f ca="1">NPV($E$129,BG$115:$DE115)</f>
        <v>0</v>
      </c>
      <c r="BG142" s="59">
        <f ca="1">NPV($E$129,BH$115:$DE115)</f>
        <v>0</v>
      </c>
      <c r="BH142" s="59">
        <f ca="1">NPV($E$129,BI$115:$DE115)</f>
        <v>0</v>
      </c>
      <c r="BI142" s="59">
        <f ca="1">NPV($E$129,BJ$115:$DE115)</f>
        <v>0</v>
      </c>
      <c r="BJ142" s="59">
        <f ca="1">NPV($E$129,BK$115:$DE115)</f>
        <v>0</v>
      </c>
      <c r="BK142" s="59">
        <f ca="1">NPV($E$129,BL$115:$DE115)</f>
        <v>0</v>
      </c>
      <c r="BL142" s="59">
        <f ca="1">NPV($E$129,BM$115:$DE115)</f>
        <v>0</v>
      </c>
      <c r="BM142" s="59">
        <f ca="1">NPV($E$129,BN$115:$DE115)</f>
        <v>0</v>
      </c>
      <c r="BN142" s="59">
        <f ca="1">NPV($E$129,BO$115:$DE115)</f>
        <v>0</v>
      </c>
      <c r="BO142" s="59">
        <f ca="1">NPV($E$129,BP$115:$DE115)</f>
        <v>0</v>
      </c>
      <c r="BP142" s="59">
        <f ca="1">NPV($E$129,BQ$115:$DE115)</f>
        <v>0</v>
      </c>
      <c r="BQ142" s="59">
        <f ca="1">NPV($E$129,BR$115:$DE115)</f>
        <v>0</v>
      </c>
      <c r="BR142" s="59">
        <f ca="1">NPV($E$129,BS$115:$DE115)</f>
        <v>0</v>
      </c>
      <c r="BS142" s="59">
        <f ca="1">NPV($E$129,BT$115:$DE115)</f>
        <v>0</v>
      </c>
      <c r="BT142" s="59">
        <f ca="1">NPV($E$129,BU$115:$DE115)</f>
        <v>0</v>
      </c>
      <c r="BU142" s="59">
        <f ca="1">NPV($E$129,BV$115:$DE115)</f>
        <v>0</v>
      </c>
      <c r="BV142" s="59">
        <f ca="1">NPV($E$129,BW$115:$DE115)</f>
        <v>0</v>
      </c>
      <c r="BW142" s="59">
        <f ca="1">NPV($E$129,BX$115:$DE115)</f>
        <v>0</v>
      </c>
      <c r="BX142" s="59">
        <f ca="1">NPV($E$129,BY$115:$DE115)</f>
        <v>0</v>
      </c>
      <c r="BY142" s="59">
        <f ca="1">NPV($E$129,BZ$115:$DE115)</f>
        <v>0</v>
      </c>
      <c r="BZ142" s="59">
        <f ca="1">NPV($E$129,CA$115:$DE115)</f>
        <v>0</v>
      </c>
      <c r="CA142" s="59">
        <f ca="1">NPV($E$129,CB$115:$DE115)</f>
        <v>0</v>
      </c>
      <c r="CB142" s="59">
        <f ca="1">NPV($E$129,CC$115:$DE115)</f>
        <v>0</v>
      </c>
      <c r="CC142" s="59">
        <f ca="1">NPV($E$129,CD$115:$DE115)</f>
        <v>0</v>
      </c>
      <c r="CD142" s="59">
        <f ca="1">NPV($E$129,CE$115:$DE115)</f>
        <v>0</v>
      </c>
      <c r="CE142" s="59">
        <f ca="1">NPV($E$129,CF$115:$DE115)</f>
        <v>0</v>
      </c>
      <c r="CF142" s="59">
        <f ca="1">NPV($E$129,CG$115:$DE115)</f>
        <v>0</v>
      </c>
      <c r="CG142" s="59">
        <f ca="1">NPV($E$129,CH$115:$DE115)</f>
        <v>0</v>
      </c>
      <c r="CH142" s="59">
        <f ca="1">NPV($E$129,CI$115:$DE115)</f>
        <v>0</v>
      </c>
      <c r="CI142" s="59">
        <f ca="1">NPV($E$129,CJ$115:$DE115)</f>
        <v>0</v>
      </c>
      <c r="CJ142" s="59">
        <f ca="1">NPV($E$129,CK$115:$DE115)</f>
        <v>0</v>
      </c>
      <c r="CK142" s="59">
        <f ca="1">NPV($E$129,CL$115:$DE115)</f>
        <v>0</v>
      </c>
      <c r="CL142" s="59">
        <f ca="1">NPV($E$129,CM$115:$DE115)</f>
        <v>0</v>
      </c>
      <c r="CM142" s="59">
        <f ca="1">NPV($E$129,CN$115:$DE115)</f>
        <v>0</v>
      </c>
      <c r="CN142" s="59">
        <f ca="1">NPV($E$129,CO$115:$DE115)</f>
        <v>0</v>
      </c>
      <c r="CO142" s="59">
        <f ca="1">NPV($E$129,CP$115:$DE115)</f>
        <v>0</v>
      </c>
      <c r="CP142" s="59">
        <f ca="1">NPV($E$129,CQ$115:$DE115)</f>
        <v>0</v>
      </c>
      <c r="CQ142" s="59">
        <f ca="1">NPV($E$129,CR$115:$DE115)</f>
        <v>0</v>
      </c>
      <c r="CR142" s="59">
        <f ca="1">NPV($E$129,CS$115:$DE115)</f>
        <v>0</v>
      </c>
      <c r="CS142" s="59">
        <f ca="1">NPV($E$129,CT$115:$DE115)</f>
        <v>0</v>
      </c>
      <c r="CT142" s="59">
        <f ca="1">NPV($E$129,CU$115:$DE115)</f>
        <v>0</v>
      </c>
      <c r="CU142" s="59">
        <f ca="1">NPV($E$129,CV$115:$DE115)</f>
        <v>0</v>
      </c>
      <c r="CV142" s="59">
        <f ca="1">NPV($E$129,CW$115:$DE115)</f>
        <v>0</v>
      </c>
      <c r="CW142" s="59">
        <f ca="1">NPV($E$129,CX$115:$DE115)</f>
        <v>0</v>
      </c>
      <c r="CX142" s="59">
        <f ca="1">NPV($E$129,CY$115:$DE115)</f>
        <v>0</v>
      </c>
      <c r="CY142" s="59">
        <f ca="1">NPV($E$129,CZ$115:$DE115)</f>
        <v>0</v>
      </c>
      <c r="CZ142" s="59">
        <f ca="1">NPV($E$129,DA$115:$DE115)</f>
        <v>0</v>
      </c>
      <c r="DA142" s="59">
        <f ca="1">NPV($E$129,DB$115:$DE115)</f>
        <v>0</v>
      </c>
      <c r="DB142" s="59">
        <f ca="1">NPV($E$129,DC$115:$DE115)</f>
        <v>0</v>
      </c>
      <c r="DC142" s="59">
        <f ca="1">NPV($E$129,DD$115:$DE115)</f>
        <v>0</v>
      </c>
      <c r="DD142" s="59">
        <f ca="1">NPV($E$129,DE$115:$DE115)</f>
        <v>0</v>
      </c>
      <c r="DE142" s="59">
        <f ca="1">NPV($E$129,$DE$115:DF115)</f>
        <v>0</v>
      </c>
    </row>
    <row r="143" spans="3:109" x14ac:dyDescent="0.15">
      <c r="C143" s="23" t="s">
        <v>262</v>
      </c>
      <c r="D143" s="5" t="s">
        <v>0</v>
      </c>
      <c r="J143" s="37">
        <f t="shared" ref="J143:AO143" ca="1" si="82">J123</f>
        <v>1552697806.3504634</v>
      </c>
      <c r="K143" s="37">
        <f t="shared" ca="1" si="82"/>
        <v>1288214080.0178604</v>
      </c>
      <c r="L143" s="37">
        <f t="shared" ca="1" si="82"/>
        <v>575943069.90217233</v>
      </c>
      <c r="M143" s="37">
        <f t="shared" ca="1" si="82"/>
        <v>148282915.08359212</v>
      </c>
      <c r="N143" s="37">
        <f t="shared" ca="1" si="82"/>
        <v>886642834.47683263</v>
      </c>
      <c r="O143" s="37">
        <f t="shared" ca="1" si="82"/>
        <v>1738540834.0588853</v>
      </c>
      <c r="P143" s="37">
        <f t="shared" ca="1" si="82"/>
        <v>2650337201.3308644</v>
      </c>
      <c r="Q143" s="37">
        <f t="shared" ca="1" si="82"/>
        <v>3595145919.5854068</v>
      </c>
      <c r="R143" s="37">
        <f t="shared" ca="1" si="82"/>
        <v>4437571327.2095881</v>
      </c>
      <c r="S143" s="37">
        <f t="shared" ca="1" si="82"/>
        <v>4919935829.0815735</v>
      </c>
      <c r="T143" s="37">
        <f t="shared" ca="1" si="82"/>
        <v>5442745739.0633478</v>
      </c>
      <c r="U143" s="37">
        <f t="shared" ca="1" si="82"/>
        <v>6019935482.4151058</v>
      </c>
      <c r="V143" s="37">
        <f t="shared" ca="1" si="82"/>
        <v>6485967361.4437647</v>
      </c>
      <c r="W143" s="37">
        <f t="shared" ca="1" si="82"/>
        <v>6970706380.0913239</v>
      </c>
      <c r="X143" s="37">
        <f t="shared" ca="1" si="82"/>
        <v>7132882849.2280092</v>
      </c>
      <c r="Y143" s="37">
        <f t="shared" ca="1" si="82"/>
        <v>7085659849.2280092</v>
      </c>
      <c r="Z143" s="37">
        <f t="shared" ca="1" si="82"/>
        <v>7085659849.2280092</v>
      </c>
      <c r="AA143" s="37">
        <f t="shared" ca="1" si="82"/>
        <v>7085659849.2280092</v>
      </c>
      <c r="AB143" s="37">
        <f t="shared" ca="1" si="82"/>
        <v>7085659849.2280092</v>
      </c>
      <c r="AC143" s="37">
        <f t="shared" ca="1" si="82"/>
        <v>7085659849.2280092</v>
      </c>
      <c r="AD143" s="37">
        <f t="shared" ca="1" si="82"/>
        <v>7085659849.2280092</v>
      </c>
      <c r="AE143" s="37">
        <f t="shared" ca="1" si="82"/>
        <v>7085659849.2280092</v>
      </c>
      <c r="AF143" s="37">
        <f t="shared" ca="1" si="82"/>
        <v>7085659849.2280092</v>
      </c>
      <c r="AG143" s="37">
        <f t="shared" ca="1" si="82"/>
        <v>7085659849.2280092</v>
      </c>
      <c r="AH143" s="37">
        <f t="shared" ca="1" si="82"/>
        <v>7085659849.2280092</v>
      </c>
      <c r="AI143" s="37">
        <f t="shared" ca="1" si="82"/>
        <v>7085659849.2280092</v>
      </c>
      <c r="AJ143" s="37">
        <f t="shared" ca="1" si="82"/>
        <v>7085659849.2280092</v>
      </c>
      <c r="AK143" s="37">
        <f t="shared" ca="1" si="82"/>
        <v>7085659849.2280092</v>
      </c>
      <c r="AL143" s="37">
        <f t="shared" ca="1" si="82"/>
        <v>7085659849.2280092</v>
      </c>
      <c r="AM143" s="37">
        <f t="shared" ca="1" si="82"/>
        <v>7085659849.2280092</v>
      </c>
      <c r="AN143" s="37">
        <f t="shared" ca="1" si="82"/>
        <v>7085659849.2280092</v>
      </c>
      <c r="AO143" s="37">
        <f t="shared" ca="1" si="82"/>
        <v>7085659849.2280092</v>
      </c>
      <c r="AP143" s="37">
        <f t="shared" ref="AP143:BU143" ca="1" si="83">AP123</f>
        <v>7085659849.2280092</v>
      </c>
      <c r="AQ143" s="37">
        <f t="shared" ca="1" si="83"/>
        <v>7085659849.2280092</v>
      </c>
      <c r="AR143" s="37">
        <f t="shared" ca="1" si="83"/>
        <v>7085659849.2280092</v>
      </c>
      <c r="AS143" s="37">
        <f t="shared" ca="1" si="83"/>
        <v>7085659849.2280092</v>
      </c>
      <c r="AT143" s="37">
        <f t="shared" ca="1" si="83"/>
        <v>7085659849.2280092</v>
      </c>
      <c r="AU143" s="37">
        <f t="shared" ca="1" si="83"/>
        <v>7085659849.2280092</v>
      </c>
      <c r="AV143" s="37">
        <f t="shared" ca="1" si="83"/>
        <v>7085659849.2280092</v>
      </c>
      <c r="AW143" s="37">
        <f t="shared" ca="1" si="83"/>
        <v>7085659849.2280092</v>
      </c>
      <c r="AX143" s="37">
        <f t="shared" ca="1" si="83"/>
        <v>7085659849.2280092</v>
      </c>
      <c r="AY143" s="37">
        <f t="shared" ca="1" si="83"/>
        <v>7085659849.2280092</v>
      </c>
      <c r="AZ143" s="37">
        <f t="shared" ca="1" si="83"/>
        <v>7085659849.2280092</v>
      </c>
      <c r="BA143" s="37">
        <f t="shared" ca="1" si="83"/>
        <v>7085659849.2280092</v>
      </c>
      <c r="BB143" s="37">
        <f t="shared" ca="1" si="83"/>
        <v>7085659849.2280092</v>
      </c>
      <c r="BC143" s="37">
        <f t="shared" ca="1" si="83"/>
        <v>7085659849.2280092</v>
      </c>
      <c r="BD143" s="37">
        <f t="shared" ca="1" si="83"/>
        <v>7085659849.2280092</v>
      </c>
      <c r="BE143" s="37">
        <f t="shared" ca="1" si="83"/>
        <v>7085659849.2280092</v>
      </c>
      <c r="BF143" s="37">
        <f t="shared" ca="1" si="83"/>
        <v>7085659849.2280092</v>
      </c>
      <c r="BG143" s="37">
        <f t="shared" ca="1" si="83"/>
        <v>7085659849.2280092</v>
      </c>
      <c r="BH143" s="37">
        <f t="shared" ca="1" si="83"/>
        <v>7085659849.2280092</v>
      </c>
      <c r="BI143" s="37">
        <f t="shared" ca="1" si="83"/>
        <v>7085659849.2280092</v>
      </c>
      <c r="BJ143" s="37">
        <f t="shared" ca="1" si="83"/>
        <v>7085659849.2280092</v>
      </c>
      <c r="BK143" s="37">
        <f t="shared" ca="1" si="83"/>
        <v>7085659849.2280092</v>
      </c>
      <c r="BL143" s="37">
        <f t="shared" ca="1" si="83"/>
        <v>7085659849.2280092</v>
      </c>
      <c r="BM143" s="37">
        <f t="shared" ca="1" si="83"/>
        <v>7085659849.2280092</v>
      </c>
      <c r="BN143" s="37">
        <f t="shared" ca="1" si="83"/>
        <v>7085659849.2280092</v>
      </c>
      <c r="BO143" s="37">
        <f t="shared" ca="1" si="83"/>
        <v>7085659849.2280092</v>
      </c>
      <c r="BP143" s="37">
        <f t="shared" ca="1" si="83"/>
        <v>7085659849.2280092</v>
      </c>
      <c r="BQ143" s="37">
        <f t="shared" ca="1" si="83"/>
        <v>7085659849.2280092</v>
      </c>
      <c r="BR143" s="37">
        <f t="shared" ca="1" si="83"/>
        <v>7085659849.2280092</v>
      </c>
      <c r="BS143" s="37">
        <f t="shared" ca="1" si="83"/>
        <v>7085659849.2280092</v>
      </c>
      <c r="BT143" s="37">
        <f t="shared" ca="1" si="83"/>
        <v>7085659849.2280092</v>
      </c>
      <c r="BU143" s="37">
        <f t="shared" ca="1" si="83"/>
        <v>7085659849.2280092</v>
      </c>
      <c r="BV143" s="37">
        <f t="shared" ref="BV143:DE143" ca="1" si="84">BV123</f>
        <v>7085659849.2280092</v>
      </c>
      <c r="BW143" s="37">
        <f t="shared" ca="1" si="84"/>
        <v>7085659849.2280092</v>
      </c>
      <c r="BX143" s="37">
        <f t="shared" ca="1" si="84"/>
        <v>7085659849.2280092</v>
      </c>
      <c r="BY143" s="37">
        <f t="shared" ca="1" si="84"/>
        <v>7085659849.2280092</v>
      </c>
      <c r="BZ143" s="37">
        <f t="shared" ca="1" si="84"/>
        <v>7085659849.2280092</v>
      </c>
      <c r="CA143" s="37">
        <f t="shared" ca="1" si="84"/>
        <v>7085659849.2280092</v>
      </c>
      <c r="CB143" s="37">
        <f t="shared" ca="1" si="84"/>
        <v>7085659849.2280092</v>
      </c>
      <c r="CC143" s="37">
        <f t="shared" ca="1" si="84"/>
        <v>7085659849.2280092</v>
      </c>
      <c r="CD143" s="37">
        <f t="shared" ca="1" si="84"/>
        <v>7085659849.2280092</v>
      </c>
      <c r="CE143" s="37">
        <f t="shared" ca="1" si="84"/>
        <v>7085659849.2280092</v>
      </c>
      <c r="CF143" s="37">
        <f t="shared" ca="1" si="84"/>
        <v>7085659849.2280092</v>
      </c>
      <c r="CG143" s="37">
        <f t="shared" ca="1" si="84"/>
        <v>7085659849.2280092</v>
      </c>
      <c r="CH143" s="37">
        <f t="shared" ca="1" si="84"/>
        <v>7085659849.2280092</v>
      </c>
      <c r="CI143" s="37">
        <f t="shared" ca="1" si="84"/>
        <v>7085659849.2280092</v>
      </c>
      <c r="CJ143" s="37">
        <f t="shared" ca="1" si="84"/>
        <v>7085659849.2280092</v>
      </c>
      <c r="CK143" s="37">
        <f t="shared" ca="1" si="84"/>
        <v>7085659849.2280092</v>
      </c>
      <c r="CL143" s="37">
        <f t="shared" ca="1" si="84"/>
        <v>7085659849.2280092</v>
      </c>
      <c r="CM143" s="37">
        <f t="shared" ca="1" si="84"/>
        <v>7085659849.2280092</v>
      </c>
      <c r="CN143" s="37">
        <f t="shared" ca="1" si="84"/>
        <v>7085659849.2280092</v>
      </c>
      <c r="CO143" s="37">
        <f t="shared" ca="1" si="84"/>
        <v>7085659849.2280092</v>
      </c>
      <c r="CP143" s="37">
        <f t="shared" ca="1" si="84"/>
        <v>7085659849.2280092</v>
      </c>
      <c r="CQ143" s="37">
        <f t="shared" ca="1" si="84"/>
        <v>7085659849.2280092</v>
      </c>
      <c r="CR143" s="37">
        <f t="shared" ca="1" si="84"/>
        <v>7085659849.2280092</v>
      </c>
      <c r="CS143" s="37">
        <f t="shared" ca="1" si="84"/>
        <v>7085659849.2280092</v>
      </c>
      <c r="CT143" s="37">
        <f t="shared" ca="1" si="84"/>
        <v>7085659849.2280092</v>
      </c>
      <c r="CU143" s="37">
        <f t="shared" ca="1" si="84"/>
        <v>7085659849.2280092</v>
      </c>
      <c r="CV143" s="37">
        <f t="shared" ca="1" si="84"/>
        <v>7085659849.2280092</v>
      </c>
      <c r="CW143" s="37">
        <f t="shared" ca="1" si="84"/>
        <v>7085659849.2280092</v>
      </c>
      <c r="CX143" s="37">
        <f t="shared" ca="1" si="84"/>
        <v>7085659849.2280092</v>
      </c>
      <c r="CY143" s="37">
        <f t="shared" ca="1" si="84"/>
        <v>7085659849.2280092</v>
      </c>
      <c r="CZ143" s="37">
        <f t="shared" ca="1" si="84"/>
        <v>7085659849.2280092</v>
      </c>
      <c r="DA143" s="37">
        <f t="shared" ca="1" si="84"/>
        <v>7085659849.2280092</v>
      </c>
      <c r="DB143" s="37">
        <f t="shared" ca="1" si="84"/>
        <v>7085659849.2280092</v>
      </c>
      <c r="DC143" s="37">
        <f t="shared" ca="1" si="84"/>
        <v>7085659849.2280092</v>
      </c>
      <c r="DD143" s="37">
        <f t="shared" ca="1" si="84"/>
        <v>7085659849.2280092</v>
      </c>
      <c r="DE143" s="37">
        <f t="shared" ca="1" si="84"/>
        <v>7085659849.2280092</v>
      </c>
    </row>
    <row r="144" spans="3:109" x14ac:dyDescent="0.15">
      <c r="C144" s="23" t="s">
        <v>263</v>
      </c>
      <c r="D144" s="5" t="s">
        <v>0</v>
      </c>
      <c r="J144" s="37">
        <f t="shared" ref="J144:AO144" ca="1" si="85">SUM(J142:J143)</f>
        <v>4195815521.7363381</v>
      </c>
      <c r="K144" s="37">
        <f t="shared" ca="1" si="85"/>
        <v>4407264938.9672089</v>
      </c>
      <c r="L144" s="37">
        <f t="shared" ca="1" si="85"/>
        <v>4656789007.683156</v>
      </c>
      <c r="M144" s="37">
        <f t="shared" ca="1" si="85"/>
        <v>4983256682.705636</v>
      </c>
      <c r="N144" s="37">
        <f t="shared" ca="1" si="85"/>
        <v>5370054584.1153994</v>
      </c>
      <c r="O144" s="37">
        <f t="shared" ca="1" si="85"/>
        <v>5728727524.0864849</v>
      </c>
      <c r="P144" s="37">
        <f t="shared" ca="1" si="85"/>
        <v>6047942459.2886925</v>
      </c>
      <c r="Q144" s="37">
        <f t="shared" ca="1" si="85"/>
        <v>6319750879.9253197</v>
      </c>
      <c r="R144" s="37">
        <f t="shared" ca="1" si="85"/>
        <v>6537719276.752512</v>
      </c>
      <c r="S144" s="37">
        <f t="shared" ca="1" si="85"/>
        <v>6705731112.7159462</v>
      </c>
      <c r="T144" s="37">
        <f t="shared" ca="1" si="85"/>
        <v>6848594735.4066963</v>
      </c>
      <c r="U144" s="37">
        <f t="shared" ca="1" si="85"/>
        <v>6961062655.1141644</v>
      </c>
      <c r="V144" s="37">
        <f t="shared" ca="1" si="85"/>
        <v>7036352828.93009</v>
      </c>
      <c r="W144" s="37">
        <f t="shared" ca="1" si="85"/>
        <v>7080383666.3289957</v>
      </c>
      <c r="X144" s="37">
        <f t="shared" ca="1" si="85"/>
        <v>7089157849.2280092</v>
      </c>
      <c r="Y144" s="37">
        <f t="shared" ca="1" si="85"/>
        <v>7085659849.2280092</v>
      </c>
      <c r="Z144" s="37">
        <f t="shared" ca="1" si="85"/>
        <v>7085659849.2280092</v>
      </c>
      <c r="AA144" s="37">
        <f t="shared" ca="1" si="85"/>
        <v>7085659849.2280092</v>
      </c>
      <c r="AB144" s="37">
        <f t="shared" ca="1" si="85"/>
        <v>7085659849.2280092</v>
      </c>
      <c r="AC144" s="37">
        <f t="shared" ca="1" si="85"/>
        <v>7085659849.2280092</v>
      </c>
      <c r="AD144" s="37">
        <f t="shared" ca="1" si="85"/>
        <v>7085659849.2280092</v>
      </c>
      <c r="AE144" s="37">
        <f t="shared" ca="1" si="85"/>
        <v>7085659849.2280092</v>
      </c>
      <c r="AF144" s="37">
        <f t="shared" ca="1" si="85"/>
        <v>7085659849.2280092</v>
      </c>
      <c r="AG144" s="37">
        <f t="shared" ca="1" si="85"/>
        <v>7085659849.2280092</v>
      </c>
      <c r="AH144" s="37">
        <f t="shared" ca="1" si="85"/>
        <v>7085659849.2280092</v>
      </c>
      <c r="AI144" s="37">
        <f t="shared" ca="1" si="85"/>
        <v>7085659849.2280092</v>
      </c>
      <c r="AJ144" s="37">
        <f t="shared" ca="1" si="85"/>
        <v>7085659849.2280092</v>
      </c>
      <c r="AK144" s="37">
        <f t="shared" ca="1" si="85"/>
        <v>7085659849.2280092</v>
      </c>
      <c r="AL144" s="37">
        <f t="shared" ca="1" si="85"/>
        <v>7085659849.2280092</v>
      </c>
      <c r="AM144" s="37">
        <f t="shared" ca="1" si="85"/>
        <v>7085659849.2280092</v>
      </c>
      <c r="AN144" s="37">
        <f t="shared" ca="1" si="85"/>
        <v>7085659849.2280092</v>
      </c>
      <c r="AO144" s="37">
        <f t="shared" ca="1" si="85"/>
        <v>7085659849.2280092</v>
      </c>
      <c r="AP144" s="37">
        <f t="shared" ref="AP144:BU144" ca="1" si="86">SUM(AP142:AP143)</f>
        <v>7085659849.2280092</v>
      </c>
      <c r="AQ144" s="37">
        <f t="shared" ca="1" si="86"/>
        <v>7085659849.2280092</v>
      </c>
      <c r="AR144" s="37">
        <f t="shared" ca="1" si="86"/>
        <v>7085659849.2280092</v>
      </c>
      <c r="AS144" s="37">
        <f t="shared" ca="1" si="86"/>
        <v>7085659849.2280092</v>
      </c>
      <c r="AT144" s="37">
        <f t="shared" ca="1" si="86"/>
        <v>7085659849.2280092</v>
      </c>
      <c r="AU144" s="37">
        <f t="shared" ca="1" si="86"/>
        <v>7085659849.2280092</v>
      </c>
      <c r="AV144" s="37">
        <f t="shared" ca="1" si="86"/>
        <v>7085659849.2280092</v>
      </c>
      <c r="AW144" s="37">
        <f t="shared" ca="1" si="86"/>
        <v>7085659849.2280092</v>
      </c>
      <c r="AX144" s="37">
        <f t="shared" ca="1" si="86"/>
        <v>7085659849.2280092</v>
      </c>
      <c r="AY144" s="37">
        <f t="shared" ca="1" si="86"/>
        <v>7085659849.2280092</v>
      </c>
      <c r="AZ144" s="37">
        <f t="shared" ca="1" si="86"/>
        <v>7085659849.2280092</v>
      </c>
      <c r="BA144" s="37">
        <f t="shared" ca="1" si="86"/>
        <v>7085659849.2280092</v>
      </c>
      <c r="BB144" s="37">
        <f t="shared" ca="1" si="86"/>
        <v>7085659849.2280092</v>
      </c>
      <c r="BC144" s="37">
        <f t="shared" ca="1" si="86"/>
        <v>7085659849.2280092</v>
      </c>
      <c r="BD144" s="37">
        <f t="shared" ca="1" si="86"/>
        <v>7085659849.2280092</v>
      </c>
      <c r="BE144" s="37">
        <f t="shared" ca="1" si="86"/>
        <v>7085659849.2280092</v>
      </c>
      <c r="BF144" s="37">
        <f t="shared" ca="1" si="86"/>
        <v>7085659849.2280092</v>
      </c>
      <c r="BG144" s="37">
        <f t="shared" ca="1" si="86"/>
        <v>7085659849.2280092</v>
      </c>
      <c r="BH144" s="37">
        <f t="shared" ca="1" si="86"/>
        <v>7085659849.2280092</v>
      </c>
      <c r="BI144" s="37">
        <f t="shared" ca="1" si="86"/>
        <v>7085659849.2280092</v>
      </c>
      <c r="BJ144" s="37">
        <f t="shared" ca="1" si="86"/>
        <v>7085659849.2280092</v>
      </c>
      <c r="BK144" s="37">
        <f t="shared" ca="1" si="86"/>
        <v>7085659849.2280092</v>
      </c>
      <c r="BL144" s="37">
        <f t="shared" ca="1" si="86"/>
        <v>7085659849.2280092</v>
      </c>
      <c r="BM144" s="37">
        <f t="shared" ca="1" si="86"/>
        <v>7085659849.2280092</v>
      </c>
      <c r="BN144" s="37">
        <f t="shared" ca="1" si="86"/>
        <v>7085659849.2280092</v>
      </c>
      <c r="BO144" s="37">
        <f t="shared" ca="1" si="86"/>
        <v>7085659849.2280092</v>
      </c>
      <c r="BP144" s="37">
        <f t="shared" ca="1" si="86"/>
        <v>7085659849.2280092</v>
      </c>
      <c r="BQ144" s="37">
        <f t="shared" ca="1" si="86"/>
        <v>7085659849.2280092</v>
      </c>
      <c r="BR144" s="37">
        <f t="shared" ca="1" si="86"/>
        <v>7085659849.2280092</v>
      </c>
      <c r="BS144" s="37">
        <f t="shared" ca="1" si="86"/>
        <v>7085659849.2280092</v>
      </c>
      <c r="BT144" s="37">
        <f t="shared" ca="1" si="86"/>
        <v>7085659849.2280092</v>
      </c>
      <c r="BU144" s="37">
        <f t="shared" ca="1" si="86"/>
        <v>7085659849.2280092</v>
      </c>
      <c r="BV144" s="37">
        <f t="shared" ref="BV144:DA144" ca="1" si="87">SUM(BV142:BV143)</f>
        <v>7085659849.2280092</v>
      </c>
      <c r="BW144" s="37">
        <f t="shared" ca="1" si="87"/>
        <v>7085659849.2280092</v>
      </c>
      <c r="BX144" s="37">
        <f t="shared" ca="1" si="87"/>
        <v>7085659849.2280092</v>
      </c>
      <c r="BY144" s="37">
        <f t="shared" ca="1" si="87"/>
        <v>7085659849.2280092</v>
      </c>
      <c r="BZ144" s="37">
        <f t="shared" ca="1" si="87"/>
        <v>7085659849.2280092</v>
      </c>
      <c r="CA144" s="37">
        <f t="shared" ca="1" si="87"/>
        <v>7085659849.2280092</v>
      </c>
      <c r="CB144" s="37">
        <f t="shared" ca="1" si="87"/>
        <v>7085659849.2280092</v>
      </c>
      <c r="CC144" s="37">
        <f t="shared" ca="1" si="87"/>
        <v>7085659849.2280092</v>
      </c>
      <c r="CD144" s="37">
        <f t="shared" ca="1" si="87"/>
        <v>7085659849.2280092</v>
      </c>
      <c r="CE144" s="37">
        <f t="shared" ca="1" si="87"/>
        <v>7085659849.2280092</v>
      </c>
      <c r="CF144" s="37">
        <f t="shared" ca="1" si="87"/>
        <v>7085659849.2280092</v>
      </c>
      <c r="CG144" s="37">
        <f t="shared" ca="1" si="87"/>
        <v>7085659849.2280092</v>
      </c>
      <c r="CH144" s="37">
        <f t="shared" ca="1" si="87"/>
        <v>7085659849.2280092</v>
      </c>
      <c r="CI144" s="37">
        <f t="shared" ca="1" si="87"/>
        <v>7085659849.2280092</v>
      </c>
      <c r="CJ144" s="37">
        <f t="shared" ca="1" si="87"/>
        <v>7085659849.2280092</v>
      </c>
      <c r="CK144" s="37">
        <f t="shared" ca="1" si="87"/>
        <v>7085659849.2280092</v>
      </c>
      <c r="CL144" s="37">
        <f t="shared" ca="1" si="87"/>
        <v>7085659849.2280092</v>
      </c>
      <c r="CM144" s="37">
        <f t="shared" ca="1" si="87"/>
        <v>7085659849.2280092</v>
      </c>
      <c r="CN144" s="37">
        <f t="shared" ca="1" si="87"/>
        <v>7085659849.2280092</v>
      </c>
      <c r="CO144" s="37">
        <f t="shared" ca="1" si="87"/>
        <v>7085659849.2280092</v>
      </c>
      <c r="CP144" s="37">
        <f t="shared" ca="1" si="87"/>
        <v>7085659849.2280092</v>
      </c>
      <c r="CQ144" s="37">
        <f t="shared" ca="1" si="87"/>
        <v>7085659849.2280092</v>
      </c>
      <c r="CR144" s="37">
        <f t="shared" ca="1" si="87"/>
        <v>7085659849.2280092</v>
      </c>
      <c r="CS144" s="37">
        <f t="shared" ca="1" si="87"/>
        <v>7085659849.2280092</v>
      </c>
      <c r="CT144" s="37">
        <f t="shared" ca="1" si="87"/>
        <v>7085659849.2280092</v>
      </c>
      <c r="CU144" s="37">
        <f t="shared" ca="1" si="87"/>
        <v>7085659849.2280092</v>
      </c>
      <c r="CV144" s="37">
        <f t="shared" ca="1" si="87"/>
        <v>7085659849.2280092</v>
      </c>
      <c r="CW144" s="37">
        <f t="shared" ca="1" si="87"/>
        <v>7085659849.2280092</v>
      </c>
      <c r="CX144" s="37">
        <f t="shared" ca="1" si="87"/>
        <v>7085659849.2280092</v>
      </c>
      <c r="CY144" s="37">
        <f t="shared" ca="1" si="87"/>
        <v>7085659849.2280092</v>
      </c>
      <c r="CZ144" s="37">
        <f t="shared" ca="1" si="87"/>
        <v>7085659849.2280092</v>
      </c>
      <c r="DA144" s="37">
        <f t="shared" ca="1" si="87"/>
        <v>7085659849.2280092</v>
      </c>
      <c r="DB144" s="37">
        <f t="shared" ref="DB144:DE144" ca="1" si="88">SUM(DB142:DB143)</f>
        <v>7085659849.2280092</v>
      </c>
      <c r="DC144" s="37">
        <f t="shared" ca="1" si="88"/>
        <v>7085659849.2280092</v>
      </c>
      <c r="DD144" s="37">
        <f t="shared" ca="1" si="88"/>
        <v>7085659849.2280092</v>
      </c>
      <c r="DE144" s="37">
        <f t="shared" ca="1" si="88"/>
        <v>7085659849.2280092</v>
      </c>
    </row>
    <row r="145" spans="3:109" x14ac:dyDescent="0.15">
      <c r="D145" s="5"/>
    </row>
    <row r="146" spans="3:109" x14ac:dyDescent="0.15">
      <c r="C146" t="s">
        <v>264</v>
      </c>
      <c r="D146" s="5"/>
      <c r="J146" s="78">
        <f t="shared" ref="J146:AO146" ca="1" si="89">J135+J121</f>
        <v>628414325.90969288</v>
      </c>
      <c r="K146" s="78">
        <f t="shared" ca="1" si="89"/>
        <v>628414325.90969288</v>
      </c>
      <c r="L146" s="78">
        <f t="shared" ca="1" si="89"/>
        <v>628414325.90969288</v>
      </c>
      <c r="M146" s="78">
        <f t="shared" ca="1" si="89"/>
        <v>628414325.90969288</v>
      </c>
      <c r="N146" s="78">
        <f t="shared" ca="1" si="89"/>
        <v>628414325.90969288</v>
      </c>
      <c r="O146" s="78">
        <f t="shared" ca="1" si="89"/>
        <v>628414325.90969288</v>
      </c>
      <c r="P146" s="78">
        <f t="shared" ca="1" si="89"/>
        <v>628414325.90969288</v>
      </c>
      <c r="Q146" s="78">
        <f t="shared" ca="1" si="89"/>
        <v>628414325.90969288</v>
      </c>
      <c r="R146" s="78">
        <f t="shared" ca="1" si="89"/>
        <v>628414325.90969288</v>
      </c>
      <c r="S146" s="78">
        <f t="shared" ca="1" si="89"/>
        <v>628414325.90969288</v>
      </c>
      <c r="T146" s="78">
        <f t="shared" ca="1" si="89"/>
        <v>628414325.90969288</v>
      </c>
      <c r="U146" s="78">
        <f t="shared" ca="1" si="89"/>
        <v>628414325.90969288</v>
      </c>
      <c r="V146" s="78">
        <f t="shared" ca="1" si="89"/>
        <v>628414325.90969288</v>
      </c>
      <c r="W146" s="78">
        <f t="shared" ca="1" si="89"/>
        <v>628414325.90969288</v>
      </c>
      <c r="X146" s="78">
        <f t="shared" ca="1" si="89"/>
        <v>628414325.90969288</v>
      </c>
      <c r="Y146" s="78">
        <f t="shared" ca="1" si="89"/>
        <v>628414325.90969288</v>
      </c>
      <c r="Z146" s="78">
        <f t="shared" ca="1" si="89"/>
        <v>628414325.90969288</v>
      </c>
      <c r="AA146" s="78">
        <f t="shared" ca="1" si="89"/>
        <v>628414325.90969288</v>
      </c>
      <c r="AB146" s="78">
        <f t="shared" ca="1" si="89"/>
        <v>628414325.90969288</v>
      </c>
      <c r="AC146" s="78">
        <f t="shared" ca="1" si="89"/>
        <v>628414325.90969288</v>
      </c>
      <c r="AD146" s="78">
        <f t="shared" ca="1" si="89"/>
        <v>628414325.90969288</v>
      </c>
      <c r="AE146" s="78">
        <f t="shared" ca="1" si="89"/>
        <v>628414325.90969288</v>
      </c>
      <c r="AF146" s="78">
        <f t="shared" ca="1" si="89"/>
        <v>628414325.90969288</v>
      </c>
      <c r="AG146" s="78">
        <f t="shared" ca="1" si="89"/>
        <v>628414325.90969288</v>
      </c>
      <c r="AH146" s="78">
        <f t="shared" ca="1" si="89"/>
        <v>628414325.90969288</v>
      </c>
      <c r="AI146" s="78">
        <f t="shared" ca="1" si="89"/>
        <v>628414325.90969288</v>
      </c>
      <c r="AJ146" s="78">
        <f t="shared" ca="1" si="89"/>
        <v>628414325.90969288</v>
      </c>
      <c r="AK146" s="78">
        <f t="shared" ca="1" si="89"/>
        <v>628414325.90969288</v>
      </c>
      <c r="AL146" s="78">
        <f t="shared" ca="1" si="89"/>
        <v>628414325.90969288</v>
      </c>
      <c r="AM146" s="78">
        <f t="shared" ca="1" si="89"/>
        <v>628414325.90969288</v>
      </c>
      <c r="AN146" s="78">
        <f t="shared" ca="1" si="89"/>
        <v>628414325.90969288</v>
      </c>
      <c r="AO146" s="78">
        <f t="shared" ca="1" si="89"/>
        <v>628414325.90969288</v>
      </c>
      <c r="AP146" s="78">
        <f t="shared" ref="AP146:BU146" ca="1" si="90">AP135+AP121</f>
        <v>628414325.90969288</v>
      </c>
      <c r="AQ146" s="78">
        <f t="shared" ca="1" si="90"/>
        <v>628414325.90969288</v>
      </c>
      <c r="AR146" s="78">
        <f t="shared" ca="1" si="90"/>
        <v>628414325.90969288</v>
      </c>
      <c r="AS146" s="78">
        <f t="shared" ca="1" si="90"/>
        <v>628414325.90969288</v>
      </c>
      <c r="AT146" s="78">
        <f t="shared" ca="1" si="90"/>
        <v>628414325.90969288</v>
      </c>
      <c r="AU146" s="78">
        <f t="shared" ca="1" si="90"/>
        <v>628414325.90969288</v>
      </c>
      <c r="AV146" s="78">
        <f t="shared" ca="1" si="90"/>
        <v>628414325.90969288</v>
      </c>
      <c r="AW146" s="78">
        <f t="shared" ca="1" si="90"/>
        <v>628414325.90969288</v>
      </c>
      <c r="AX146" s="78">
        <f t="shared" ca="1" si="90"/>
        <v>628414325.90969288</v>
      </c>
      <c r="AY146" s="78">
        <f t="shared" ca="1" si="90"/>
        <v>628414325.90969288</v>
      </c>
      <c r="AZ146" s="78">
        <f t="shared" ca="1" si="90"/>
        <v>628414325.90969288</v>
      </c>
      <c r="BA146" s="78">
        <f t="shared" ca="1" si="90"/>
        <v>628414325.90969288</v>
      </c>
      <c r="BB146" s="78">
        <f t="shared" ca="1" si="90"/>
        <v>628414325.90969288</v>
      </c>
      <c r="BC146" s="78">
        <f t="shared" ca="1" si="90"/>
        <v>628414325.90969288</v>
      </c>
      <c r="BD146" s="78">
        <f t="shared" ca="1" si="90"/>
        <v>628414325.90969288</v>
      </c>
      <c r="BE146" s="78">
        <f t="shared" ca="1" si="90"/>
        <v>628414325.90969288</v>
      </c>
      <c r="BF146" s="78">
        <f t="shared" ca="1" si="90"/>
        <v>628414325.90969288</v>
      </c>
      <c r="BG146" s="78">
        <f t="shared" ca="1" si="90"/>
        <v>628414325.90969288</v>
      </c>
      <c r="BH146" s="78">
        <f t="shared" ca="1" si="90"/>
        <v>628414325.90969288</v>
      </c>
      <c r="BI146" s="78">
        <f t="shared" ca="1" si="90"/>
        <v>628414325.90969288</v>
      </c>
      <c r="BJ146" s="78">
        <f t="shared" ca="1" si="90"/>
        <v>628414325.90969288</v>
      </c>
      <c r="BK146" s="78">
        <f t="shared" ca="1" si="90"/>
        <v>628414325.90969288</v>
      </c>
      <c r="BL146" s="78">
        <f t="shared" ca="1" si="90"/>
        <v>628414325.90969288</v>
      </c>
      <c r="BM146" s="78">
        <f t="shared" ca="1" si="90"/>
        <v>628414325.90969288</v>
      </c>
      <c r="BN146" s="78">
        <f t="shared" ca="1" si="90"/>
        <v>628414325.90969288</v>
      </c>
      <c r="BO146" s="78">
        <f t="shared" ca="1" si="90"/>
        <v>628414325.90969288</v>
      </c>
      <c r="BP146" s="78">
        <f t="shared" ca="1" si="90"/>
        <v>628414325.90969288</v>
      </c>
      <c r="BQ146" s="78">
        <f t="shared" ca="1" si="90"/>
        <v>628414325.90969288</v>
      </c>
      <c r="BR146" s="78">
        <f t="shared" ca="1" si="90"/>
        <v>628414325.90969288</v>
      </c>
      <c r="BS146" s="78">
        <f t="shared" ca="1" si="90"/>
        <v>628414325.90969288</v>
      </c>
      <c r="BT146" s="78">
        <f t="shared" ca="1" si="90"/>
        <v>628414325.90969288</v>
      </c>
      <c r="BU146" s="78">
        <f t="shared" ca="1" si="90"/>
        <v>628414325.90969288</v>
      </c>
      <c r="BV146" s="78">
        <f t="shared" ref="BV146:DE146" ca="1" si="91">BV135+BV121</f>
        <v>628414325.90969288</v>
      </c>
      <c r="BW146" s="78">
        <f t="shared" ca="1" si="91"/>
        <v>628414325.90969288</v>
      </c>
      <c r="BX146" s="78">
        <f t="shared" ca="1" si="91"/>
        <v>628414325.90969288</v>
      </c>
      <c r="BY146" s="78">
        <f t="shared" ca="1" si="91"/>
        <v>628414325.90969288</v>
      </c>
      <c r="BZ146" s="78">
        <f t="shared" ca="1" si="91"/>
        <v>628414325.90969288</v>
      </c>
      <c r="CA146" s="78">
        <f t="shared" ca="1" si="91"/>
        <v>628414325.90969288</v>
      </c>
      <c r="CB146" s="78">
        <f t="shared" ca="1" si="91"/>
        <v>628414325.90969288</v>
      </c>
      <c r="CC146" s="78">
        <f t="shared" ca="1" si="91"/>
        <v>628414325.90969288</v>
      </c>
      <c r="CD146" s="78">
        <f t="shared" ca="1" si="91"/>
        <v>628414325.90969288</v>
      </c>
      <c r="CE146" s="78">
        <f t="shared" ca="1" si="91"/>
        <v>628414325.90969288</v>
      </c>
      <c r="CF146" s="78">
        <f t="shared" ca="1" si="91"/>
        <v>628414325.90969288</v>
      </c>
      <c r="CG146" s="78">
        <f t="shared" ca="1" si="91"/>
        <v>628414325.90969288</v>
      </c>
      <c r="CH146" s="78">
        <f t="shared" ca="1" si="91"/>
        <v>628414325.90969288</v>
      </c>
      <c r="CI146" s="78">
        <f t="shared" ca="1" si="91"/>
        <v>628414325.90969288</v>
      </c>
      <c r="CJ146" s="78">
        <f t="shared" ca="1" si="91"/>
        <v>628414325.90969288</v>
      </c>
      <c r="CK146" s="78">
        <f t="shared" ca="1" si="91"/>
        <v>628414325.90969288</v>
      </c>
      <c r="CL146" s="78">
        <f t="shared" ca="1" si="91"/>
        <v>628414325.90969288</v>
      </c>
      <c r="CM146" s="78">
        <f t="shared" ca="1" si="91"/>
        <v>628414325.90969288</v>
      </c>
      <c r="CN146" s="78">
        <f t="shared" ca="1" si="91"/>
        <v>628414325.90969288</v>
      </c>
      <c r="CO146" s="78">
        <f t="shared" ca="1" si="91"/>
        <v>628414325.90969288</v>
      </c>
      <c r="CP146" s="78">
        <f t="shared" ca="1" si="91"/>
        <v>628414325.90969288</v>
      </c>
      <c r="CQ146" s="78">
        <f t="shared" ca="1" si="91"/>
        <v>628414325.90969288</v>
      </c>
      <c r="CR146" s="78">
        <f t="shared" ca="1" si="91"/>
        <v>628414325.90969288</v>
      </c>
      <c r="CS146" s="78">
        <f t="shared" ca="1" si="91"/>
        <v>628414325.90969288</v>
      </c>
      <c r="CT146" s="78">
        <f t="shared" ca="1" si="91"/>
        <v>628414325.90969288</v>
      </c>
      <c r="CU146" s="78">
        <f t="shared" ca="1" si="91"/>
        <v>628414325.90969288</v>
      </c>
      <c r="CV146" s="78">
        <f t="shared" ca="1" si="91"/>
        <v>628414325.90969288</v>
      </c>
      <c r="CW146" s="78">
        <f t="shared" ca="1" si="91"/>
        <v>628414325.90969288</v>
      </c>
      <c r="CX146" s="78">
        <f t="shared" ca="1" si="91"/>
        <v>628414325.90969288</v>
      </c>
      <c r="CY146" s="78">
        <f t="shared" ca="1" si="91"/>
        <v>628414325.90969288</v>
      </c>
      <c r="CZ146" s="78">
        <f t="shared" ca="1" si="91"/>
        <v>628414325.90969288</v>
      </c>
      <c r="DA146" s="78">
        <f t="shared" ca="1" si="91"/>
        <v>628414325.90969288</v>
      </c>
      <c r="DB146" s="78">
        <f t="shared" ca="1" si="91"/>
        <v>628414325.90969288</v>
      </c>
      <c r="DC146" s="78">
        <f t="shared" ca="1" si="91"/>
        <v>628414325.90969288</v>
      </c>
      <c r="DD146" s="78">
        <f t="shared" ca="1" si="91"/>
        <v>628414325.90969288</v>
      </c>
      <c r="DE146" s="78">
        <f t="shared" ca="1" si="91"/>
        <v>628414325.90969288</v>
      </c>
    </row>
    <row r="147" spans="3:109" x14ac:dyDescent="0.15">
      <c r="C147" t="s">
        <v>265</v>
      </c>
      <c r="D147" s="5"/>
      <c r="J147" s="63">
        <f t="shared" ref="J147:AO147" ca="1" si="92">J144/J146</f>
        <v>6.6768298378024298</v>
      </c>
      <c r="K147" s="63">
        <f t="shared" ca="1" si="92"/>
        <v>7.0133107366501388</v>
      </c>
      <c r="L147" s="63">
        <f t="shared" ca="1" si="92"/>
        <v>7.4103800879172921</v>
      </c>
      <c r="M147" s="63">
        <f t="shared" ca="1" si="92"/>
        <v>7.9298903243363705</v>
      </c>
      <c r="N147" s="63">
        <f t="shared" ca="1" si="92"/>
        <v>8.5454044612075091</v>
      </c>
      <c r="O147" s="63">
        <f t="shared" ca="1" si="92"/>
        <v>9.1161631552456672</v>
      </c>
      <c r="P147" s="63">
        <f t="shared" ca="1" si="92"/>
        <v>9.6241320573551352</v>
      </c>
      <c r="Q147" s="63">
        <f t="shared" ca="1" si="92"/>
        <v>10.056662649720542</v>
      </c>
      <c r="R147" s="63">
        <f t="shared" ca="1" si="92"/>
        <v>10.403517245232285</v>
      </c>
      <c r="S147" s="63">
        <f t="shared" ca="1" si="92"/>
        <v>10.670875624944939</v>
      </c>
      <c r="T147" s="63">
        <f t="shared" ca="1" si="92"/>
        <v>10.898215481470235</v>
      </c>
      <c r="U147" s="63">
        <f t="shared" ca="1" si="92"/>
        <v>11.077186448665579</v>
      </c>
      <c r="V147" s="63">
        <f t="shared" ca="1" si="92"/>
        <v>11.196996215425646</v>
      </c>
      <c r="W147" s="63">
        <f t="shared" ca="1" si="92"/>
        <v>11.267062787086257</v>
      </c>
      <c r="X147" s="63">
        <f t="shared" ca="1" si="92"/>
        <v>11.281025204137002</v>
      </c>
      <c r="Y147" s="63">
        <f t="shared" ca="1" si="92"/>
        <v>11.275458812895145</v>
      </c>
      <c r="Z147" s="63">
        <f t="shared" ca="1" si="92"/>
        <v>11.275458812895145</v>
      </c>
      <c r="AA147" s="63">
        <f t="shared" ca="1" si="92"/>
        <v>11.275458812895145</v>
      </c>
      <c r="AB147" s="63">
        <f t="shared" ca="1" si="92"/>
        <v>11.275458812895145</v>
      </c>
      <c r="AC147" s="63">
        <f t="shared" ca="1" si="92"/>
        <v>11.275458812895145</v>
      </c>
      <c r="AD147" s="63">
        <f t="shared" ca="1" si="92"/>
        <v>11.275458812895145</v>
      </c>
      <c r="AE147" s="63">
        <f t="shared" ca="1" si="92"/>
        <v>11.275458812895145</v>
      </c>
      <c r="AF147" s="63">
        <f t="shared" ca="1" si="92"/>
        <v>11.275458812895145</v>
      </c>
      <c r="AG147" s="63">
        <f t="shared" ca="1" si="92"/>
        <v>11.275458812895145</v>
      </c>
      <c r="AH147" s="63">
        <f t="shared" ca="1" si="92"/>
        <v>11.275458812895145</v>
      </c>
      <c r="AI147" s="63">
        <f t="shared" ca="1" si="92"/>
        <v>11.275458812895145</v>
      </c>
      <c r="AJ147" s="63">
        <f t="shared" ca="1" si="92"/>
        <v>11.275458812895145</v>
      </c>
      <c r="AK147" s="63">
        <f t="shared" ca="1" si="92"/>
        <v>11.275458812895145</v>
      </c>
      <c r="AL147" s="63">
        <f t="shared" ca="1" si="92"/>
        <v>11.275458812895145</v>
      </c>
      <c r="AM147" s="63">
        <f t="shared" ca="1" si="92"/>
        <v>11.275458812895145</v>
      </c>
      <c r="AN147" s="63">
        <f t="shared" ca="1" si="92"/>
        <v>11.275458812895145</v>
      </c>
      <c r="AO147" s="63">
        <f t="shared" ca="1" si="92"/>
        <v>11.275458812895145</v>
      </c>
      <c r="AP147" s="63">
        <f t="shared" ref="AP147:BU147" ca="1" si="93">AP144/AP146</f>
        <v>11.275458812895145</v>
      </c>
      <c r="AQ147" s="63">
        <f t="shared" ca="1" si="93"/>
        <v>11.275458812895145</v>
      </c>
      <c r="AR147" s="63">
        <f t="shared" ca="1" si="93"/>
        <v>11.275458812895145</v>
      </c>
      <c r="AS147" s="63">
        <f t="shared" ca="1" si="93"/>
        <v>11.275458812895145</v>
      </c>
      <c r="AT147" s="63">
        <f t="shared" ca="1" si="93"/>
        <v>11.275458812895145</v>
      </c>
      <c r="AU147" s="63">
        <f t="shared" ca="1" si="93"/>
        <v>11.275458812895145</v>
      </c>
      <c r="AV147" s="63">
        <f t="shared" ca="1" si="93"/>
        <v>11.275458812895145</v>
      </c>
      <c r="AW147" s="63">
        <f t="shared" ca="1" si="93"/>
        <v>11.275458812895145</v>
      </c>
      <c r="AX147" s="63">
        <f t="shared" ca="1" si="93"/>
        <v>11.275458812895145</v>
      </c>
      <c r="AY147" s="63">
        <f t="shared" ca="1" si="93"/>
        <v>11.275458812895145</v>
      </c>
      <c r="AZ147" s="63">
        <f t="shared" ca="1" si="93"/>
        <v>11.275458812895145</v>
      </c>
      <c r="BA147" s="63">
        <f t="shared" ca="1" si="93"/>
        <v>11.275458812895145</v>
      </c>
      <c r="BB147" s="63">
        <f t="shared" ca="1" si="93"/>
        <v>11.275458812895145</v>
      </c>
      <c r="BC147" s="63">
        <f t="shared" ca="1" si="93"/>
        <v>11.275458812895145</v>
      </c>
      <c r="BD147" s="63">
        <f t="shared" ca="1" si="93"/>
        <v>11.275458812895145</v>
      </c>
      <c r="BE147" s="63">
        <f t="shared" ca="1" si="93"/>
        <v>11.275458812895145</v>
      </c>
      <c r="BF147" s="63">
        <f t="shared" ca="1" si="93"/>
        <v>11.275458812895145</v>
      </c>
      <c r="BG147" s="63">
        <f t="shared" ca="1" si="93"/>
        <v>11.275458812895145</v>
      </c>
      <c r="BH147" s="63">
        <f t="shared" ca="1" si="93"/>
        <v>11.275458812895145</v>
      </c>
      <c r="BI147" s="63">
        <f t="shared" ca="1" si="93"/>
        <v>11.275458812895145</v>
      </c>
      <c r="BJ147" s="63">
        <f t="shared" ca="1" si="93"/>
        <v>11.275458812895145</v>
      </c>
      <c r="BK147" s="63">
        <f t="shared" ca="1" si="93"/>
        <v>11.275458812895145</v>
      </c>
      <c r="BL147" s="63">
        <f t="shared" ca="1" si="93"/>
        <v>11.275458812895145</v>
      </c>
      <c r="BM147" s="63">
        <f t="shared" ca="1" si="93"/>
        <v>11.275458812895145</v>
      </c>
      <c r="BN147" s="63">
        <f t="shared" ca="1" si="93"/>
        <v>11.275458812895145</v>
      </c>
      <c r="BO147" s="63">
        <f t="shared" ca="1" si="93"/>
        <v>11.275458812895145</v>
      </c>
      <c r="BP147" s="63">
        <f t="shared" ca="1" si="93"/>
        <v>11.275458812895145</v>
      </c>
      <c r="BQ147" s="63">
        <f t="shared" ca="1" si="93"/>
        <v>11.275458812895145</v>
      </c>
      <c r="BR147" s="63">
        <f t="shared" ca="1" si="93"/>
        <v>11.275458812895145</v>
      </c>
      <c r="BS147" s="63">
        <f t="shared" ca="1" si="93"/>
        <v>11.275458812895145</v>
      </c>
      <c r="BT147" s="63">
        <f t="shared" ca="1" si="93"/>
        <v>11.275458812895145</v>
      </c>
      <c r="BU147" s="63">
        <f t="shared" ca="1" si="93"/>
        <v>11.275458812895145</v>
      </c>
      <c r="BV147" s="63">
        <f t="shared" ref="BV147:DA147" ca="1" si="94">BV144/BV146</f>
        <v>11.275458812895145</v>
      </c>
      <c r="BW147" s="63">
        <f t="shared" ca="1" si="94"/>
        <v>11.275458812895145</v>
      </c>
      <c r="BX147" s="63">
        <f t="shared" ca="1" si="94"/>
        <v>11.275458812895145</v>
      </c>
      <c r="BY147" s="63">
        <f t="shared" ca="1" si="94"/>
        <v>11.275458812895145</v>
      </c>
      <c r="BZ147" s="63">
        <f t="shared" ca="1" si="94"/>
        <v>11.275458812895145</v>
      </c>
      <c r="CA147" s="63">
        <f t="shared" ca="1" si="94"/>
        <v>11.275458812895145</v>
      </c>
      <c r="CB147" s="63">
        <f t="shared" ca="1" si="94"/>
        <v>11.275458812895145</v>
      </c>
      <c r="CC147" s="63">
        <f t="shared" ca="1" si="94"/>
        <v>11.275458812895145</v>
      </c>
      <c r="CD147" s="63">
        <f t="shared" ca="1" si="94"/>
        <v>11.275458812895145</v>
      </c>
      <c r="CE147" s="63">
        <f t="shared" ca="1" si="94"/>
        <v>11.275458812895145</v>
      </c>
      <c r="CF147" s="63">
        <f t="shared" ca="1" si="94"/>
        <v>11.275458812895145</v>
      </c>
      <c r="CG147" s="63">
        <f t="shared" ca="1" si="94"/>
        <v>11.275458812895145</v>
      </c>
      <c r="CH147" s="63">
        <f t="shared" ca="1" si="94"/>
        <v>11.275458812895145</v>
      </c>
      <c r="CI147" s="63">
        <f t="shared" ca="1" si="94"/>
        <v>11.275458812895145</v>
      </c>
      <c r="CJ147" s="63">
        <f t="shared" ca="1" si="94"/>
        <v>11.275458812895145</v>
      </c>
      <c r="CK147" s="63">
        <f t="shared" ca="1" si="94"/>
        <v>11.275458812895145</v>
      </c>
      <c r="CL147" s="63">
        <f t="shared" ca="1" si="94"/>
        <v>11.275458812895145</v>
      </c>
      <c r="CM147" s="63">
        <f t="shared" ca="1" si="94"/>
        <v>11.275458812895145</v>
      </c>
      <c r="CN147" s="63">
        <f t="shared" ca="1" si="94"/>
        <v>11.275458812895145</v>
      </c>
      <c r="CO147" s="63">
        <f t="shared" ca="1" si="94"/>
        <v>11.275458812895145</v>
      </c>
      <c r="CP147" s="63">
        <f t="shared" ca="1" si="94"/>
        <v>11.275458812895145</v>
      </c>
      <c r="CQ147" s="63">
        <f t="shared" ca="1" si="94"/>
        <v>11.275458812895145</v>
      </c>
      <c r="CR147" s="63">
        <f t="shared" ca="1" si="94"/>
        <v>11.275458812895145</v>
      </c>
      <c r="CS147" s="63">
        <f t="shared" ca="1" si="94"/>
        <v>11.275458812895145</v>
      </c>
      <c r="CT147" s="63">
        <f t="shared" ca="1" si="94"/>
        <v>11.275458812895145</v>
      </c>
      <c r="CU147" s="63">
        <f t="shared" ca="1" si="94"/>
        <v>11.275458812895145</v>
      </c>
      <c r="CV147" s="63">
        <f t="shared" ca="1" si="94"/>
        <v>11.275458812895145</v>
      </c>
      <c r="CW147" s="63">
        <f t="shared" ca="1" si="94"/>
        <v>11.275458812895145</v>
      </c>
      <c r="CX147" s="63">
        <f t="shared" ca="1" si="94"/>
        <v>11.275458812895145</v>
      </c>
      <c r="CY147" s="63">
        <f t="shared" ca="1" si="94"/>
        <v>11.275458812895145</v>
      </c>
      <c r="CZ147" s="63">
        <f t="shared" ca="1" si="94"/>
        <v>11.275458812895145</v>
      </c>
      <c r="DA147" s="63">
        <f t="shared" ca="1" si="94"/>
        <v>11.275458812895145</v>
      </c>
      <c r="DB147" s="63">
        <f t="shared" ref="DB147:DE147" ca="1" si="95">DB144/DB146</f>
        <v>11.275458812895145</v>
      </c>
      <c r="DC147" s="63">
        <f t="shared" ca="1" si="95"/>
        <v>11.275458812895145</v>
      </c>
      <c r="DD147" s="63">
        <f t="shared" ca="1" si="95"/>
        <v>11.275458812895145</v>
      </c>
      <c r="DE147" s="63">
        <f t="shared" ca="1" si="95"/>
        <v>11.275458812895145</v>
      </c>
    </row>
    <row r="148" spans="3:109" x14ac:dyDescent="0.15">
      <c r="C148" t="s">
        <v>326</v>
      </c>
      <c r="D148" s="5"/>
      <c r="J148" s="63">
        <f>J137</f>
        <v>1.2</v>
      </c>
      <c r="K148" s="63">
        <f t="shared" ref="K148:BV148" si="96">K137</f>
        <v>1.2</v>
      </c>
      <c r="L148" s="63">
        <f t="shared" si="96"/>
        <v>0.8</v>
      </c>
      <c r="M148" s="63">
        <f t="shared" si="96"/>
        <v>0.6</v>
      </c>
      <c r="N148" s="63">
        <f t="shared" si="96"/>
        <v>0.8</v>
      </c>
      <c r="O148" s="63">
        <f t="shared" si="96"/>
        <v>1</v>
      </c>
      <c r="P148" s="63">
        <f t="shared" si="96"/>
        <v>1</v>
      </c>
      <c r="Q148" s="63">
        <f t="shared" si="96"/>
        <v>1.1000000000000001</v>
      </c>
      <c r="R148" s="63">
        <f t="shared" si="96"/>
        <v>1.2</v>
      </c>
      <c r="S148" s="63">
        <f t="shared" si="96"/>
        <v>1.2</v>
      </c>
      <c r="T148" s="63">
        <f t="shared" si="96"/>
        <v>1.2</v>
      </c>
      <c r="U148" s="63">
        <f t="shared" si="96"/>
        <v>1.2</v>
      </c>
      <c r="V148" s="63">
        <f t="shared" si="96"/>
        <v>1.2</v>
      </c>
      <c r="W148" s="63">
        <f t="shared" si="96"/>
        <v>1.2</v>
      </c>
      <c r="X148" s="63">
        <f t="shared" si="96"/>
        <v>1.2</v>
      </c>
      <c r="Y148" s="63">
        <f t="shared" si="96"/>
        <v>1.2</v>
      </c>
      <c r="Z148" s="63">
        <f t="shared" si="96"/>
        <v>1.2</v>
      </c>
      <c r="AA148" s="63">
        <f t="shared" si="96"/>
        <v>1.2</v>
      </c>
      <c r="AB148" s="63">
        <f t="shared" si="96"/>
        <v>1.2</v>
      </c>
      <c r="AC148" s="63">
        <f t="shared" si="96"/>
        <v>1.2</v>
      </c>
      <c r="AD148" s="63">
        <f t="shared" si="96"/>
        <v>1.2</v>
      </c>
      <c r="AE148" s="63">
        <f t="shared" si="96"/>
        <v>1.2</v>
      </c>
      <c r="AF148" s="63">
        <f t="shared" si="96"/>
        <v>1.2</v>
      </c>
      <c r="AG148" s="63">
        <f t="shared" si="96"/>
        <v>1.2</v>
      </c>
      <c r="AH148" s="63">
        <f t="shared" si="96"/>
        <v>1.2</v>
      </c>
      <c r="AI148" s="63">
        <f t="shared" si="96"/>
        <v>1.2</v>
      </c>
      <c r="AJ148" s="63">
        <f t="shared" si="96"/>
        <v>1.2</v>
      </c>
      <c r="AK148" s="63">
        <f t="shared" si="96"/>
        <v>1.2</v>
      </c>
      <c r="AL148" s="63">
        <f t="shared" si="96"/>
        <v>1.2</v>
      </c>
      <c r="AM148" s="63">
        <f t="shared" si="96"/>
        <v>1.2</v>
      </c>
      <c r="AN148" s="63">
        <f t="shared" si="96"/>
        <v>1.2</v>
      </c>
      <c r="AO148" s="63">
        <f t="shared" si="96"/>
        <v>1.2</v>
      </c>
      <c r="AP148" s="63">
        <f t="shared" si="96"/>
        <v>1.2</v>
      </c>
      <c r="AQ148" s="63">
        <f t="shared" si="96"/>
        <v>1.2</v>
      </c>
      <c r="AR148" s="63">
        <f t="shared" si="96"/>
        <v>1.2</v>
      </c>
      <c r="AS148" s="63">
        <f t="shared" si="96"/>
        <v>1.2</v>
      </c>
      <c r="AT148" s="63">
        <f t="shared" si="96"/>
        <v>1.2</v>
      </c>
      <c r="AU148" s="63">
        <f t="shared" si="96"/>
        <v>1.2</v>
      </c>
      <c r="AV148" s="63">
        <f t="shared" si="96"/>
        <v>1.2</v>
      </c>
      <c r="AW148" s="63">
        <f t="shared" si="96"/>
        <v>1.2</v>
      </c>
      <c r="AX148" s="63">
        <f t="shared" si="96"/>
        <v>1.2</v>
      </c>
      <c r="AY148" s="63">
        <f t="shared" si="96"/>
        <v>1.2</v>
      </c>
      <c r="AZ148" s="63">
        <f t="shared" si="96"/>
        <v>1.2</v>
      </c>
      <c r="BA148" s="63">
        <f t="shared" si="96"/>
        <v>1.2</v>
      </c>
      <c r="BB148" s="63">
        <f t="shared" si="96"/>
        <v>1.2</v>
      </c>
      <c r="BC148" s="63">
        <f t="shared" si="96"/>
        <v>1.2</v>
      </c>
      <c r="BD148" s="63">
        <f t="shared" si="96"/>
        <v>1.2</v>
      </c>
      <c r="BE148" s="63">
        <f t="shared" si="96"/>
        <v>1.2</v>
      </c>
      <c r="BF148" s="63">
        <f t="shared" si="96"/>
        <v>1.2</v>
      </c>
      <c r="BG148" s="63">
        <f t="shared" si="96"/>
        <v>1.2</v>
      </c>
      <c r="BH148" s="63">
        <f t="shared" si="96"/>
        <v>1.2</v>
      </c>
      <c r="BI148" s="63">
        <f t="shared" si="96"/>
        <v>1.2</v>
      </c>
      <c r="BJ148" s="63">
        <f t="shared" si="96"/>
        <v>1.2</v>
      </c>
      <c r="BK148" s="63">
        <f t="shared" si="96"/>
        <v>1.2</v>
      </c>
      <c r="BL148" s="63">
        <f t="shared" si="96"/>
        <v>1.2</v>
      </c>
      <c r="BM148" s="63">
        <f t="shared" si="96"/>
        <v>1.2</v>
      </c>
      <c r="BN148" s="63">
        <f t="shared" si="96"/>
        <v>1.2</v>
      </c>
      <c r="BO148" s="63">
        <f t="shared" si="96"/>
        <v>1.2</v>
      </c>
      <c r="BP148" s="63">
        <f t="shared" si="96"/>
        <v>1.2</v>
      </c>
      <c r="BQ148" s="63">
        <f t="shared" si="96"/>
        <v>1.2</v>
      </c>
      <c r="BR148" s="63">
        <f t="shared" si="96"/>
        <v>1.2</v>
      </c>
      <c r="BS148" s="63">
        <f t="shared" si="96"/>
        <v>1.2</v>
      </c>
      <c r="BT148" s="63">
        <f t="shared" si="96"/>
        <v>1.2</v>
      </c>
      <c r="BU148" s="63">
        <f t="shared" si="96"/>
        <v>1.2</v>
      </c>
      <c r="BV148" s="63">
        <f t="shared" si="96"/>
        <v>1.2</v>
      </c>
      <c r="BW148" s="63">
        <f t="shared" ref="BW148:DE148" si="97">BW137</f>
        <v>1.2</v>
      </c>
      <c r="BX148" s="63">
        <f t="shared" si="97"/>
        <v>1.2</v>
      </c>
      <c r="BY148" s="63">
        <f t="shared" si="97"/>
        <v>1.2</v>
      </c>
      <c r="BZ148" s="63">
        <f t="shared" si="97"/>
        <v>1.2</v>
      </c>
      <c r="CA148" s="63">
        <f t="shared" si="97"/>
        <v>1.2</v>
      </c>
      <c r="CB148" s="63">
        <f t="shared" si="97"/>
        <v>1.2</v>
      </c>
      <c r="CC148" s="63">
        <f t="shared" si="97"/>
        <v>1.2</v>
      </c>
      <c r="CD148" s="63">
        <f t="shared" si="97"/>
        <v>1.2</v>
      </c>
      <c r="CE148" s="63">
        <f t="shared" si="97"/>
        <v>1.2</v>
      </c>
      <c r="CF148" s="63">
        <f t="shared" si="97"/>
        <v>1.2</v>
      </c>
      <c r="CG148" s="63">
        <f t="shared" si="97"/>
        <v>1.2</v>
      </c>
      <c r="CH148" s="63">
        <f t="shared" si="97"/>
        <v>1.2</v>
      </c>
      <c r="CI148" s="63">
        <f t="shared" si="97"/>
        <v>1.2</v>
      </c>
      <c r="CJ148" s="63">
        <f t="shared" si="97"/>
        <v>1.2</v>
      </c>
      <c r="CK148" s="63">
        <f t="shared" si="97"/>
        <v>1.2</v>
      </c>
      <c r="CL148" s="63">
        <f t="shared" si="97"/>
        <v>1.2</v>
      </c>
      <c r="CM148" s="63">
        <f t="shared" si="97"/>
        <v>1.2</v>
      </c>
      <c r="CN148" s="63">
        <f t="shared" si="97"/>
        <v>1.2</v>
      </c>
      <c r="CO148" s="63">
        <f t="shared" si="97"/>
        <v>1.2</v>
      </c>
      <c r="CP148" s="63">
        <f t="shared" si="97"/>
        <v>1.2</v>
      </c>
      <c r="CQ148" s="63">
        <f t="shared" si="97"/>
        <v>1.2</v>
      </c>
      <c r="CR148" s="63">
        <f t="shared" si="97"/>
        <v>1.2</v>
      </c>
      <c r="CS148" s="63">
        <f t="shared" si="97"/>
        <v>1.2</v>
      </c>
      <c r="CT148" s="63">
        <f t="shared" si="97"/>
        <v>1.2</v>
      </c>
      <c r="CU148" s="63">
        <f t="shared" si="97"/>
        <v>1.2</v>
      </c>
      <c r="CV148" s="63">
        <f t="shared" si="97"/>
        <v>1.2</v>
      </c>
      <c r="CW148" s="63">
        <f t="shared" si="97"/>
        <v>1.2</v>
      </c>
      <c r="CX148" s="63">
        <f t="shared" si="97"/>
        <v>1.2</v>
      </c>
      <c r="CY148" s="63">
        <f t="shared" si="97"/>
        <v>1.2</v>
      </c>
      <c r="CZ148" s="63">
        <f t="shared" si="97"/>
        <v>1.2</v>
      </c>
      <c r="DA148" s="63">
        <f t="shared" si="97"/>
        <v>1.2</v>
      </c>
      <c r="DB148" s="63">
        <f t="shared" si="97"/>
        <v>1.2</v>
      </c>
      <c r="DC148" s="63">
        <f t="shared" si="97"/>
        <v>1.2</v>
      </c>
      <c r="DD148" s="63">
        <f t="shared" si="97"/>
        <v>1.2</v>
      </c>
      <c r="DE148" s="63">
        <f t="shared" si="97"/>
        <v>1.2</v>
      </c>
    </row>
    <row r="149" spans="3:109" x14ac:dyDescent="0.15">
      <c r="C149" t="s">
        <v>357</v>
      </c>
      <c r="D149" s="5" t="s">
        <v>0</v>
      </c>
      <c r="J149" s="63">
        <f t="shared" ref="J149:AO149" ca="1" si="98">J147*J148</f>
        <v>8.0121958053629161</v>
      </c>
      <c r="K149" s="63">
        <f t="shared" ca="1" si="98"/>
        <v>8.4159728839801655</v>
      </c>
      <c r="L149" s="63">
        <f t="shared" ca="1" si="98"/>
        <v>5.9283040703338337</v>
      </c>
      <c r="M149" s="63">
        <f t="shared" ca="1" si="98"/>
        <v>4.7579341946018223</v>
      </c>
      <c r="N149" s="63">
        <f t="shared" ca="1" si="98"/>
        <v>6.8363235689660078</v>
      </c>
      <c r="O149" s="63">
        <f t="shared" ca="1" si="98"/>
        <v>9.1161631552456672</v>
      </c>
      <c r="P149" s="63">
        <f t="shared" ca="1" si="98"/>
        <v>9.6241320573551352</v>
      </c>
      <c r="Q149" s="63">
        <f t="shared" ca="1" si="98"/>
        <v>11.062328914692596</v>
      </c>
      <c r="R149" s="63">
        <f t="shared" ca="1" si="98"/>
        <v>12.484220694278742</v>
      </c>
      <c r="S149" s="63">
        <f t="shared" ca="1" si="98"/>
        <v>12.805050749933926</v>
      </c>
      <c r="T149" s="63">
        <f t="shared" ca="1" si="98"/>
        <v>13.077858577764282</v>
      </c>
      <c r="U149" s="63">
        <f t="shared" ca="1" si="98"/>
        <v>13.292623738398694</v>
      </c>
      <c r="V149" s="63">
        <f t="shared" ca="1" si="98"/>
        <v>13.436395458510775</v>
      </c>
      <c r="W149" s="63">
        <f t="shared" ca="1" si="98"/>
        <v>13.520475344503508</v>
      </c>
      <c r="X149" s="63">
        <f t="shared" ca="1" si="98"/>
        <v>13.537230244964402</v>
      </c>
      <c r="Y149" s="63">
        <f t="shared" ca="1" si="98"/>
        <v>13.530550575474175</v>
      </c>
      <c r="Z149" s="63">
        <f t="shared" ca="1" si="98"/>
        <v>13.530550575474175</v>
      </c>
      <c r="AA149" s="63">
        <f t="shared" ca="1" si="98"/>
        <v>13.530550575474175</v>
      </c>
      <c r="AB149" s="63">
        <f t="shared" ca="1" si="98"/>
        <v>13.530550575474175</v>
      </c>
      <c r="AC149" s="63">
        <f t="shared" ca="1" si="98"/>
        <v>13.530550575474175</v>
      </c>
      <c r="AD149" s="63">
        <f t="shared" ca="1" si="98"/>
        <v>13.530550575474175</v>
      </c>
      <c r="AE149" s="63">
        <f t="shared" ca="1" si="98"/>
        <v>13.530550575474175</v>
      </c>
      <c r="AF149" s="63">
        <f t="shared" ca="1" si="98"/>
        <v>13.530550575474175</v>
      </c>
      <c r="AG149" s="63">
        <f t="shared" ca="1" si="98"/>
        <v>13.530550575474175</v>
      </c>
      <c r="AH149" s="63">
        <f t="shared" ca="1" si="98"/>
        <v>13.530550575474175</v>
      </c>
      <c r="AI149" s="63">
        <f t="shared" ca="1" si="98"/>
        <v>13.530550575474175</v>
      </c>
      <c r="AJ149" s="63">
        <f t="shared" ca="1" si="98"/>
        <v>13.530550575474175</v>
      </c>
      <c r="AK149" s="63">
        <f t="shared" ca="1" si="98"/>
        <v>13.530550575474175</v>
      </c>
      <c r="AL149" s="63">
        <f t="shared" ca="1" si="98"/>
        <v>13.530550575474175</v>
      </c>
      <c r="AM149" s="63">
        <f t="shared" ca="1" si="98"/>
        <v>13.530550575474175</v>
      </c>
      <c r="AN149" s="63">
        <f t="shared" ca="1" si="98"/>
        <v>13.530550575474175</v>
      </c>
      <c r="AO149" s="63">
        <f t="shared" ca="1" si="98"/>
        <v>13.530550575474175</v>
      </c>
      <c r="AP149" s="63">
        <f t="shared" ref="AP149:BU149" ca="1" si="99">AP147*AP148</f>
        <v>13.530550575474175</v>
      </c>
      <c r="AQ149" s="63">
        <f t="shared" ca="1" si="99"/>
        <v>13.530550575474175</v>
      </c>
      <c r="AR149" s="63">
        <f t="shared" ca="1" si="99"/>
        <v>13.530550575474175</v>
      </c>
      <c r="AS149" s="63">
        <f t="shared" ca="1" si="99"/>
        <v>13.530550575474175</v>
      </c>
      <c r="AT149" s="63">
        <f t="shared" ca="1" si="99"/>
        <v>13.530550575474175</v>
      </c>
      <c r="AU149" s="63">
        <f t="shared" ca="1" si="99"/>
        <v>13.530550575474175</v>
      </c>
      <c r="AV149" s="63">
        <f t="shared" ca="1" si="99"/>
        <v>13.530550575474175</v>
      </c>
      <c r="AW149" s="63">
        <f t="shared" ca="1" si="99"/>
        <v>13.530550575474175</v>
      </c>
      <c r="AX149" s="63">
        <f t="shared" ca="1" si="99"/>
        <v>13.530550575474175</v>
      </c>
      <c r="AY149" s="63">
        <f t="shared" ca="1" si="99"/>
        <v>13.530550575474175</v>
      </c>
      <c r="AZ149" s="63">
        <f t="shared" ca="1" si="99"/>
        <v>13.530550575474175</v>
      </c>
      <c r="BA149" s="63">
        <f t="shared" ca="1" si="99"/>
        <v>13.530550575474175</v>
      </c>
      <c r="BB149" s="63">
        <f t="shared" ca="1" si="99"/>
        <v>13.530550575474175</v>
      </c>
      <c r="BC149" s="63">
        <f t="shared" ca="1" si="99"/>
        <v>13.530550575474175</v>
      </c>
      <c r="BD149" s="63">
        <f t="shared" ca="1" si="99"/>
        <v>13.530550575474175</v>
      </c>
      <c r="BE149" s="63">
        <f t="shared" ca="1" si="99"/>
        <v>13.530550575474175</v>
      </c>
      <c r="BF149" s="63">
        <f t="shared" ca="1" si="99"/>
        <v>13.530550575474175</v>
      </c>
      <c r="BG149" s="63">
        <f t="shared" ca="1" si="99"/>
        <v>13.530550575474175</v>
      </c>
      <c r="BH149" s="63">
        <f t="shared" ca="1" si="99"/>
        <v>13.530550575474175</v>
      </c>
      <c r="BI149" s="63">
        <f t="shared" ca="1" si="99"/>
        <v>13.530550575474175</v>
      </c>
      <c r="BJ149" s="63">
        <f t="shared" ca="1" si="99"/>
        <v>13.530550575474175</v>
      </c>
      <c r="BK149" s="63">
        <f t="shared" ca="1" si="99"/>
        <v>13.530550575474175</v>
      </c>
      <c r="BL149" s="63">
        <f t="shared" ca="1" si="99"/>
        <v>13.530550575474175</v>
      </c>
      <c r="BM149" s="63">
        <f t="shared" ca="1" si="99"/>
        <v>13.530550575474175</v>
      </c>
      <c r="BN149" s="63">
        <f t="shared" ca="1" si="99"/>
        <v>13.530550575474175</v>
      </c>
      <c r="BO149" s="63">
        <f t="shared" ca="1" si="99"/>
        <v>13.530550575474175</v>
      </c>
      <c r="BP149" s="63">
        <f t="shared" ca="1" si="99"/>
        <v>13.530550575474175</v>
      </c>
      <c r="BQ149" s="63">
        <f t="shared" ca="1" si="99"/>
        <v>13.530550575474175</v>
      </c>
      <c r="BR149" s="63">
        <f t="shared" ca="1" si="99"/>
        <v>13.530550575474175</v>
      </c>
      <c r="BS149" s="63">
        <f t="shared" ca="1" si="99"/>
        <v>13.530550575474175</v>
      </c>
      <c r="BT149" s="63">
        <f t="shared" ca="1" si="99"/>
        <v>13.530550575474175</v>
      </c>
      <c r="BU149" s="63">
        <f t="shared" ca="1" si="99"/>
        <v>13.530550575474175</v>
      </c>
      <c r="BV149" s="63">
        <f t="shared" ref="BV149:DA149" ca="1" si="100">BV147*BV148</f>
        <v>13.530550575474175</v>
      </c>
      <c r="BW149" s="63">
        <f t="shared" ca="1" si="100"/>
        <v>13.530550575474175</v>
      </c>
      <c r="BX149" s="63">
        <f t="shared" ca="1" si="100"/>
        <v>13.530550575474175</v>
      </c>
      <c r="BY149" s="63">
        <f t="shared" ca="1" si="100"/>
        <v>13.530550575474175</v>
      </c>
      <c r="BZ149" s="63">
        <f t="shared" ca="1" si="100"/>
        <v>13.530550575474175</v>
      </c>
      <c r="CA149" s="63">
        <f t="shared" ca="1" si="100"/>
        <v>13.530550575474175</v>
      </c>
      <c r="CB149" s="63">
        <f t="shared" ca="1" si="100"/>
        <v>13.530550575474175</v>
      </c>
      <c r="CC149" s="63">
        <f t="shared" ca="1" si="100"/>
        <v>13.530550575474175</v>
      </c>
      <c r="CD149" s="63">
        <f t="shared" ca="1" si="100"/>
        <v>13.530550575474175</v>
      </c>
      <c r="CE149" s="63">
        <f t="shared" ca="1" si="100"/>
        <v>13.530550575474175</v>
      </c>
      <c r="CF149" s="63">
        <f t="shared" ca="1" si="100"/>
        <v>13.530550575474175</v>
      </c>
      <c r="CG149" s="63">
        <f t="shared" ca="1" si="100"/>
        <v>13.530550575474175</v>
      </c>
      <c r="CH149" s="63">
        <f t="shared" ca="1" si="100"/>
        <v>13.530550575474175</v>
      </c>
      <c r="CI149" s="63">
        <f t="shared" ca="1" si="100"/>
        <v>13.530550575474175</v>
      </c>
      <c r="CJ149" s="63">
        <f t="shared" ca="1" si="100"/>
        <v>13.530550575474175</v>
      </c>
      <c r="CK149" s="63">
        <f t="shared" ca="1" si="100"/>
        <v>13.530550575474175</v>
      </c>
      <c r="CL149" s="63">
        <f t="shared" ca="1" si="100"/>
        <v>13.530550575474175</v>
      </c>
      <c r="CM149" s="63">
        <f t="shared" ca="1" si="100"/>
        <v>13.530550575474175</v>
      </c>
      <c r="CN149" s="63">
        <f t="shared" ca="1" si="100"/>
        <v>13.530550575474175</v>
      </c>
      <c r="CO149" s="63">
        <f t="shared" ca="1" si="100"/>
        <v>13.530550575474175</v>
      </c>
      <c r="CP149" s="63">
        <f t="shared" ca="1" si="100"/>
        <v>13.530550575474175</v>
      </c>
      <c r="CQ149" s="63">
        <f t="shared" ca="1" si="100"/>
        <v>13.530550575474175</v>
      </c>
      <c r="CR149" s="63">
        <f t="shared" ca="1" si="100"/>
        <v>13.530550575474175</v>
      </c>
      <c r="CS149" s="63">
        <f t="shared" ca="1" si="100"/>
        <v>13.530550575474175</v>
      </c>
      <c r="CT149" s="63">
        <f t="shared" ca="1" si="100"/>
        <v>13.530550575474175</v>
      </c>
      <c r="CU149" s="63">
        <f t="shared" ca="1" si="100"/>
        <v>13.530550575474175</v>
      </c>
      <c r="CV149" s="63">
        <f t="shared" ca="1" si="100"/>
        <v>13.530550575474175</v>
      </c>
      <c r="CW149" s="63">
        <f t="shared" ca="1" si="100"/>
        <v>13.530550575474175</v>
      </c>
      <c r="CX149" s="63">
        <f t="shared" ca="1" si="100"/>
        <v>13.530550575474175</v>
      </c>
      <c r="CY149" s="63">
        <f t="shared" ca="1" si="100"/>
        <v>13.530550575474175</v>
      </c>
      <c r="CZ149" s="63">
        <f t="shared" ca="1" si="100"/>
        <v>13.530550575474175</v>
      </c>
      <c r="DA149" s="63">
        <f t="shared" ca="1" si="100"/>
        <v>13.530550575474175</v>
      </c>
      <c r="DB149" s="63">
        <f t="shared" ref="DB149:DE149" ca="1" si="101">DB147*DB148</f>
        <v>13.530550575474175</v>
      </c>
      <c r="DC149" s="63">
        <f t="shared" ca="1" si="101"/>
        <v>13.530550575474175</v>
      </c>
      <c r="DD149" s="63">
        <f t="shared" ca="1" si="101"/>
        <v>13.530550575474175</v>
      </c>
      <c r="DE149" s="63">
        <f t="shared" ca="1" si="101"/>
        <v>13.530550575474175</v>
      </c>
    </row>
    <row r="151" spans="3:109" ht="14" x14ac:dyDescent="0.15">
      <c r="C151" s="2" t="s">
        <v>319</v>
      </c>
    </row>
    <row r="153" spans="3:109" x14ac:dyDescent="0.15">
      <c r="C153" t="s">
        <v>320</v>
      </c>
      <c r="D153" s="5" t="s">
        <v>0</v>
      </c>
      <c r="I153" s="35">
        <f>SUM(J153:DE153)</f>
        <v>500000000</v>
      </c>
      <c r="J153" s="37">
        <f>E104</f>
        <v>500000000</v>
      </c>
    </row>
    <row r="154" spans="3:109" x14ac:dyDescent="0.15">
      <c r="C154" t="s">
        <v>321</v>
      </c>
      <c r="I154" s="35">
        <f ca="1">SUM(J154:DE154)</f>
        <v>63714325.909692928</v>
      </c>
      <c r="J154" s="37">
        <f ca="1">E105</f>
        <v>63714325.909692928</v>
      </c>
    </row>
    <row r="155" spans="3:109" x14ac:dyDescent="0.15">
      <c r="C155" t="s">
        <v>322</v>
      </c>
      <c r="I155" s="35">
        <f ca="1">SUM(J155:DE155)</f>
        <v>63714325.909692928</v>
      </c>
      <c r="J155" s="43">
        <v>0</v>
      </c>
      <c r="K155" s="43">
        <v>0</v>
      </c>
      <c r="L155" s="43">
        <v>0</v>
      </c>
      <c r="M155" s="43">
        <v>0</v>
      </c>
      <c r="N155" s="43">
        <v>0</v>
      </c>
      <c r="O155" s="43">
        <v>0</v>
      </c>
      <c r="P155" s="43">
        <v>0</v>
      </c>
      <c r="Q155" s="43">
        <f ca="1">0.5*J154</f>
        <v>31857162.954846464</v>
      </c>
      <c r="R155" s="43">
        <f ca="1">0.5*J154</f>
        <v>31857162.954846464</v>
      </c>
      <c r="S155" s="43">
        <v>0</v>
      </c>
      <c r="T155" s="43">
        <v>0</v>
      </c>
      <c r="U155" s="43">
        <v>0</v>
      </c>
      <c r="V155" s="43">
        <v>0</v>
      </c>
      <c r="W155" s="43">
        <v>0</v>
      </c>
      <c r="X155" s="43">
        <v>0</v>
      </c>
      <c r="Y155" s="43">
        <v>0</v>
      </c>
      <c r="Z155" s="43">
        <v>0</v>
      </c>
      <c r="AA155" s="43">
        <v>0</v>
      </c>
      <c r="AB155" s="43">
        <v>0</v>
      </c>
      <c r="AC155" s="43">
        <v>0</v>
      </c>
      <c r="AD155" s="43">
        <v>0</v>
      </c>
      <c r="AE155" s="43">
        <v>0</v>
      </c>
      <c r="AF155" s="43">
        <v>0</v>
      </c>
      <c r="AG155" s="43">
        <v>0</v>
      </c>
      <c r="AH155" s="43">
        <v>0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  <c r="AO155" s="43">
        <v>0</v>
      </c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43">
        <v>0</v>
      </c>
      <c r="BK155" s="43">
        <v>0</v>
      </c>
      <c r="BL155" s="43">
        <v>0</v>
      </c>
      <c r="BM155" s="43">
        <v>0</v>
      </c>
      <c r="BN155" s="43">
        <v>0</v>
      </c>
      <c r="BO155" s="43">
        <v>0</v>
      </c>
      <c r="BP155" s="43">
        <v>0</v>
      </c>
      <c r="BQ155" s="43">
        <v>0</v>
      </c>
      <c r="BR155" s="43">
        <v>0</v>
      </c>
      <c r="BS155" s="43">
        <v>0</v>
      </c>
      <c r="BT155" s="43">
        <v>0</v>
      </c>
      <c r="BU155" s="43">
        <v>0</v>
      </c>
      <c r="BV155" s="43">
        <v>0</v>
      </c>
      <c r="BW155" s="43">
        <v>0</v>
      </c>
      <c r="BX155" s="43">
        <v>0</v>
      </c>
      <c r="BY155" s="43">
        <v>0</v>
      </c>
      <c r="BZ155" s="43">
        <v>0</v>
      </c>
      <c r="CA155" s="43">
        <v>0</v>
      </c>
      <c r="CB155" s="43">
        <v>0</v>
      </c>
      <c r="CC155" s="43">
        <v>0</v>
      </c>
      <c r="CD155" s="43">
        <v>0</v>
      </c>
      <c r="CE155" s="43">
        <v>0</v>
      </c>
      <c r="CF155" s="43">
        <v>0</v>
      </c>
      <c r="CG155" s="43">
        <v>0</v>
      </c>
      <c r="CH155" s="43">
        <v>0</v>
      </c>
      <c r="CI155" s="43">
        <v>0</v>
      </c>
      <c r="CJ155" s="43">
        <v>0</v>
      </c>
      <c r="CK155" s="43">
        <v>0</v>
      </c>
      <c r="CL155" s="43">
        <v>0</v>
      </c>
      <c r="CM155" s="43">
        <v>0</v>
      </c>
      <c r="CN155" s="43">
        <v>0</v>
      </c>
      <c r="CO155" s="43">
        <v>0</v>
      </c>
      <c r="CP155" s="43">
        <v>0</v>
      </c>
      <c r="CQ155" s="43">
        <v>0</v>
      </c>
      <c r="CR155" s="43">
        <v>0</v>
      </c>
      <c r="CS155" s="43">
        <v>0</v>
      </c>
      <c r="CT155" s="43">
        <v>0</v>
      </c>
      <c r="CU155" s="43">
        <v>0</v>
      </c>
      <c r="CV155" s="43">
        <v>0</v>
      </c>
      <c r="CW155" s="43">
        <v>0</v>
      </c>
      <c r="CX155" s="43">
        <v>0</v>
      </c>
      <c r="CY155" s="43">
        <v>0</v>
      </c>
      <c r="CZ155" s="43">
        <v>0</v>
      </c>
      <c r="DA155" s="43">
        <v>0</v>
      </c>
      <c r="DB155" s="43">
        <v>0</v>
      </c>
      <c r="DC155" s="43">
        <v>0</v>
      </c>
      <c r="DD155" s="43">
        <v>0</v>
      </c>
      <c r="DE155" s="43">
        <v>0</v>
      </c>
    </row>
    <row r="156" spans="3:109" x14ac:dyDescent="0.15">
      <c r="C156" t="s">
        <v>332</v>
      </c>
      <c r="J156" s="37">
        <f ca="1">J154-J155</f>
        <v>63714325.909692928</v>
      </c>
      <c r="K156" s="37">
        <f t="shared" ref="K156:AP156" ca="1" si="102">J156+K154-K155</f>
        <v>63714325.909692928</v>
      </c>
      <c r="L156" s="37">
        <f t="shared" ca="1" si="102"/>
        <v>63714325.909692928</v>
      </c>
      <c r="M156" s="37">
        <f t="shared" ca="1" si="102"/>
        <v>63714325.909692928</v>
      </c>
      <c r="N156" s="37">
        <f t="shared" ca="1" si="102"/>
        <v>63714325.909692928</v>
      </c>
      <c r="O156" s="37">
        <f t="shared" ca="1" si="102"/>
        <v>63714325.909692928</v>
      </c>
      <c r="P156" s="37">
        <f t="shared" ca="1" si="102"/>
        <v>63714325.909692928</v>
      </c>
      <c r="Q156" s="37">
        <f t="shared" ca="1" si="102"/>
        <v>31857162.954846464</v>
      </c>
      <c r="R156" s="37">
        <f t="shared" ca="1" si="102"/>
        <v>0</v>
      </c>
      <c r="S156" s="37">
        <f t="shared" ca="1" si="102"/>
        <v>0</v>
      </c>
      <c r="T156" s="37">
        <f t="shared" ca="1" si="102"/>
        <v>0</v>
      </c>
      <c r="U156" s="37">
        <f t="shared" ca="1" si="102"/>
        <v>0</v>
      </c>
      <c r="V156" s="37">
        <f t="shared" ca="1" si="102"/>
        <v>0</v>
      </c>
      <c r="W156" s="37">
        <f t="shared" ca="1" si="102"/>
        <v>0</v>
      </c>
      <c r="X156" s="37">
        <f t="shared" ca="1" si="102"/>
        <v>0</v>
      </c>
      <c r="Y156" s="37">
        <f t="shared" ca="1" si="102"/>
        <v>0</v>
      </c>
      <c r="Z156" s="37">
        <f t="shared" ca="1" si="102"/>
        <v>0</v>
      </c>
      <c r="AA156" s="37">
        <f t="shared" ca="1" si="102"/>
        <v>0</v>
      </c>
      <c r="AB156" s="37">
        <f t="shared" ca="1" si="102"/>
        <v>0</v>
      </c>
      <c r="AC156" s="37">
        <f t="shared" ca="1" si="102"/>
        <v>0</v>
      </c>
      <c r="AD156" s="37">
        <f t="shared" ca="1" si="102"/>
        <v>0</v>
      </c>
      <c r="AE156" s="37">
        <f t="shared" ca="1" si="102"/>
        <v>0</v>
      </c>
      <c r="AF156" s="37">
        <f t="shared" ca="1" si="102"/>
        <v>0</v>
      </c>
      <c r="AG156" s="37">
        <f t="shared" ca="1" si="102"/>
        <v>0</v>
      </c>
      <c r="AH156" s="37">
        <f t="shared" ca="1" si="102"/>
        <v>0</v>
      </c>
      <c r="AI156" s="37">
        <f t="shared" ca="1" si="102"/>
        <v>0</v>
      </c>
      <c r="AJ156" s="37">
        <f t="shared" ca="1" si="102"/>
        <v>0</v>
      </c>
      <c r="AK156" s="37">
        <f t="shared" ca="1" si="102"/>
        <v>0</v>
      </c>
      <c r="AL156" s="37">
        <f t="shared" ca="1" si="102"/>
        <v>0</v>
      </c>
      <c r="AM156" s="37">
        <f t="shared" ca="1" si="102"/>
        <v>0</v>
      </c>
      <c r="AN156" s="37">
        <f t="shared" ca="1" si="102"/>
        <v>0</v>
      </c>
      <c r="AO156" s="37">
        <f t="shared" ca="1" si="102"/>
        <v>0</v>
      </c>
      <c r="AP156" s="37">
        <f t="shared" ca="1" si="102"/>
        <v>0</v>
      </c>
      <c r="AQ156" s="37">
        <f t="shared" ref="AQ156:BV156" ca="1" si="103">AP156+AQ154-AQ155</f>
        <v>0</v>
      </c>
      <c r="AR156" s="37">
        <f t="shared" ca="1" si="103"/>
        <v>0</v>
      </c>
      <c r="AS156" s="37">
        <f t="shared" ca="1" si="103"/>
        <v>0</v>
      </c>
      <c r="AT156" s="37">
        <f t="shared" ca="1" si="103"/>
        <v>0</v>
      </c>
      <c r="AU156" s="37">
        <f t="shared" ca="1" si="103"/>
        <v>0</v>
      </c>
      <c r="AV156" s="37">
        <f t="shared" ca="1" si="103"/>
        <v>0</v>
      </c>
      <c r="AW156" s="37">
        <f t="shared" ca="1" si="103"/>
        <v>0</v>
      </c>
      <c r="AX156" s="37">
        <f t="shared" ca="1" si="103"/>
        <v>0</v>
      </c>
      <c r="AY156" s="37">
        <f t="shared" ca="1" si="103"/>
        <v>0</v>
      </c>
      <c r="AZ156" s="37">
        <f t="shared" ca="1" si="103"/>
        <v>0</v>
      </c>
      <c r="BA156" s="37">
        <f t="shared" ca="1" si="103"/>
        <v>0</v>
      </c>
      <c r="BB156" s="37">
        <f t="shared" ca="1" si="103"/>
        <v>0</v>
      </c>
      <c r="BC156" s="37">
        <f t="shared" ca="1" si="103"/>
        <v>0</v>
      </c>
      <c r="BD156" s="37">
        <f t="shared" ca="1" si="103"/>
        <v>0</v>
      </c>
      <c r="BE156" s="37">
        <f t="shared" ca="1" si="103"/>
        <v>0</v>
      </c>
      <c r="BF156" s="37">
        <f t="shared" ca="1" si="103"/>
        <v>0</v>
      </c>
      <c r="BG156" s="37">
        <f t="shared" ca="1" si="103"/>
        <v>0</v>
      </c>
      <c r="BH156" s="37">
        <f t="shared" ca="1" si="103"/>
        <v>0</v>
      </c>
      <c r="BI156" s="37">
        <f t="shared" ca="1" si="103"/>
        <v>0</v>
      </c>
      <c r="BJ156" s="37">
        <f t="shared" ca="1" si="103"/>
        <v>0</v>
      </c>
      <c r="BK156" s="37">
        <f t="shared" ca="1" si="103"/>
        <v>0</v>
      </c>
      <c r="BL156" s="37">
        <f t="shared" ca="1" si="103"/>
        <v>0</v>
      </c>
      <c r="BM156" s="37">
        <f t="shared" ca="1" si="103"/>
        <v>0</v>
      </c>
      <c r="BN156" s="37">
        <f t="shared" ca="1" si="103"/>
        <v>0</v>
      </c>
      <c r="BO156" s="37">
        <f t="shared" ca="1" si="103"/>
        <v>0</v>
      </c>
      <c r="BP156" s="37">
        <f t="shared" ca="1" si="103"/>
        <v>0</v>
      </c>
      <c r="BQ156" s="37">
        <f t="shared" ca="1" si="103"/>
        <v>0</v>
      </c>
      <c r="BR156" s="37">
        <f t="shared" ca="1" si="103"/>
        <v>0</v>
      </c>
      <c r="BS156" s="37">
        <f t="shared" ca="1" si="103"/>
        <v>0</v>
      </c>
      <c r="BT156" s="37">
        <f t="shared" ca="1" si="103"/>
        <v>0</v>
      </c>
      <c r="BU156" s="37">
        <f t="shared" ca="1" si="103"/>
        <v>0</v>
      </c>
      <c r="BV156" s="37">
        <f t="shared" ca="1" si="103"/>
        <v>0</v>
      </c>
      <c r="BW156" s="37">
        <f t="shared" ref="BW156:DB156" ca="1" si="104">BV156+BW154-BW155</f>
        <v>0</v>
      </c>
      <c r="BX156" s="37">
        <f t="shared" ca="1" si="104"/>
        <v>0</v>
      </c>
      <c r="BY156" s="37">
        <f t="shared" ca="1" si="104"/>
        <v>0</v>
      </c>
      <c r="BZ156" s="37">
        <f t="shared" ca="1" si="104"/>
        <v>0</v>
      </c>
      <c r="CA156" s="37">
        <f t="shared" ca="1" si="104"/>
        <v>0</v>
      </c>
      <c r="CB156" s="37">
        <f t="shared" ca="1" si="104"/>
        <v>0</v>
      </c>
      <c r="CC156" s="37">
        <f t="shared" ca="1" si="104"/>
        <v>0</v>
      </c>
      <c r="CD156" s="37">
        <f t="shared" ca="1" si="104"/>
        <v>0</v>
      </c>
      <c r="CE156" s="37">
        <f t="shared" ca="1" si="104"/>
        <v>0</v>
      </c>
      <c r="CF156" s="37">
        <f t="shared" ca="1" si="104"/>
        <v>0</v>
      </c>
      <c r="CG156" s="37">
        <f t="shared" ca="1" si="104"/>
        <v>0</v>
      </c>
      <c r="CH156" s="37">
        <f t="shared" ca="1" si="104"/>
        <v>0</v>
      </c>
      <c r="CI156" s="37">
        <f t="shared" ca="1" si="104"/>
        <v>0</v>
      </c>
      <c r="CJ156" s="37">
        <f t="shared" ca="1" si="104"/>
        <v>0</v>
      </c>
      <c r="CK156" s="37">
        <f t="shared" ca="1" si="104"/>
        <v>0</v>
      </c>
      <c r="CL156" s="37">
        <f t="shared" ca="1" si="104"/>
        <v>0</v>
      </c>
      <c r="CM156" s="37">
        <f t="shared" ca="1" si="104"/>
        <v>0</v>
      </c>
      <c r="CN156" s="37">
        <f t="shared" ca="1" si="104"/>
        <v>0</v>
      </c>
      <c r="CO156" s="37">
        <f t="shared" ca="1" si="104"/>
        <v>0</v>
      </c>
      <c r="CP156" s="37">
        <f t="shared" ca="1" si="104"/>
        <v>0</v>
      </c>
      <c r="CQ156" s="37">
        <f t="shared" ca="1" si="104"/>
        <v>0</v>
      </c>
      <c r="CR156" s="37">
        <f t="shared" ca="1" si="104"/>
        <v>0</v>
      </c>
      <c r="CS156" s="37">
        <f t="shared" ca="1" si="104"/>
        <v>0</v>
      </c>
      <c r="CT156" s="37">
        <f t="shared" ca="1" si="104"/>
        <v>0</v>
      </c>
      <c r="CU156" s="37">
        <f t="shared" ca="1" si="104"/>
        <v>0</v>
      </c>
      <c r="CV156" s="37">
        <f t="shared" ca="1" si="104"/>
        <v>0</v>
      </c>
      <c r="CW156" s="37">
        <f t="shared" ca="1" si="104"/>
        <v>0</v>
      </c>
      <c r="CX156" s="37">
        <f t="shared" ca="1" si="104"/>
        <v>0</v>
      </c>
      <c r="CY156" s="37">
        <f t="shared" ca="1" si="104"/>
        <v>0</v>
      </c>
      <c r="CZ156" s="37">
        <f t="shared" ca="1" si="104"/>
        <v>0</v>
      </c>
      <c r="DA156" s="37">
        <f t="shared" ca="1" si="104"/>
        <v>0</v>
      </c>
      <c r="DB156" s="37">
        <f t="shared" ca="1" si="104"/>
        <v>0</v>
      </c>
      <c r="DC156" s="37">
        <f t="shared" ref="DC156:DE156" ca="1" si="105">DB156+DC154-DC155</f>
        <v>0</v>
      </c>
      <c r="DD156" s="37">
        <f t="shared" ca="1" si="105"/>
        <v>0</v>
      </c>
      <c r="DE156" s="37">
        <f t="shared" ca="1" si="105"/>
        <v>0</v>
      </c>
    </row>
    <row r="157" spans="3:109" x14ac:dyDescent="0.15">
      <c r="C157" t="s">
        <v>331</v>
      </c>
      <c r="J157" s="56">
        <f t="shared" ref="J157:AO157" ca="1" si="106">J156/J135</f>
        <v>0.1013890410875978</v>
      </c>
      <c r="K157" s="56">
        <f t="shared" ca="1" si="106"/>
        <v>0.1013890410875978</v>
      </c>
      <c r="L157" s="56">
        <f t="shared" ca="1" si="106"/>
        <v>0.1013890410875978</v>
      </c>
      <c r="M157" s="56">
        <f t="shared" ca="1" si="106"/>
        <v>0.1013890410875978</v>
      </c>
      <c r="N157" s="56">
        <f t="shared" ca="1" si="106"/>
        <v>0.1013890410875978</v>
      </c>
      <c r="O157" s="56">
        <f t="shared" ca="1" si="106"/>
        <v>0.1013890410875978</v>
      </c>
      <c r="P157" s="56">
        <f t="shared" ca="1" si="106"/>
        <v>0.1013890410875978</v>
      </c>
      <c r="Q157" s="56">
        <f t="shared" ca="1" si="106"/>
        <v>5.0694520543798902E-2</v>
      </c>
      <c r="R157" s="56">
        <f t="shared" ca="1" si="106"/>
        <v>0</v>
      </c>
      <c r="S157" s="56">
        <f t="shared" ca="1" si="106"/>
        <v>0</v>
      </c>
      <c r="T157" s="56">
        <f t="shared" ca="1" si="106"/>
        <v>0</v>
      </c>
      <c r="U157" s="56">
        <f t="shared" ca="1" si="106"/>
        <v>0</v>
      </c>
      <c r="V157" s="56">
        <f t="shared" ca="1" si="106"/>
        <v>0</v>
      </c>
      <c r="W157" s="56">
        <f t="shared" ca="1" si="106"/>
        <v>0</v>
      </c>
      <c r="X157" s="56">
        <f t="shared" ca="1" si="106"/>
        <v>0</v>
      </c>
      <c r="Y157" s="56">
        <f t="shared" ca="1" si="106"/>
        <v>0</v>
      </c>
      <c r="Z157" s="56">
        <f t="shared" ca="1" si="106"/>
        <v>0</v>
      </c>
      <c r="AA157" s="56">
        <f t="shared" ca="1" si="106"/>
        <v>0</v>
      </c>
      <c r="AB157" s="56">
        <f t="shared" ca="1" si="106"/>
        <v>0</v>
      </c>
      <c r="AC157" s="56">
        <f t="shared" ca="1" si="106"/>
        <v>0</v>
      </c>
      <c r="AD157" s="56">
        <f t="shared" ca="1" si="106"/>
        <v>0</v>
      </c>
      <c r="AE157" s="56">
        <f t="shared" ca="1" si="106"/>
        <v>0</v>
      </c>
      <c r="AF157" s="56">
        <f t="shared" ca="1" si="106"/>
        <v>0</v>
      </c>
      <c r="AG157" s="56">
        <f t="shared" ca="1" si="106"/>
        <v>0</v>
      </c>
      <c r="AH157" s="56">
        <f t="shared" ca="1" si="106"/>
        <v>0</v>
      </c>
      <c r="AI157" s="56">
        <f t="shared" ca="1" si="106"/>
        <v>0</v>
      </c>
      <c r="AJ157" s="56">
        <f t="shared" ca="1" si="106"/>
        <v>0</v>
      </c>
      <c r="AK157" s="56">
        <f t="shared" ca="1" si="106"/>
        <v>0</v>
      </c>
      <c r="AL157" s="56">
        <f t="shared" ca="1" si="106"/>
        <v>0</v>
      </c>
      <c r="AM157" s="56">
        <f t="shared" ca="1" si="106"/>
        <v>0</v>
      </c>
      <c r="AN157" s="56">
        <f t="shared" ca="1" si="106"/>
        <v>0</v>
      </c>
      <c r="AO157" s="56">
        <f t="shared" ca="1" si="106"/>
        <v>0</v>
      </c>
      <c r="AP157" s="56">
        <f t="shared" ref="AP157:BU157" ca="1" si="107">AP156/AP135</f>
        <v>0</v>
      </c>
      <c r="AQ157" s="56">
        <f t="shared" ca="1" si="107"/>
        <v>0</v>
      </c>
      <c r="AR157" s="56">
        <f t="shared" ca="1" si="107"/>
        <v>0</v>
      </c>
      <c r="AS157" s="56">
        <f t="shared" ca="1" si="107"/>
        <v>0</v>
      </c>
      <c r="AT157" s="56">
        <f t="shared" ca="1" si="107"/>
        <v>0</v>
      </c>
      <c r="AU157" s="56">
        <f t="shared" ca="1" si="107"/>
        <v>0</v>
      </c>
      <c r="AV157" s="56">
        <f t="shared" ca="1" si="107"/>
        <v>0</v>
      </c>
      <c r="AW157" s="56">
        <f t="shared" ca="1" si="107"/>
        <v>0</v>
      </c>
      <c r="AX157" s="56">
        <f t="shared" ca="1" si="107"/>
        <v>0</v>
      </c>
      <c r="AY157" s="56">
        <f t="shared" ca="1" si="107"/>
        <v>0</v>
      </c>
      <c r="AZ157" s="56">
        <f t="shared" ca="1" si="107"/>
        <v>0</v>
      </c>
      <c r="BA157" s="56">
        <f t="shared" ca="1" si="107"/>
        <v>0</v>
      </c>
      <c r="BB157" s="56">
        <f t="shared" ca="1" si="107"/>
        <v>0</v>
      </c>
      <c r="BC157" s="56">
        <f t="shared" ca="1" si="107"/>
        <v>0</v>
      </c>
      <c r="BD157" s="56">
        <f t="shared" ca="1" si="107"/>
        <v>0</v>
      </c>
      <c r="BE157" s="56">
        <f t="shared" ca="1" si="107"/>
        <v>0</v>
      </c>
      <c r="BF157" s="56">
        <f t="shared" ca="1" si="107"/>
        <v>0</v>
      </c>
      <c r="BG157" s="56">
        <f t="shared" ca="1" si="107"/>
        <v>0</v>
      </c>
      <c r="BH157" s="56">
        <f t="shared" ca="1" si="107"/>
        <v>0</v>
      </c>
      <c r="BI157" s="56">
        <f t="shared" ca="1" si="107"/>
        <v>0</v>
      </c>
      <c r="BJ157" s="56">
        <f t="shared" ca="1" si="107"/>
        <v>0</v>
      </c>
      <c r="BK157" s="56">
        <f t="shared" ca="1" si="107"/>
        <v>0</v>
      </c>
      <c r="BL157" s="56">
        <f t="shared" ca="1" si="107"/>
        <v>0</v>
      </c>
      <c r="BM157" s="56">
        <f t="shared" ca="1" si="107"/>
        <v>0</v>
      </c>
      <c r="BN157" s="56">
        <f t="shared" ca="1" si="107"/>
        <v>0</v>
      </c>
      <c r="BO157" s="56">
        <f t="shared" ca="1" si="107"/>
        <v>0</v>
      </c>
      <c r="BP157" s="56">
        <f t="shared" ca="1" si="107"/>
        <v>0</v>
      </c>
      <c r="BQ157" s="56">
        <f t="shared" ca="1" si="107"/>
        <v>0</v>
      </c>
      <c r="BR157" s="56">
        <f t="shared" ca="1" si="107"/>
        <v>0</v>
      </c>
      <c r="BS157" s="56">
        <f t="shared" ca="1" si="107"/>
        <v>0</v>
      </c>
      <c r="BT157" s="56">
        <f t="shared" ca="1" si="107"/>
        <v>0</v>
      </c>
      <c r="BU157" s="56">
        <f t="shared" ca="1" si="107"/>
        <v>0</v>
      </c>
      <c r="BV157" s="56">
        <f t="shared" ref="BV157:DA157" ca="1" si="108">BV156/BV135</f>
        <v>0</v>
      </c>
      <c r="BW157" s="56">
        <f t="shared" ca="1" si="108"/>
        <v>0</v>
      </c>
      <c r="BX157" s="56">
        <f t="shared" ca="1" si="108"/>
        <v>0</v>
      </c>
      <c r="BY157" s="56">
        <f t="shared" ca="1" si="108"/>
        <v>0</v>
      </c>
      <c r="BZ157" s="56">
        <f t="shared" ca="1" si="108"/>
        <v>0</v>
      </c>
      <c r="CA157" s="56">
        <f t="shared" ca="1" si="108"/>
        <v>0</v>
      </c>
      <c r="CB157" s="56">
        <f t="shared" ca="1" si="108"/>
        <v>0</v>
      </c>
      <c r="CC157" s="56">
        <f t="shared" ca="1" si="108"/>
        <v>0</v>
      </c>
      <c r="CD157" s="56">
        <f t="shared" ca="1" si="108"/>
        <v>0</v>
      </c>
      <c r="CE157" s="56">
        <f t="shared" ca="1" si="108"/>
        <v>0</v>
      </c>
      <c r="CF157" s="56">
        <f t="shared" ca="1" si="108"/>
        <v>0</v>
      </c>
      <c r="CG157" s="56">
        <f t="shared" ca="1" si="108"/>
        <v>0</v>
      </c>
      <c r="CH157" s="56">
        <f t="shared" ca="1" si="108"/>
        <v>0</v>
      </c>
      <c r="CI157" s="56">
        <f t="shared" ca="1" si="108"/>
        <v>0</v>
      </c>
      <c r="CJ157" s="56">
        <f t="shared" ca="1" si="108"/>
        <v>0</v>
      </c>
      <c r="CK157" s="56">
        <f t="shared" ca="1" si="108"/>
        <v>0</v>
      </c>
      <c r="CL157" s="56">
        <f t="shared" ca="1" si="108"/>
        <v>0</v>
      </c>
      <c r="CM157" s="56">
        <f t="shared" ca="1" si="108"/>
        <v>0</v>
      </c>
      <c r="CN157" s="56">
        <f t="shared" ca="1" si="108"/>
        <v>0</v>
      </c>
      <c r="CO157" s="56">
        <f t="shared" ca="1" si="108"/>
        <v>0</v>
      </c>
      <c r="CP157" s="56">
        <f t="shared" ca="1" si="108"/>
        <v>0</v>
      </c>
      <c r="CQ157" s="56">
        <f t="shared" ca="1" si="108"/>
        <v>0</v>
      </c>
      <c r="CR157" s="56">
        <f t="shared" ca="1" si="108"/>
        <v>0</v>
      </c>
      <c r="CS157" s="56">
        <f t="shared" ca="1" si="108"/>
        <v>0</v>
      </c>
      <c r="CT157" s="56">
        <f t="shared" ca="1" si="108"/>
        <v>0</v>
      </c>
      <c r="CU157" s="56">
        <f t="shared" ca="1" si="108"/>
        <v>0</v>
      </c>
      <c r="CV157" s="56">
        <f t="shared" ca="1" si="108"/>
        <v>0</v>
      </c>
      <c r="CW157" s="56">
        <f t="shared" ca="1" si="108"/>
        <v>0</v>
      </c>
      <c r="CX157" s="56">
        <f t="shared" ca="1" si="108"/>
        <v>0</v>
      </c>
      <c r="CY157" s="56">
        <f t="shared" ca="1" si="108"/>
        <v>0</v>
      </c>
      <c r="CZ157" s="56">
        <f t="shared" ca="1" si="108"/>
        <v>0</v>
      </c>
      <c r="DA157" s="56">
        <f t="shared" ca="1" si="108"/>
        <v>0</v>
      </c>
      <c r="DB157" s="56">
        <f t="shared" ref="DB157:DE157" ca="1" si="109">DB156/DB135</f>
        <v>0</v>
      </c>
      <c r="DC157" s="56">
        <f t="shared" ca="1" si="109"/>
        <v>0</v>
      </c>
      <c r="DD157" s="56">
        <f t="shared" ca="1" si="109"/>
        <v>0</v>
      </c>
      <c r="DE157" s="56">
        <f t="shared" ca="1" si="109"/>
        <v>0</v>
      </c>
    </row>
    <row r="158" spans="3:109" x14ac:dyDescent="0.15">
      <c r="C158" t="s">
        <v>324</v>
      </c>
      <c r="E158" s="90">
        <v>-0.05</v>
      </c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CF158" s="37"/>
      <c r="CG158" s="37"/>
      <c r="CH158" s="37"/>
      <c r="CI158" s="37"/>
      <c r="CJ158" s="37"/>
      <c r="CK158" s="37"/>
      <c r="CL158" s="37"/>
      <c r="CM158" s="37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  <c r="CX158" s="37"/>
      <c r="CY158" s="37"/>
      <c r="CZ158" s="37"/>
      <c r="DA158" s="37"/>
      <c r="DB158" s="37"/>
      <c r="DC158" s="37"/>
      <c r="DD158" s="37"/>
      <c r="DE158" s="37"/>
    </row>
    <row r="159" spans="3:109" x14ac:dyDescent="0.15">
      <c r="C159" t="s">
        <v>325</v>
      </c>
      <c r="D159" s="5" t="s">
        <v>0</v>
      </c>
      <c r="I159" s="35">
        <f ca="1">SUM(J159:DE159)</f>
        <v>787632581.31324506</v>
      </c>
      <c r="J159" s="37">
        <f t="shared" ref="J159:AO159" ca="1" si="110">J155*J149*(1-$E$158)</f>
        <v>0</v>
      </c>
      <c r="K159" s="37">
        <f t="shared" ca="1" si="110"/>
        <v>0</v>
      </c>
      <c r="L159" s="37">
        <f t="shared" ca="1" si="110"/>
        <v>0</v>
      </c>
      <c r="M159" s="37">
        <f t="shared" ca="1" si="110"/>
        <v>0</v>
      </c>
      <c r="N159" s="37">
        <f t="shared" ca="1" si="110"/>
        <v>0</v>
      </c>
      <c r="O159" s="37">
        <f t="shared" ca="1" si="110"/>
        <v>0</v>
      </c>
      <c r="P159" s="37">
        <f t="shared" ca="1" si="110"/>
        <v>0</v>
      </c>
      <c r="Q159" s="37">
        <f t="shared" ca="1" si="110"/>
        <v>370035135.6402455</v>
      </c>
      <c r="R159" s="37">
        <f t="shared" ca="1" si="110"/>
        <v>417597445.67299956</v>
      </c>
      <c r="S159" s="37">
        <f t="shared" ca="1" si="110"/>
        <v>0</v>
      </c>
      <c r="T159" s="37">
        <f t="shared" ca="1" si="110"/>
        <v>0</v>
      </c>
      <c r="U159" s="37">
        <f t="shared" ca="1" si="110"/>
        <v>0</v>
      </c>
      <c r="V159" s="37">
        <f t="shared" ca="1" si="110"/>
        <v>0</v>
      </c>
      <c r="W159" s="37">
        <f t="shared" ca="1" si="110"/>
        <v>0</v>
      </c>
      <c r="X159" s="37">
        <f t="shared" ca="1" si="110"/>
        <v>0</v>
      </c>
      <c r="Y159" s="37">
        <f t="shared" ca="1" si="110"/>
        <v>0</v>
      </c>
      <c r="Z159" s="37">
        <f t="shared" ca="1" si="110"/>
        <v>0</v>
      </c>
      <c r="AA159" s="37">
        <f t="shared" ca="1" si="110"/>
        <v>0</v>
      </c>
      <c r="AB159" s="37">
        <f t="shared" ca="1" si="110"/>
        <v>0</v>
      </c>
      <c r="AC159" s="37">
        <f t="shared" ca="1" si="110"/>
        <v>0</v>
      </c>
      <c r="AD159" s="37">
        <f t="shared" ca="1" si="110"/>
        <v>0</v>
      </c>
      <c r="AE159" s="37">
        <f t="shared" ca="1" si="110"/>
        <v>0</v>
      </c>
      <c r="AF159" s="37">
        <f t="shared" ca="1" si="110"/>
        <v>0</v>
      </c>
      <c r="AG159" s="37">
        <f t="shared" ca="1" si="110"/>
        <v>0</v>
      </c>
      <c r="AH159" s="37">
        <f t="shared" ca="1" si="110"/>
        <v>0</v>
      </c>
      <c r="AI159" s="37">
        <f t="shared" ca="1" si="110"/>
        <v>0</v>
      </c>
      <c r="AJ159" s="37">
        <f t="shared" ca="1" si="110"/>
        <v>0</v>
      </c>
      <c r="AK159" s="37">
        <f t="shared" ca="1" si="110"/>
        <v>0</v>
      </c>
      <c r="AL159" s="37">
        <f t="shared" ca="1" si="110"/>
        <v>0</v>
      </c>
      <c r="AM159" s="37">
        <f t="shared" ca="1" si="110"/>
        <v>0</v>
      </c>
      <c r="AN159" s="37">
        <f t="shared" ca="1" si="110"/>
        <v>0</v>
      </c>
      <c r="AO159" s="37">
        <f t="shared" ca="1" si="110"/>
        <v>0</v>
      </c>
      <c r="AP159" s="37">
        <f t="shared" ref="AP159:BU159" ca="1" si="111">AP155*AP149*(1-$E$158)</f>
        <v>0</v>
      </c>
      <c r="AQ159" s="37">
        <f t="shared" ca="1" si="111"/>
        <v>0</v>
      </c>
      <c r="AR159" s="37">
        <f t="shared" ca="1" si="111"/>
        <v>0</v>
      </c>
      <c r="AS159" s="37">
        <f t="shared" ca="1" si="111"/>
        <v>0</v>
      </c>
      <c r="AT159" s="37">
        <f t="shared" ca="1" si="111"/>
        <v>0</v>
      </c>
      <c r="AU159" s="37">
        <f t="shared" ca="1" si="111"/>
        <v>0</v>
      </c>
      <c r="AV159" s="37">
        <f t="shared" ca="1" si="111"/>
        <v>0</v>
      </c>
      <c r="AW159" s="37">
        <f t="shared" ca="1" si="111"/>
        <v>0</v>
      </c>
      <c r="AX159" s="37">
        <f t="shared" ca="1" si="111"/>
        <v>0</v>
      </c>
      <c r="AY159" s="37">
        <f t="shared" ca="1" si="111"/>
        <v>0</v>
      </c>
      <c r="AZ159" s="37">
        <f t="shared" ca="1" si="111"/>
        <v>0</v>
      </c>
      <c r="BA159" s="37">
        <f t="shared" ca="1" si="111"/>
        <v>0</v>
      </c>
      <c r="BB159" s="37">
        <f t="shared" ca="1" si="111"/>
        <v>0</v>
      </c>
      <c r="BC159" s="37">
        <f t="shared" ca="1" si="111"/>
        <v>0</v>
      </c>
      <c r="BD159" s="37">
        <f t="shared" ca="1" si="111"/>
        <v>0</v>
      </c>
      <c r="BE159" s="37">
        <f t="shared" ca="1" si="111"/>
        <v>0</v>
      </c>
      <c r="BF159" s="37">
        <f t="shared" ca="1" si="111"/>
        <v>0</v>
      </c>
      <c r="BG159" s="37">
        <f t="shared" ca="1" si="111"/>
        <v>0</v>
      </c>
      <c r="BH159" s="37">
        <f t="shared" ca="1" si="111"/>
        <v>0</v>
      </c>
      <c r="BI159" s="37">
        <f t="shared" ca="1" si="111"/>
        <v>0</v>
      </c>
      <c r="BJ159" s="37">
        <f t="shared" ca="1" si="111"/>
        <v>0</v>
      </c>
      <c r="BK159" s="37">
        <f t="shared" ca="1" si="111"/>
        <v>0</v>
      </c>
      <c r="BL159" s="37">
        <f t="shared" ca="1" si="111"/>
        <v>0</v>
      </c>
      <c r="BM159" s="37">
        <f t="shared" ca="1" si="111"/>
        <v>0</v>
      </c>
      <c r="BN159" s="37">
        <f t="shared" ca="1" si="111"/>
        <v>0</v>
      </c>
      <c r="BO159" s="37">
        <f t="shared" ca="1" si="111"/>
        <v>0</v>
      </c>
      <c r="BP159" s="37">
        <f t="shared" ca="1" si="111"/>
        <v>0</v>
      </c>
      <c r="BQ159" s="37">
        <f t="shared" ca="1" si="111"/>
        <v>0</v>
      </c>
      <c r="BR159" s="37">
        <f t="shared" ca="1" si="111"/>
        <v>0</v>
      </c>
      <c r="BS159" s="37">
        <f t="shared" ca="1" si="111"/>
        <v>0</v>
      </c>
      <c r="BT159" s="37">
        <f t="shared" ca="1" si="111"/>
        <v>0</v>
      </c>
      <c r="BU159" s="37">
        <f t="shared" ca="1" si="111"/>
        <v>0</v>
      </c>
      <c r="BV159" s="37">
        <f t="shared" ref="BV159:DE159" ca="1" si="112">BV155*BV149*(1-$E$158)</f>
        <v>0</v>
      </c>
      <c r="BW159" s="37">
        <f t="shared" ca="1" si="112"/>
        <v>0</v>
      </c>
      <c r="BX159" s="37">
        <f t="shared" ca="1" si="112"/>
        <v>0</v>
      </c>
      <c r="BY159" s="37">
        <f t="shared" ca="1" si="112"/>
        <v>0</v>
      </c>
      <c r="BZ159" s="37">
        <f t="shared" ca="1" si="112"/>
        <v>0</v>
      </c>
      <c r="CA159" s="37">
        <f t="shared" ca="1" si="112"/>
        <v>0</v>
      </c>
      <c r="CB159" s="37">
        <f t="shared" ca="1" si="112"/>
        <v>0</v>
      </c>
      <c r="CC159" s="37">
        <f t="shared" ca="1" si="112"/>
        <v>0</v>
      </c>
      <c r="CD159" s="37">
        <f t="shared" ca="1" si="112"/>
        <v>0</v>
      </c>
      <c r="CE159" s="37">
        <f t="shared" ca="1" si="112"/>
        <v>0</v>
      </c>
      <c r="CF159" s="37">
        <f t="shared" ca="1" si="112"/>
        <v>0</v>
      </c>
      <c r="CG159" s="37">
        <f t="shared" ca="1" si="112"/>
        <v>0</v>
      </c>
      <c r="CH159" s="37">
        <f t="shared" ca="1" si="112"/>
        <v>0</v>
      </c>
      <c r="CI159" s="37">
        <f t="shared" ca="1" si="112"/>
        <v>0</v>
      </c>
      <c r="CJ159" s="37">
        <f t="shared" ca="1" si="112"/>
        <v>0</v>
      </c>
      <c r="CK159" s="37">
        <f t="shared" ca="1" si="112"/>
        <v>0</v>
      </c>
      <c r="CL159" s="37">
        <f t="shared" ca="1" si="112"/>
        <v>0</v>
      </c>
      <c r="CM159" s="37">
        <f t="shared" ca="1" si="112"/>
        <v>0</v>
      </c>
      <c r="CN159" s="37">
        <f t="shared" ca="1" si="112"/>
        <v>0</v>
      </c>
      <c r="CO159" s="37">
        <f t="shared" ca="1" si="112"/>
        <v>0</v>
      </c>
      <c r="CP159" s="37">
        <f t="shared" ca="1" si="112"/>
        <v>0</v>
      </c>
      <c r="CQ159" s="37">
        <f t="shared" ca="1" si="112"/>
        <v>0</v>
      </c>
      <c r="CR159" s="37">
        <f t="shared" ca="1" si="112"/>
        <v>0</v>
      </c>
      <c r="CS159" s="37">
        <f t="shared" ca="1" si="112"/>
        <v>0</v>
      </c>
      <c r="CT159" s="37">
        <f t="shared" ca="1" si="112"/>
        <v>0</v>
      </c>
      <c r="CU159" s="37">
        <f t="shared" ca="1" si="112"/>
        <v>0</v>
      </c>
      <c r="CV159" s="37">
        <f t="shared" ca="1" si="112"/>
        <v>0</v>
      </c>
      <c r="CW159" s="37">
        <f t="shared" ca="1" si="112"/>
        <v>0</v>
      </c>
      <c r="CX159" s="37">
        <f t="shared" ca="1" si="112"/>
        <v>0</v>
      </c>
      <c r="CY159" s="37">
        <f t="shared" ca="1" si="112"/>
        <v>0</v>
      </c>
      <c r="CZ159" s="37">
        <f t="shared" ca="1" si="112"/>
        <v>0</v>
      </c>
      <c r="DA159" s="37">
        <f t="shared" ca="1" si="112"/>
        <v>0</v>
      </c>
      <c r="DB159" s="37">
        <f t="shared" ca="1" si="112"/>
        <v>0</v>
      </c>
      <c r="DC159" s="37">
        <f t="shared" ca="1" si="112"/>
        <v>0</v>
      </c>
      <c r="DD159" s="37">
        <f t="shared" ca="1" si="112"/>
        <v>0</v>
      </c>
      <c r="DE159" s="37">
        <f t="shared" ca="1" si="112"/>
        <v>0</v>
      </c>
    </row>
    <row r="160" spans="3:109" x14ac:dyDescent="0.15">
      <c r="C160" t="s">
        <v>323</v>
      </c>
      <c r="E160" s="66">
        <v>0.05</v>
      </c>
      <c r="J160" s="37">
        <f t="shared" ref="J160:AO160" ca="1" si="113">J159*$E$160</f>
        <v>0</v>
      </c>
      <c r="K160" s="37">
        <f t="shared" ca="1" si="113"/>
        <v>0</v>
      </c>
      <c r="L160" s="37">
        <f t="shared" ca="1" si="113"/>
        <v>0</v>
      </c>
      <c r="M160" s="37">
        <f t="shared" ca="1" si="113"/>
        <v>0</v>
      </c>
      <c r="N160" s="37">
        <f t="shared" ca="1" si="113"/>
        <v>0</v>
      </c>
      <c r="O160" s="37">
        <f t="shared" ca="1" si="113"/>
        <v>0</v>
      </c>
      <c r="P160" s="37">
        <f t="shared" ca="1" si="113"/>
        <v>0</v>
      </c>
      <c r="Q160" s="37">
        <f t="shared" ca="1" si="113"/>
        <v>18501756.782012276</v>
      </c>
      <c r="R160" s="37">
        <f t="shared" ca="1" si="113"/>
        <v>20879872.283649981</v>
      </c>
      <c r="S160" s="37">
        <f t="shared" ca="1" si="113"/>
        <v>0</v>
      </c>
      <c r="T160" s="37">
        <f t="shared" ca="1" si="113"/>
        <v>0</v>
      </c>
      <c r="U160" s="37">
        <f t="shared" ca="1" si="113"/>
        <v>0</v>
      </c>
      <c r="V160" s="37">
        <f t="shared" ca="1" si="113"/>
        <v>0</v>
      </c>
      <c r="W160" s="37">
        <f t="shared" ca="1" si="113"/>
        <v>0</v>
      </c>
      <c r="X160" s="37">
        <f t="shared" ca="1" si="113"/>
        <v>0</v>
      </c>
      <c r="Y160" s="37">
        <f t="shared" ca="1" si="113"/>
        <v>0</v>
      </c>
      <c r="Z160" s="37">
        <f t="shared" ca="1" si="113"/>
        <v>0</v>
      </c>
      <c r="AA160" s="37">
        <f t="shared" ca="1" si="113"/>
        <v>0</v>
      </c>
      <c r="AB160" s="37">
        <f t="shared" ca="1" si="113"/>
        <v>0</v>
      </c>
      <c r="AC160" s="37">
        <f t="shared" ca="1" si="113"/>
        <v>0</v>
      </c>
      <c r="AD160" s="37">
        <f t="shared" ca="1" si="113"/>
        <v>0</v>
      </c>
      <c r="AE160" s="37">
        <f t="shared" ca="1" si="113"/>
        <v>0</v>
      </c>
      <c r="AF160" s="37">
        <f t="shared" ca="1" si="113"/>
        <v>0</v>
      </c>
      <c r="AG160" s="37">
        <f t="shared" ca="1" si="113"/>
        <v>0</v>
      </c>
      <c r="AH160" s="37">
        <f t="shared" ca="1" si="113"/>
        <v>0</v>
      </c>
      <c r="AI160" s="37">
        <f t="shared" ca="1" si="113"/>
        <v>0</v>
      </c>
      <c r="AJ160" s="37">
        <f t="shared" ca="1" si="113"/>
        <v>0</v>
      </c>
      <c r="AK160" s="37">
        <f t="shared" ca="1" si="113"/>
        <v>0</v>
      </c>
      <c r="AL160" s="37">
        <f t="shared" ca="1" si="113"/>
        <v>0</v>
      </c>
      <c r="AM160" s="37">
        <f t="shared" ca="1" si="113"/>
        <v>0</v>
      </c>
      <c r="AN160" s="37">
        <f t="shared" ca="1" si="113"/>
        <v>0</v>
      </c>
      <c r="AO160" s="37">
        <f t="shared" ca="1" si="113"/>
        <v>0</v>
      </c>
      <c r="AP160" s="37">
        <f t="shared" ref="AP160:BU160" ca="1" si="114">AP159*$E$160</f>
        <v>0</v>
      </c>
      <c r="AQ160" s="37">
        <f t="shared" ca="1" si="114"/>
        <v>0</v>
      </c>
      <c r="AR160" s="37">
        <f t="shared" ca="1" si="114"/>
        <v>0</v>
      </c>
      <c r="AS160" s="37">
        <f t="shared" ca="1" si="114"/>
        <v>0</v>
      </c>
      <c r="AT160" s="37">
        <f t="shared" ca="1" si="114"/>
        <v>0</v>
      </c>
      <c r="AU160" s="37">
        <f t="shared" ca="1" si="114"/>
        <v>0</v>
      </c>
      <c r="AV160" s="37">
        <f t="shared" ca="1" si="114"/>
        <v>0</v>
      </c>
      <c r="AW160" s="37">
        <f t="shared" ca="1" si="114"/>
        <v>0</v>
      </c>
      <c r="AX160" s="37">
        <f t="shared" ca="1" si="114"/>
        <v>0</v>
      </c>
      <c r="AY160" s="37">
        <f t="shared" ca="1" si="114"/>
        <v>0</v>
      </c>
      <c r="AZ160" s="37">
        <f t="shared" ca="1" si="114"/>
        <v>0</v>
      </c>
      <c r="BA160" s="37">
        <f t="shared" ca="1" si="114"/>
        <v>0</v>
      </c>
      <c r="BB160" s="37">
        <f t="shared" ca="1" si="114"/>
        <v>0</v>
      </c>
      <c r="BC160" s="37">
        <f t="shared" ca="1" si="114"/>
        <v>0</v>
      </c>
      <c r="BD160" s="37">
        <f t="shared" ca="1" si="114"/>
        <v>0</v>
      </c>
      <c r="BE160" s="37">
        <f t="shared" ca="1" si="114"/>
        <v>0</v>
      </c>
      <c r="BF160" s="37">
        <f t="shared" ca="1" si="114"/>
        <v>0</v>
      </c>
      <c r="BG160" s="37">
        <f t="shared" ca="1" si="114"/>
        <v>0</v>
      </c>
      <c r="BH160" s="37">
        <f t="shared" ca="1" si="114"/>
        <v>0</v>
      </c>
      <c r="BI160" s="37">
        <f t="shared" ca="1" si="114"/>
        <v>0</v>
      </c>
      <c r="BJ160" s="37">
        <f t="shared" ca="1" si="114"/>
        <v>0</v>
      </c>
      <c r="BK160" s="37">
        <f t="shared" ca="1" si="114"/>
        <v>0</v>
      </c>
      <c r="BL160" s="37">
        <f t="shared" ca="1" si="114"/>
        <v>0</v>
      </c>
      <c r="BM160" s="37">
        <f t="shared" ca="1" si="114"/>
        <v>0</v>
      </c>
      <c r="BN160" s="37">
        <f t="shared" ca="1" si="114"/>
        <v>0</v>
      </c>
      <c r="BO160" s="37">
        <f t="shared" ca="1" si="114"/>
        <v>0</v>
      </c>
      <c r="BP160" s="37">
        <f t="shared" ca="1" si="114"/>
        <v>0</v>
      </c>
      <c r="BQ160" s="37">
        <f t="shared" ca="1" si="114"/>
        <v>0</v>
      </c>
      <c r="BR160" s="37">
        <f t="shared" ca="1" si="114"/>
        <v>0</v>
      </c>
      <c r="BS160" s="37">
        <f t="shared" ca="1" si="114"/>
        <v>0</v>
      </c>
      <c r="BT160" s="37">
        <f t="shared" ca="1" si="114"/>
        <v>0</v>
      </c>
      <c r="BU160" s="37">
        <f t="shared" ca="1" si="114"/>
        <v>0</v>
      </c>
      <c r="BV160" s="37">
        <f t="shared" ref="BV160:DA160" ca="1" si="115">BV159*$E$160</f>
        <v>0</v>
      </c>
      <c r="BW160" s="37">
        <f t="shared" ca="1" si="115"/>
        <v>0</v>
      </c>
      <c r="BX160" s="37">
        <f t="shared" ca="1" si="115"/>
        <v>0</v>
      </c>
      <c r="BY160" s="37">
        <f t="shared" ca="1" si="115"/>
        <v>0</v>
      </c>
      <c r="BZ160" s="37">
        <f t="shared" ca="1" si="115"/>
        <v>0</v>
      </c>
      <c r="CA160" s="37">
        <f t="shared" ca="1" si="115"/>
        <v>0</v>
      </c>
      <c r="CB160" s="37">
        <f t="shared" ca="1" si="115"/>
        <v>0</v>
      </c>
      <c r="CC160" s="37">
        <f t="shared" ca="1" si="115"/>
        <v>0</v>
      </c>
      <c r="CD160" s="37">
        <f t="shared" ca="1" si="115"/>
        <v>0</v>
      </c>
      <c r="CE160" s="37">
        <f t="shared" ca="1" si="115"/>
        <v>0</v>
      </c>
      <c r="CF160" s="37">
        <f t="shared" ca="1" si="115"/>
        <v>0</v>
      </c>
      <c r="CG160" s="37">
        <f t="shared" ca="1" si="115"/>
        <v>0</v>
      </c>
      <c r="CH160" s="37">
        <f t="shared" ca="1" si="115"/>
        <v>0</v>
      </c>
      <c r="CI160" s="37">
        <f t="shared" ca="1" si="115"/>
        <v>0</v>
      </c>
      <c r="CJ160" s="37">
        <f t="shared" ca="1" si="115"/>
        <v>0</v>
      </c>
      <c r="CK160" s="37">
        <f t="shared" ca="1" si="115"/>
        <v>0</v>
      </c>
      <c r="CL160" s="37">
        <f t="shared" ca="1" si="115"/>
        <v>0</v>
      </c>
      <c r="CM160" s="37">
        <f t="shared" ca="1" si="115"/>
        <v>0</v>
      </c>
      <c r="CN160" s="37">
        <f t="shared" ca="1" si="115"/>
        <v>0</v>
      </c>
      <c r="CO160" s="37">
        <f t="shared" ca="1" si="115"/>
        <v>0</v>
      </c>
      <c r="CP160" s="37">
        <f t="shared" ca="1" si="115"/>
        <v>0</v>
      </c>
      <c r="CQ160" s="37">
        <f t="shared" ca="1" si="115"/>
        <v>0</v>
      </c>
      <c r="CR160" s="37">
        <f t="shared" ca="1" si="115"/>
        <v>0</v>
      </c>
      <c r="CS160" s="37">
        <f t="shared" ca="1" si="115"/>
        <v>0</v>
      </c>
      <c r="CT160" s="37">
        <f t="shared" ca="1" si="115"/>
        <v>0</v>
      </c>
      <c r="CU160" s="37">
        <f t="shared" ca="1" si="115"/>
        <v>0</v>
      </c>
      <c r="CV160" s="37">
        <f t="shared" ca="1" si="115"/>
        <v>0</v>
      </c>
      <c r="CW160" s="37">
        <f t="shared" ca="1" si="115"/>
        <v>0</v>
      </c>
      <c r="CX160" s="37">
        <f t="shared" ca="1" si="115"/>
        <v>0</v>
      </c>
      <c r="CY160" s="37">
        <f t="shared" ca="1" si="115"/>
        <v>0</v>
      </c>
      <c r="CZ160" s="37">
        <f t="shared" ca="1" si="115"/>
        <v>0</v>
      </c>
      <c r="DA160" s="37">
        <f t="shared" ca="1" si="115"/>
        <v>0</v>
      </c>
      <c r="DB160" s="37">
        <f t="shared" ref="DB160:DE160" ca="1" si="116">DB159*$E$160</f>
        <v>0</v>
      </c>
      <c r="DC160" s="37">
        <f t="shared" ca="1" si="116"/>
        <v>0</v>
      </c>
      <c r="DD160" s="37">
        <f t="shared" ca="1" si="116"/>
        <v>0</v>
      </c>
      <c r="DE160" s="37">
        <f t="shared" ca="1" si="116"/>
        <v>0</v>
      </c>
    </row>
    <row r="161" spans="3:109" x14ac:dyDescent="0.15">
      <c r="C161" t="s">
        <v>328</v>
      </c>
      <c r="D161" s="5" t="s">
        <v>0</v>
      </c>
      <c r="I161" s="35">
        <f ca="1">SUM(J161:DE161)</f>
        <v>748250952.24758279</v>
      </c>
      <c r="J161" s="37">
        <f t="shared" ref="J161:AO161" ca="1" si="117">J159-J160</f>
        <v>0</v>
      </c>
      <c r="K161" s="37">
        <f t="shared" ca="1" si="117"/>
        <v>0</v>
      </c>
      <c r="L161" s="37">
        <f t="shared" ca="1" si="117"/>
        <v>0</v>
      </c>
      <c r="M161" s="37">
        <f t="shared" ca="1" si="117"/>
        <v>0</v>
      </c>
      <c r="N161" s="37">
        <f t="shared" ca="1" si="117"/>
        <v>0</v>
      </c>
      <c r="O161" s="37">
        <f t="shared" ca="1" si="117"/>
        <v>0</v>
      </c>
      <c r="P161" s="37">
        <f t="shared" ca="1" si="117"/>
        <v>0</v>
      </c>
      <c r="Q161" s="37">
        <f t="shared" ca="1" si="117"/>
        <v>351533378.85823321</v>
      </c>
      <c r="R161" s="37">
        <f t="shared" ca="1" si="117"/>
        <v>396717573.38934958</v>
      </c>
      <c r="S161" s="37">
        <f t="shared" ca="1" si="117"/>
        <v>0</v>
      </c>
      <c r="T161" s="37">
        <f t="shared" ca="1" si="117"/>
        <v>0</v>
      </c>
      <c r="U161" s="37">
        <f t="shared" ca="1" si="117"/>
        <v>0</v>
      </c>
      <c r="V161" s="37">
        <f t="shared" ca="1" si="117"/>
        <v>0</v>
      </c>
      <c r="W161" s="37">
        <f t="shared" ca="1" si="117"/>
        <v>0</v>
      </c>
      <c r="X161" s="37">
        <f t="shared" ca="1" si="117"/>
        <v>0</v>
      </c>
      <c r="Y161" s="37">
        <f t="shared" ca="1" si="117"/>
        <v>0</v>
      </c>
      <c r="Z161" s="37">
        <f t="shared" ca="1" si="117"/>
        <v>0</v>
      </c>
      <c r="AA161" s="37">
        <f t="shared" ca="1" si="117"/>
        <v>0</v>
      </c>
      <c r="AB161" s="37">
        <f t="shared" ca="1" si="117"/>
        <v>0</v>
      </c>
      <c r="AC161" s="37">
        <f t="shared" ca="1" si="117"/>
        <v>0</v>
      </c>
      <c r="AD161" s="37">
        <f t="shared" ca="1" si="117"/>
        <v>0</v>
      </c>
      <c r="AE161" s="37">
        <f t="shared" ca="1" si="117"/>
        <v>0</v>
      </c>
      <c r="AF161" s="37">
        <f t="shared" ca="1" si="117"/>
        <v>0</v>
      </c>
      <c r="AG161" s="37">
        <f t="shared" ca="1" si="117"/>
        <v>0</v>
      </c>
      <c r="AH161" s="37">
        <f t="shared" ca="1" si="117"/>
        <v>0</v>
      </c>
      <c r="AI161" s="37">
        <f t="shared" ca="1" si="117"/>
        <v>0</v>
      </c>
      <c r="AJ161" s="37">
        <f t="shared" ca="1" si="117"/>
        <v>0</v>
      </c>
      <c r="AK161" s="37">
        <f t="shared" ca="1" si="117"/>
        <v>0</v>
      </c>
      <c r="AL161" s="37">
        <f t="shared" ca="1" si="117"/>
        <v>0</v>
      </c>
      <c r="AM161" s="37">
        <f t="shared" ca="1" si="117"/>
        <v>0</v>
      </c>
      <c r="AN161" s="37">
        <f t="shared" ca="1" si="117"/>
        <v>0</v>
      </c>
      <c r="AO161" s="37">
        <f t="shared" ca="1" si="117"/>
        <v>0</v>
      </c>
      <c r="AP161" s="37">
        <f t="shared" ref="AP161:BU161" ca="1" si="118">AP159-AP160</f>
        <v>0</v>
      </c>
      <c r="AQ161" s="37">
        <f t="shared" ca="1" si="118"/>
        <v>0</v>
      </c>
      <c r="AR161" s="37">
        <f t="shared" ca="1" si="118"/>
        <v>0</v>
      </c>
      <c r="AS161" s="37">
        <f t="shared" ca="1" si="118"/>
        <v>0</v>
      </c>
      <c r="AT161" s="37">
        <f t="shared" ca="1" si="118"/>
        <v>0</v>
      </c>
      <c r="AU161" s="37">
        <f t="shared" ca="1" si="118"/>
        <v>0</v>
      </c>
      <c r="AV161" s="37">
        <f t="shared" ca="1" si="118"/>
        <v>0</v>
      </c>
      <c r="AW161" s="37">
        <f t="shared" ca="1" si="118"/>
        <v>0</v>
      </c>
      <c r="AX161" s="37">
        <f t="shared" ca="1" si="118"/>
        <v>0</v>
      </c>
      <c r="AY161" s="37">
        <f t="shared" ca="1" si="118"/>
        <v>0</v>
      </c>
      <c r="AZ161" s="37">
        <f t="shared" ca="1" si="118"/>
        <v>0</v>
      </c>
      <c r="BA161" s="37">
        <f t="shared" ca="1" si="118"/>
        <v>0</v>
      </c>
      <c r="BB161" s="37">
        <f t="shared" ca="1" si="118"/>
        <v>0</v>
      </c>
      <c r="BC161" s="37">
        <f t="shared" ca="1" si="118"/>
        <v>0</v>
      </c>
      <c r="BD161" s="37">
        <f t="shared" ca="1" si="118"/>
        <v>0</v>
      </c>
      <c r="BE161" s="37">
        <f t="shared" ca="1" si="118"/>
        <v>0</v>
      </c>
      <c r="BF161" s="37">
        <f t="shared" ca="1" si="118"/>
        <v>0</v>
      </c>
      <c r="BG161" s="37">
        <f t="shared" ca="1" si="118"/>
        <v>0</v>
      </c>
      <c r="BH161" s="37">
        <f t="shared" ca="1" si="118"/>
        <v>0</v>
      </c>
      <c r="BI161" s="37">
        <f t="shared" ca="1" si="118"/>
        <v>0</v>
      </c>
      <c r="BJ161" s="37">
        <f t="shared" ca="1" si="118"/>
        <v>0</v>
      </c>
      <c r="BK161" s="37">
        <f t="shared" ca="1" si="118"/>
        <v>0</v>
      </c>
      <c r="BL161" s="37">
        <f t="shared" ca="1" si="118"/>
        <v>0</v>
      </c>
      <c r="BM161" s="37">
        <f t="shared" ca="1" si="118"/>
        <v>0</v>
      </c>
      <c r="BN161" s="37">
        <f t="shared" ca="1" si="118"/>
        <v>0</v>
      </c>
      <c r="BO161" s="37">
        <f t="shared" ca="1" si="118"/>
        <v>0</v>
      </c>
      <c r="BP161" s="37">
        <f t="shared" ca="1" si="118"/>
        <v>0</v>
      </c>
      <c r="BQ161" s="37">
        <f t="shared" ca="1" si="118"/>
        <v>0</v>
      </c>
      <c r="BR161" s="37">
        <f t="shared" ca="1" si="118"/>
        <v>0</v>
      </c>
      <c r="BS161" s="37">
        <f t="shared" ca="1" si="118"/>
        <v>0</v>
      </c>
      <c r="BT161" s="37">
        <f t="shared" ca="1" si="118"/>
        <v>0</v>
      </c>
      <c r="BU161" s="37">
        <f t="shared" ca="1" si="118"/>
        <v>0</v>
      </c>
      <c r="BV161" s="37">
        <f t="shared" ref="BV161:DA161" ca="1" si="119">BV159-BV160</f>
        <v>0</v>
      </c>
      <c r="BW161" s="37">
        <f t="shared" ca="1" si="119"/>
        <v>0</v>
      </c>
      <c r="BX161" s="37">
        <f t="shared" ca="1" si="119"/>
        <v>0</v>
      </c>
      <c r="BY161" s="37">
        <f t="shared" ca="1" si="119"/>
        <v>0</v>
      </c>
      <c r="BZ161" s="37">
        <f t="shared" ca="1" si="119"/>
        <v>0</v>
      </c>
      <c r="CA161" s="37">
        <f t="shared" ca="1" si="119"/>
        <v>0</v>
      </c>
      <c r="CB161" s="37">
        <f t="shared" ca="1" si="119"/>
        <v>0</v>
      </c>
      <c r="CC161" s="37">
        <f t="shared" ca="1" si="119"/>
        <v>0</v>
      </c>
      <c r="CD161" s="37">
        <f t="shared" ca="1" si="119"/>
        <v>0</v>
      </c>
      <c r="CE161" s="37">
        <f t="shared" ca="1" si="119"/>
        <v>0</v>
      </c>
      <c r="CF161" s="37">
        <f t="shared" ca="1" si="119"/>
        <v>0</v>
      </c>
      <c r="CG161" s="37">
        <f t="shared" ca="1" si="119"/>
        <v>0</v>
      </c>
      <c r="CH161" s="37">
        <f t="shared" ca="1" si="119"/>
        <v>0</v>
      </c>
      <c r="CI161" s="37">
        <f t="shared" ca="1" si="119"/>
        <v>0</v>
      </c>
      <c r="CJ161" s="37">
        <f t="shared" ca="1" si="119"/>
        <v>0</v>
      </c>
      <c r="CK161" s="37">
        <f t="shared" ca="1" si="119"/>
        <v>0</v>
      </c>
      <c r="CL161" s="37">
        <f t="shared" ca="1" si="119"/>
        <v>0</v>
      </c>
      <c r="CM161" s="37">
        <f t="shared" ca="1" si="119"/>
        <v>0</v>
      </c>
      <c r="CN161" s="37">
        <f t="shared" ca="1" si="119"/>
        <v>0</v>
      </c>
      <c r="CO161" s="37">
        <f t="shared" ca="1" si="119"/>
        <v>0</v>
      </c>
      <c r="CP161" s="37">
        <f t="shared" ca="1" si="119"/>
        <v>0</v>
      </c>
      <c r="CQ161" s="37">
        <f t="shared" ca="1" si="119"/>
        <v>0</v>
      </c>
      <c r="CR161" s="37">
        <f t="shared" ca="1" si="119"/>
        <v>0</v>
      </c>
      <c r="CS161" s="37">
        <f t="shared" ca="1" si="119"/>
        <v>0</v>
      </c>
      <c r="CT161" s="37">
        <f t="shared" ca="1" si="119"/>
        <v>0</v>
      </c>
      <c r="CU161" s="37">
        <f t="shared" ca="1" si="119"/>
        <v>0</v>
      </c>
      <c r="CV161" s="37">
        <f t="shared" ca="1" si="119"/>
        <v>0</v>
      </c>
      <c r="CW161" s="37">
        <f t="shared" ca="1" si="119"/>
        <v>0</v>
      </c>
      <c r="CX161" s="37">
        <f t="shared" ca="1" si="119"/>
        <v>0</v>
      </c>
      <c r="CY161" s="37">
        <f t="shared" ca="1" si="119"/>
        <v>0</v>
      </c>
      <c r="CZ161" s="37">
        <f t="shared" ca="1" si="119"/>
        <v>0</v>
      </c>
      <c r="DA161" s="37">
        <f t="shared" ca="1" si="119"/>
        <v>0</v>
      </c>
      <c r="DB161" s="37">
        <f t="shared" ref="DB161:DE161" ca="1" si="120">DB159-DB160</f>
        <v>0</v>
      </c>
      <c r="DC161" s="37">
        <f t="shared" ca="1" si="120"/>
        <v>0</v>
      </c>
      <c r="DD161" s="37">
        <f t="shared" ca="1" si="120"/>
        <v>0</v>
      </c>
      <c r="DE161" s="37">
        <f t="shared" ca="1" si="120"/>
        <v>0</v>
      </c>
    </row>
    <row r="162" spans="3:109" x14ac:dyDescent="0.15">
      <c r="C162" t="s">
        <v>327</v>
      </c>
      <c r="D162" s="5" t="s">
        <v>0</v>
      </c>
      <c r="I162" s="35">
        <f ca="1">SUM(J162:DE162)</f>
        <v>248250952.24758279</v>
      </c>
      <c r="J162" s="37">
        <f t="shared" ref="J162:AO162" ca="1" si="121">-J153+J161</f>
        <v>-500000000</v>
      </c>
      <c r="K162" s="37">
        <f t="shared" ca="1" si="121"/>
        <v>0</v>
      </c>
      <c r="L162" s="37">
        <f t="shared" ca="1" si="121"/>
        <v>0</v>
      </c>
      <c r="M162" s="37">
        <f t="shared" ca="1" si="121"/>
        <v>0</v>
      </c>
      <c r="N162" s="37">
        <f t="shared" ca="1" si="121"/>
        <v>0</v>
      </c>
      <c r="O162" s="37">
        <f t="shared" ca="1" si="121"/>
        <v>0</v>
      </c>
      <c r="P162" s="37">
        <f t="shared" ca="1" si="121"/>
        <v>0</v>
      </c>
      <c r="Q162" s="37">
        <f t="shared" ca="1" si="121"/>
        <v>351533378.85823321</v>
      </c>
      <c r="R162" s="37">
        <f t="shared" ca="1" si="121"/>
        <v>396717573.38934958</v>
      </c>
      <c r="S162" s="37">
        <f t="shared" ca="1" si="121"/>
        <v>0</v>
      </c>
      <c r="T162" s="37">
        <f t="shared" ca="1" si="121"/>
        <v>0</v>
      </c>
      <c r="U162" s="37">
        <f t="shared" ca="1" si="121"/>
        <v>0</v>
      </c>
      <c r="V162" s="37">
        <f t="shared" ca="1" si="121"/>
        <v>0</v>
      </c>
      <c r="W162" s="37">
        <f t="shared" ca="1" si="121"/>
        <v>0</v>
      </c>
      <c r="X162" s="37">
        <f t="shared" ca="1" si="121"/>
        <v>0</v>
      </c>
      <c r="Y162" s="37">
        <f t="shared" ca="1" si="121"/>
        <v>0</v>
      </c>
      <c r="Z162" s="37">
        <f t="shared" ca="1" si="121"/>
        <v>0</v>
      </c>
      <c r="AA162" s="37">
        <f t="shared" ca="1" si="121"/>
        <v>0</v>
      </c>
      <c r="AB162" s="37">
        <f t="shared" ca="1" si="121"/>
        <v>0</v>
      </c>
      <c r="AC162" s="37">
        <f t="shared" ca="1" si="121"/>
        <v>0</v>
      </c>
      <c r="AD162" s="37">
        <f t="shared" ca="1" si="121"/>
        <v>0</v>
      </c>
      <c r="AE162" s="37">
        <f t="shared" ca="1" si="121"/>
        <v>0</v>
      </c>
      <c r="AF162" s="37">
        <f t="shared" ca="1" si="121"/>
        <v>0</v>
      </c>
      <c r="AG162" s="37">
        <f t="shared" ca="1" si="121"/>
        <v>0</v>
      </c>
      <c r="AH162" s="37">
        <f t="shared" ca="1" si="121"/>
        <v>0</v>
      </c>
      <c r="AI162" s="37">
        <f t="shared" ca="1" si="121"/>
        <v>0</v>
      </c>
      <c r="AJ162" s="37">
        <f t="shared" ca="1" si="121"/>
        <v>0</v>
      </c>
      <c r="AK162" s="37">
        <f t="shared" ca="1" si="121"/>
        <v>0</v>
      </c>
      <c r="AL162" s="37">
        <f t="shared" ca="1" si="121"/>
        <v>0</v>
      </c>
      <c r="AM162" s="37">
        <f t="shared" ca="1" si="121"/>
        <v>0</v>
      </c>
      <c r="AN162" s="37">
        <f t="shared" ca="1" si="121"/>
        <v>0</v>
      </c>
      <c r="AO162" s="37">
        <f t="shared" ca="1" si="121"/>
        <v>0</v>
      </c>
      <c r="AP162" s="37">
        <f t="shared" ref="AP162:BU162" ca="1" si="122">-AP153+AP161</f>
        <v>0</v>
      </c>
      <c r="AQ162" s="37">
        <f t="shared" ca="1" si="122"/>
        <v>0</v>
      </c>
      <c r="AR162" s="37">
        <f t="shared" ca="1" si="122"/>
        <v>0</v>
      </c>
      <c r="AS162" s="37">
        <f t="shared" ca="1" si="122"/>
        <v>0</v>
      </c>
      <c r="AT162" s="37">
        <f t="shared" ca="1" si="122"/>
        <v>0</v>
      </c>
      <c r="AU162" s="37">
        <f t="shared" ca="1" si="122"/>
        <v>0</v>
      </c>
      <c r="AV162" s="37">
        <f t="shared" ca="1" si="122"/>
        <v>0</v>
      </c>
      <c r="AW162" s="37">
        <f t="shared" ca="1" si="122"/>
        <v>0</v>
      </c>
      <c r="AX162" s="37">
        <f t="shared" ca="1" si="122"/>
        <v>0</v>
      </c>
      <c r="AY162" s="37">
        <f t="shared" ca="1" si="122"/>
        <v>0</v>
      </c>
      <c r="AZ162" s="37">
        <f t="shared" ca="1" si="122"/>
        <v>0</v>
      </c>
      <c r="BA162" s="37">
        <f t="shared" ca="1" si="122"/>
        <v>0</v>
      </c>
      <c r="BB162" s="37">
        <f t="shared" ca="1" si="122"/>
        <v>0</v>
      </c>
      <c r="BC162" s="37">
        <f t="shared" ca="1" si="122"/>
        <v>0</v>
      </c>
      <c r="BD162" s="37">
        <f t="shared" ca="1" si="122"/>
        <v>0</v>
      </c>
      <c r="BE162" s="37">
        <f t="shared" ca="1" si="122"/>
        <v>0</v>
      </c>
      <c r="BF162" s="37">
        <f t="shared" ca="1" si="122"/>
        <v>0</v>
      </c>
      <c r="BG162" s="37">
        <f t="shared" ca="1" si="122"/>
        <v>0</v>
      </c>
      <c r="BH162" s="37">
        <f t="shared" ca="1" si="122"/>
        <v>0</v>
      </c>
      <c r="BI162" s="37">
        <f t="shared" ca="1" si="122"/>
        <v>0</v>
      </c>
      <c r="BJ162" s="37">
        <f t="shared" ca="1" si="122"/>
        <v>0</v>
      </c>
      <c r="BK162" s="37">
        <f t="shared" ca="1" si="122"/>
        <v>0</v>
      </c>
      <c r="BL162" s="37">
        <f t="shared" ca="1" si="122"/>
        <v>0</v>
      </c>
      <c r="BM162" s="37">
        <f t="shared" ca="1" si="122"/>
        <v>0</v>
      </c>
      <c r="BN162" s="37">
        <f t="shared" ca="1" si="122"/>
        <v>0</v>
      </c>
      <c r="BO162" s="37">
        <f t="shared" ca="1" si="122"/>
        <v>0</v>
      </c>
      <c r="BP162" s="37">
        <f t="shared" ca="1" si="122"/>
        <v>0</v>
      </c>
      <c r="BQ162" s="37">
        <f t="shared" ca="1" si="122"/>
        <v>0</v>
      </c>
      <c r="BR162" s="37">
        <f t="shared" ca="1" si="122"/>
        <v>0</v>
      </c>
      <c r="BS162" s="37">
        <f t="shared" ca="1" si="122"/>
        <v>0</v>
      </c>
      <c r="BT162" s="37">
        <f t="shared" ca="1" si="122"/>
        <v>0</v>
      </c>
      <c r="BU162" s="37">
        <f t="shared" ca="1" si="122"/>
        <v>0</v>
      </c>
      <c r="BV162" s="37">
        <f t="shared" ref="BV162:DA162" ca="1" si="123">-BV153+BV161</f>
        <v>0</v>
      </c>
      <c r="BW162" s="37">
        <f t="shared" ca="1" si="123"/>
        <v>0</v>
      </c>
      <c r="BX162" s="37">
        <f t="shared" ca="1" si="123"/>
        <v>0</v>
      </c>
      <c r="BY162" s="37">
        <f t="shared" ca="1" si="123"/>
        <v>0</v>
      </c>
      <c r="BZ162" s="37">
        <f t="shared" ca="1" si="123"/>
        <v>0</v>
      </c>
      <c r="CA162" s="37">
        <f t="shared" ca="1" si="123"/>
        <v>0</v>
      </c>
      <c r="CB162" s="37">
        <f t="shared" ca="1" si="123"/>
        <v>0</v>
      </c>
      <c r="CC162" s="37">
        <f t="shared" ca="1" si="123"/>
        <v>0</v>
      </c>
      <c r="CD162" s="37">
        <f t="shared" ca="1" si="123"/>
        <v>0</v>
      </c>
      <c r="CE162" s="37">
        <f t="shared" ca="1" si="123"/>
        <v>0</v>
      </c>
      <c r="CF162" s="37">
        <f t="shared" ca="1" si="123"/>
        <v>0</v>
      </c>
      <c r="CG162" s="37">
        <f t="shared" ca="1" si="123"/>
        <v>0</v>
      </c>
      <c r="CH162" s="37">
        <f t="shared" ca="1" si="123"/>
        <v>0</v>
      </c>
      <c r="CI162" s="37">
        <f t="shared" ca="1" si="123"/>
        <v>0</v>
      </c>
      <c r="CJ162" s="37">
        <f t="shared" ca="1" si="123"/>
        <v>0</v>
      </c>
      <c r="CK162" s="37">
        <f t="shared" ca="1" si="123"/>
        <v>0</v>
      </c>
      <c r="CL162" s="37">
        <f t="shared" ca="1" si="123"/>
        <v>0</v>
      </c>
      <c r="CM162" s="37">
        <f t="shared" ca="1" si="123"/>
        <v>0</v>
      </c>
      <c r="CN162" s="37">
        <f t="shared" ca="1" si="123"/>
        <v>0</v>
      </c>
      <c r="CO162" s="37">
        <f t="shared" ca="1" si="123"/>
        <v>0</v>
      </c>
      <c r="CP162" s="37">
        <f t="shared" ca="1" si="123"/>
        <v>0</v>
      </c>
      <c r="CQ162" s="37">
        <f t="shared" ca="1" si="123"/>
        <v>0</v>
      </c>
      <c r="CR162" s="37">
        <f t="shared" ca="1" si="123"/>
        <v>0</v>
      </c>
      <c r="CS162" s="37">
        <f t="shared" ca="1" si="123"/>
        <v>0</v>
      </c>
      <c r="CT162" s="37">
        <f t="shared" ca="1" si="123"/>
        <v>0</v>
      </c>
      <c r="CU162" s="37">
        <f t="shared" ca="1" si="123"/>
        <v>0</v>
      </c>
      <c r="CV162" s="37">
        <f t="shared" ca="1" si="123"/>
        <v>0</v>
      </c>
      <c r="CW162" s="37">
        <f t="shared" ca="1" si="123"/>
        <v>0</v>
      </c>
      <c r="CX162" s="37">
        <f t="shared" ca="1" si="123"/>
        <v>0</v>
      </c>
      <c r="CY162" s="37">
        <f t="shared" ca="1" si="123"/>
        <v>0</v>
      </c>
      <c r="CZ162" s="37">
        <f t="shared" ca="1" si="123"/>
        <v>0</v>
      </c>
      <c r="DA162" s="37">
        <f t="shared" ca="1" si="123"/>
        <v>0</v>
      </c>
      <c r="DB162" s="37">
        <f t="shared" ref="DB162:DE162" ca="1" si="124">-DB153+DB161</f>
        <v>0</v>
      </c>
      <c r="DC162" s="37">
        <f t="shared" ca="1" si="124"/>
        <v>0</v>
      </c>
      <c r="DD162" s="37">
        <f t="shared" ca="1" si="124"/>
        <v>0</v>
      </c>
      <c r="DE162" s="37">
        <f t="shared" ca="1" si="124"/>
        <v>0</v>
      </c>
    </row>
    <row r="164" spans="3:109" x14ac:dyDescent="0.15">
      <c r="C164" s="92" t="s">
        <v>329</v>
      </c>
      <c r="D164" s="92"/>
      <c r="E164" s="96">
        <f ca="1">I161/I153</f>
        <v>1.4965019044951655</v>
      </c>
    </row>
    <row r="165" spans="3:109" x14ac:dyDescent="0.15">
      <c r="C165" s="92" t="s">
        <v>330</v>
      </c>
      <c r="D165" s="92"/>
      <c r="E165" s="95">
        <f ca="1">IRR(J162:DE162)</f>
        <v>5.5044262786133835E-2</v>
      </c>
    </row>
    <row r="169" spans="3:109" x14ac:dyDescent="0.15">
      <c r="C169" s="23"/>
    </row>
    <row r="170" spans="3:109" x14ac:dyDescent="0.15">
      <c r="D170" s="59"/>
    </row>
    <row r="172" spans="3:109" x14ac:dyDescent="0.15">
      <c r="E172" s="103"/>
    </row>
    <row r="173" spans="3:109" x14ac:dyDescent="0.15">
      <c r="C173" s="23"/>
      <c r="D173" s="106"/>
    </row>
    <row r="174" spans="3:109" x14ac:dyDescent="0.15">
      <c r="C174" s="23"/>
    </row>
    <row r="175" spans="3:109" x14ac:dyDescent="0.15">
      <c r="C175" s="23"/>
      <c r="D175" s="106"/>
    </row>
    <row r="176" spans="3:109" x14ac:dyDescent="0.15">
      <c r="C176" s="23"/>
      <c r="D176" s="52"/>
    </row>
    <row r="179" spans="3:13" x14ac:dyDescent="0.15">
      <c r="E179" s="106"/>
    </row>
    <row r="180" spans="3:13" x14ac:dyDescent="0.15">
      <c r="C180" s="23"/>
      <c r="D180" s="52"/>
    </row>
    <row r="181" spans="3:13" x14ac:dyDescent="0.15">
      <c r="C181" s="23"/>
      <c r="D181" s="52"/>
    </row>
    <row r="183" spans="3:13" x14ac:dyDescent="0.15">
      <c r="C183" s="23"/>
    </row>
    <row r="184" spans="3:13" x14ac:dyDescent="0.15">
      <c r="C184" s="23"/>
      <c r="D184" s="111"/>
      <c r="E184" s="14"/>
      <c r="K184" s="37"/>
      <c r="L184" s="37"/>
      <c r="M184" s="23"/>
    </row>
    <row r="185" spans="3:13" x14ac:dyDescent="0.15">
      <c r="C185" s="23"/>
      <c r="D185" s="114"/>
      <c r="E185" s="113"/>
      <c r="L185" s="37"/>
      <c r="M185" s="23"/>
    </row>
    <row r="186" spans="3:13" x14ac:dyDescent="0.15">
      <c r="C186" s="23"/>
      <c r="D186" s="112"/>
    </row>
    <row r="197" spans="3:4" x14ac:dyDescent="0.15">
      <c r="C197" s="23"/>
      <c r="D197" s="107"/>
    </row>
    <row r="198" spans="3:4" x14ac:dyDescent="0.15">
      <c r="C198" s="23"/>
      <c r="D198" s="107"/>
    </row>
    <row r="199" spans="3:4" x14ac:dyDescent="0.15">
      <c r="C199" s="23"/>
    </row>
  </sheetData>
  <conditionalFormatting sqref="J5:DE6">
    <cfRule type="cellIs" dxfId="8" priority="8" operator="equal">
      <formula>1</formula>
    </cfRule>
  </conditionalFormatting>
  <conditionalFormatting sqref="J81:DE81">
    <cfRule type="cellIs" dxfId="7" priority="2" operator="lessThan">
      <formula>1</formula>
    </cfRule>
  </conditionalFormatting>
  <conditionalFormatting sqref="J117:DE117">
    <cfRule type="cellIs" dxfId="6" priority="3" operator="lessThan">
      <formula>1</formula>
    </cfRule>
  </conditionalFormatting>
  <conditionalFormatting sqref="J123:DE123">
    <cfRule type="cellIs" dxfId="5" priority="1" operator="lessThan">
      <formula>1</formula>
    </cfRule>
  </conditionalFormatting>
  <conditionalFormatting sqref="U91:V92">
    <cfRule type="containsText" dxfId="4" priority="6" stopIfTrue="1" operator="containsText" text="NO">
      <formula>NOT(ISERROR(SEARCH("NO",U91)))</formula>
    </cfRule>
    <cfRule type="containsText" dxfId="3" priority="7" stopIfTrue="1" operator="containsText" text="YES">
      <formula>NOT(ISERROR(SEARCH("YES",U91)))</formula>
    </cfRule>
  </conditionalFormatting>
  <conditionalFormatting sqref="U94:V95">
    <cfRule type="containsText" dxfId="2" priority="4" stopIfTrue="1" operator="containsText" text="NO">
      <formula>NOT(ISERROR(SEARCH("NO",U94)))</formula>
    </cfRule>
    <cfRule type="containsText" dxfId="1" priority="5" stopIfTrue="1" operator="containsText" text="YES">
      <formula>NOT(ISERROR(SEARCH("YES",U94)))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9830F-268C-0949-84E9-09421567AB46}">
  <dimension ref="B2:AG33"/>
  <sheetViews>
    <sheetView zoomScale="90" zoomScaleNormal="90" workbookViewId="0">
      <selection activeCell="M50" sqref="M50"/>
    </sheetView>
  </sheetViews>
  <sheetFormatPr baseColWidth="10" defaultRowHeight="13" x14ac:dyDescent="0.15"/>
  <cols>
    <col min="2" max="2" width="21" bestFit="1" customWidth="1"/>
    <col min="3" max="3" width="12.6640625" bestFit="1" customWidth="1"/>
    <col min="4" max="5" width="12.6640625" customWidth="1"/>
    <col min="6" max="6" width="15.6640625" bestFit="1" customWidth="1"/>
    <col min="7" max="9" width="14.1640625" bestFit="1" customWidth="1"/>
    <col min="10" max="14" width="15.83203125" bestFit="1" customWidth="1"/>
    <col min="15" max="15" width="14.6640625" bestFit="1" customWidth="1"/>
    <col min="16" max="19" width="15.83203125" bestFit="1" customWidth="1"/>
    <col min="20" max="21" width="15.33203125" bestFit="1" customWidth="1"/>
    <col min="22" max="23" width="15.1640625" bestFit="1" customWidth="1"/>
    <col min="24" max="24" width="11.1640625" bestFit="1" customWidth="1"/>
  </cols>
  <sheetData>
    <row r="2" spans="2:33" ht="20" x14ac:dyDescent="0.2">
      <c r="B2" s="4" t="str">
        <f>Operations!C3</f>
        <v>Counters</v>
      </c>
      <c r="C2">
        <f>Operations!D3</f>
        <v>0</v>
      </c>
    </row>
    <row r="3" spans="2:33" x14ac:dyDescent="0.15">
      <c r="B3" t="str">
        <f>Operations!C4</f>
        <v>Model Year</v>
      </c>
      <c r="C3" s="5" t="str">
        <f>Operations!D4</f>
        <v>Num#</v>
      </c>
      <c r="D3" t="str">
        <f>Operations!E4</f>
        <v>Length (yrs)</v>
      </c>
      <c r="F3" s="140">
        <f>Operations!J4</f>
        <v>1</v>
      </c>
      <c r="G3" s="140">
        <f>Operations!K4</f>
        <v>2</v>
      </c>
      <c r="H3" s="140">
        <f>Operations!L4</f>
        <v>3</v>
      </c>
      <c r="I3" s="140">
        <f>Operations!M4</f>
        <v>4</v>
      </c>
      <c r="J3" s="140">
        <f>Operations!N4</f>
        <v>5</v>
      </c>
      <c r="K3" s="140">
        <f>Operations!O4</f>
        <v>6</v>
      </c>
      <c r="L3" s="140">
        <f>Operations!P4</f>
        <v>7</v>
      </c>
      <c r="M3" s="140">
        <f>Operations!Q4</f>
        <v>8</v>
      </c>
      <c r="N3" s="140">
        <f>Operations!R4</f>
        <v>9</v>
      </c>
      <c r="O3" s="140">
        <f>Operations!S4</f>
        <v>10</v>
      </c>
      <c r="P3" s="140">
        <f>Operations!T4</f>
        <v>11</v>
      </c>
      <c r="Q3" s="140">
        <f>Operations!U4</f>
        <v>12</v>
      </c>
      <c r="R3" s="140">
        <f>Operations!V4</f>
        <v>13</v>
      </c>
      <c r="S3" s="140">
        <f>Operations!W4</f>
        <v>14</v>
      </c>
      <c r="T3" s="140">
        <f>Operations!X4</f>
        <v>15</v>
      </c>
      <c r="U3" s="140">
        <f>Operations!Y4</f>
        <v>16</v>
      </c>
      <c r="V3" s="140">
        <f>Operations!Z4</f>
        <v>17</v>
      </c>
      <c r="W3" s="140">
        <f>Operations!AA4</f>
        <v>18</v>
      </c>
      <c r="X3" s="140">
        <f>Operations!AB4</f>
        <v>19</v>
      </c>
      <c r="Y3" s="140">
        <f>Operations!AC4</f>
        <v>20</v>
      </c>
      <c r="Z3" s="140">
        <f>Operations!AD4</f>
        <v>21</v>
      </c>
      <c r="AA3" s="140">
        <f>Operations!AE4</f>
        <v>22</v>
      </c>
      <c r="AB3" s="140">
        <f>Operations!AF4</f>
        <v>23</v>
      </c>
      <c r="AC3" s="140">
        <f>Operations!AG4</f>
        <v>24</v>
      </c>
      <c r="AD3" s="140">
        <f>Operations!AH4</f>
        <v>25</v>
      </c>
      <c r="AE3" s="140">
        <f>Operations!AI4</f>
        <v>26</v>
      </c>
      <c r="AF3" s="140">
        <f>Operations!AJ4</f>
        <v>27</v>
      </c>
      <c r="AG3" s="140">
        <f>Operations!AK4</f>
        <v>28</v>
      </c>
    </row>
    <row r="4" spans="2:33" x14ac:dyDescent="0.15">
      <c r="B4" t="str">
        <f>Operations!C5</f>
        <v>Construction Flag</v>
      </c>
      <c r="C4" s="5" t="str">
        <f>Operations!D5</f>
        <v>[1,0]</v>
      </c>
      <c r="D4" s="5"/>
      <c r="E4" s="5"/>
      <c r="F4" s="155">
        <f>Operations!J5</f>
        <v>1</v>
      </c>
      <c r="G4" s="155">
        <f>Operations!K5</f>
        <v>1</v>
      </c>
      <c r="H4" s="155">
        <f>Operations!L5</f>
        <v>1</v>
      </c>
      <c r="I4" s="155">
        <f>Operations!M5</f>
        <v>1</v>
      </c>
      <c r="J4" s="155">
        <f>Operations!N5</f>
        <v>0</v>
      </c>
      <c r="K4" s="155">
        <f>Operations!O5</f>
        <v>0</v>
      </c>
      <c r="L4" s="155">
        <f>Operations!P5</f>
        <v>0</v>
      </c>
      <c r="M4" s="155">
        <f>Operations!Q5</f>
        <v>0</v>
      </c>
      <c r="N4" s="155">
        <f>Operations!R5</f>
        <v>0</v>
      </c>
      <c r="O4" s="155">
        <f>Operations!S5</f>
        <v>0</v>
      </c>
      <c r="P4" s="155">
        <f>Operations!T5</f>
        <v>0</v>
      </c>
      <c r="Q4" s="155">
        <f>Operations!U5</f>
        <v>0</v>
      </c>
      <c r="R4" s="155">
        <f>Operations!V5</f>
        <v>0</v>
      </c>
      <c r="S4" s="155">
        <f>Operations!W5</f>
        <v>0</v>
      </c>
      <c r="T4" s="155">
        <f>Operations!X5</f>
        <v>0</v>
      </c>
      <c r="U4" s="155">
        <f>Operations!Y5</f>
        <v>0</v>
      </c>
      <c r="V4" s="155">
        <f>Operations!Z5</f>
        <v>0</v>
      </c>
      <c r="W4" s="155">
        <f>Operations!AA5</f>
        <v>0</v>
      </c>
      <c r="X4" s="155">
        <f>Operations!AB5</f>
        <v>0</v>
      </c>
      <c r="Y4" s="155">
        <f>Operations!AC5</f>
        <v>0</v>
      </c>
      <c r="Z4" s="155">
        <f>Operations!AD5</f>
        <v>0</v>
      </c>
      <c r="AA4" s="155">
        <f>Operations!AE5</f>
        <v>0</v>
      </c>
      <c r="AB4" s="155">
        <f>Operations!AF5</f>
        <v>0</v>
      </c>
      <c r="AC4" s="155">
        <f>Operations!AG5</f>
        <v>0</v>
      </c>
      <c r="AD4" s="155">
        <f>Operations!AH5</f>
        <v>0</v>
      </c>
      <c r="AE4" s="155">
        <f>Operations!AI5</f>
        <v>0</v>
      </c>
      <c r="AF4" s="155">
        <f>Operations!AJ5</f>
        <v>0</v>
      </c>
      <c r="AG4" s="155">
        <f>Operations!AK5</f>
        <v>0</v>
      </c>
    </row>
    <row r="5" spans="2:33" x14ac:dyDescent="0.15">
      <c r="B5" t="str">
        <f>Operations!C6</f>
        <v>Operations Flag</v>
      </c>
      <c r="C5" s="5" t="str">
        <f>Operations!D6</f>
        <v>[1,0]</v>
      </c>
      <c r="D5" s="5"/>
      <c r="E5" s="5"/>
      <c r="F5" s="155">
        <f>Operations!J6</f>
        <v>0</v>
      </c>
      <c r="G5" s="155">
        <f>Operations!K6</f>
        <v>0</v>
      </c>
      <c r="H5" s="155">
        <f>Operations!L6</f>
        <v>0</v>
      </c>
      <c r="I5" s="155">
        <f>Operations!M6</f>
        <v>0</v>
      </c>
      <c r="J5" s="155">
        <f>Operations!N6</f>
        <v>1</v>
      </c>
      <c r="K5" s="155">
        <f>Operations!O6</f>
        <v>1</v>
      </c>
      <c r="L5" s="155">
        <f>Operations!P6</f>
        <v>1</v>
      </c>
      <c r="M5" s="155">
        <f>Operations!Q6</f>
        <v>1</v>
      </c>
      <c r="N5" s="155">
        <f>Operations!R6</f>
        <v>1</v>
      </c>
      <c r="O5" s="155">
        <f>Operations!S6</f>
        <v>1</v>
      </c>
      <c r="P5" s="155">
        <f>Operations!T6</f>
        <v>1</v>
      </c>
      <c r="Q5" s="155">
        <f>Operations!U6</f>
        <v>1</v>
      </c>
      <c r="R5" s="155">
        <f>Operations!V6</f>
        <v>1</v>
      </c>
      <c r="S5" s="155">
        <f>Operations!W6</f>
        <v>1</v>
      </c>
      <c r="T5" s="155">
        <f>Operations!X6</f>
        <v>1</v>
      </c>
      <c r="U5" s="155">
        <f>Operations!Y6</f>
        <v>0</v>
      </c>
      <c r="V5" s="155">
        <f>Operations!Z6</f>
        <v>0</v>
      </c>
      <c r="W5" s="155">
        <f>Operations!AA6</f>
        <v>0</v>
      </c>
      <c r="X5" s="155">
        <f>Operations!AB6</f>
        <v>0</v>
      </c>
      <c r="Y5" s="155">
        <f>Operations!AC6</f>
        <v>0</v>
      </c>
      <c r="Z5" s="155">
        <f>Operations!AD6</f>
        <v>0</v>
      </c>
      <c r="AA5" s="155">
        <f>Operations!AE6</f>
        <v>0</v>
      </c>
      <c r="AB5" s="155">
        <f>Operations!AF6</f>
        <v>0</v>
      </c>
      <c r="AC5" s="155">
        <f>Operations!AG6</f>
        <v>0</v>
      </c>
      <c r="AD5" s="155">
        <f>Operations!AH6</f>
        <v>0</v>
      </c>
      <c r="AE5" s="155">
        <f>Operations!AI6</f>
        <v>0</v>
      </c>
      <c r="AF5" s="155">
        <f>Operations!AJ6</f>
        <v>0</v>
      </c>
      <c r="AG5" s="155">
        <f>Operations!AK6</f>
        <v>0</v>
      </c>
    </row>
    <row r="10" spans="2:33" x14ac:dyDescent="0.15">
      <c r="B10" s="181" t="s">
        <v>67</v>
      </c>
      <c r="C10" s="181"/>
      <c r="D10" s="181"/>
      <c r="E10" s="181"/>
      <c r="F10" s="182">
        <f>Taxes!J18</f>
        <v>0</v>
      </c>
      <c r="G10" s="182">
        <f>Taxes!K18</f>
        <v>0</v>
      </c>
      <c r="H10" s="182">
        <f>Taxes!L18</f>
        <v>0</v>
      </c>
      <c r="I10" s="182">
        <f>Taxes!M18</f>
        <v>0</v>
      </c>
      <c r="J10" s="182">
        <f>Taxes!N18</f>
        <v>1512533712.3973508</v>
      </c>
      <c r="K10" s="182">
        <f>Taxes!O18</f>
        <v>1696812994.1173396</v>
      </c>
      <c r="L10" s="182">
        <f>Taxes!P18</f>
        <v>1725303295.6127253</v>
      </c>
      <c r="M10" s="182">
        <f>Taxes!Q18</f>
        <v>1701778905.3338199</v>
      </c>
      <c r="N10" s="182">
        <f>Taxes!R18</f>
        <v>2142989829.6179495</v>
      </c>
      <c r="O10" s="182">
        <f>Taxes!S18</f>
        <v>960661965.01452518</v>
      </c>
      <c r="P10" s="182">
        <f>Taxes!T18</f>
        <v>1099356820.1982827</v>
      </c>
      <c r="Q10" s="182">
        <f>Taxes!U18</f>
        <v>1237321187.0957694</v>
      </c>
      <c r="R10" s="182">
        <f>Taxes!V18</f>
        <v>1033442961.0130658</v>
      </c>
      <c r="S10" s="182">
        <f>Taxes!W18</f>
        <v>1082554488.9040632</v>
      </c>
      <c r="T10" s="182">
        <f>Taxes!X18</f>
        <v>456714465.79681879</v>
      </c>
      <c r="U10" s="182">
        <f>Taxes!Y18</f>
        <v>0</v>
      </c>
      <c r="V10" s="115">
        <f>Taxes!Z18</f>
        <v>0</v>
      </c>
      <c r="W10" s="115">
        <f>Taxes!AA18</f>
        <v>0</v>
      </c>
      <c r="X10" s="115">
        <f>Taxes!AB18</f>
        <v>0</v>
      </c>
    </row>
    <row r="12" spans="2:33" s="181" customFormat="1" x14ac:dyDescent="0.15">
      <c r="B12" s="181" t="s">
        <v>60</v>
      </c>
      <c r="F12" s="183">
        <f>Taxes!J22</f>
        <v>0</v>
      </c>
      <c r="G12" s="183">
        <f>Taxes!K22</f>
        <v>0</v>
      </c>
      <c r="H12" s="183">
        <f>Taxes!L22</f>
        <v>0</v>
      </c>
      <c r="I12" s="183">
        <f>Taxes!M22</f>
        <v>0</v>
      </c>
      <c r="J12" s="183">
        <f>Taxes!N22</f>
        <v>396283832.64810592</v>
      </c>
      <c r="K12" s="183">
        <f>Taxes!O22</f>
        <v>444565004.45874298</v>
      </c>
      <c r="L12" s="183">
        <f>Taxes!P22</f>
        <v>452029463.45053405</v>
      </c>
      <c r="M12" s="183">
        <f>Taxes!Q22</f>
        <v>445866073.19746083</v>
      </c>
      <c r="N12" s="183">
        <f>Taxes!R22</f>
        <v>561463335.35990274</v>
      </c>
      <c r="O12" s="183">
        <f>Taxes!S22</f>
        <v>251693434.83380562</v>
      </c>
      <c r="P12" s="183">
        <f>Taxes!T22</f>
        <v>288031486.89195007</v>
      </c>
      <c r="Q12" s="183">
        <f>Taxes!U22</f>
        <v>324178151.01909161</v>
      </c>
      <c r="R12" s="183">
        <f>Taxes!V22</f>
        <v>270762055.78542328</v>
      </c>
      <c r="S12" s="183">
        <f>Taxes!W22</f>
        <v>283629276.09286457</v>
      </c>
      <c r="T12" s="183">
        <f>Taxes!X22</f>
        <v>119659190.03876653</v>
      </c>
      <c r="U12" s="183">
        <f>Taxes!Y22</f>
        <v>0</v>
      </c>
      <c r="V12" s="183">
        <f>Taxes!Z22</f>
        <v>0</v>
      </c>
      <c r="W12" s="183">
        <f>Taxes!AA22</f>
        <v>0</v>
      </c>
      <c r="X12" s="183">
        <f>Taxes!AB22</f>
        <v>0</v>
      </c>
    </row>
    <row r="15" spans="2:33" s="181" customFormat="1" x14ac:dyDescent="0.15">
      <c r="B15" s="181" t="s">
        <v>383</v>
      </c>
      <c r="F15" s="182">
        <f>F10-F12</f>
        <v>0</v>
      </c>
      <c r="G15" s="182">
        <f t="shared" ref="G15:X15" si="0">G10-G12</f>
        <v>0</v>
      </c>
      <c r="H15" s="182">
        <f t="shared" si="0"/>
        <v>0</v>
      </c>
      <c r="I15" s="182">
        <f t="shared" si="0"/>
        <v>0</v>
      </c>
      <c r="J15" s="182">
        <f t="shared" si="0"/>
        <v>1116249879.7492449</v>
      </c>
      <c r="K15" s="182">
        <f t="shared" si="0"/>
        <v>1252247989.6585965</v>
      </c>
      <c r="L15" s="182">
        <f t="shared" si="0"/>
        <v>1273273832.1621912</v>
      </c>
      <c r="M15" s="182">
        <f t="shared" si="0"/>
        <v>1255912832.136359</v>
      </c>
      <c r="N15" s="182">
        <f t="shared" si="0"/>
        <v>1581526494.2580466</v>
      </c>
      <c r="O15" s="182">
        <f t="shared" si="0"/>
        <v>708968530.18071961</v>
      </c>
      <c r="P15" s="182">
        <f t="shared" si="0"/>
        <v>811325333.30633259</v>
      </c>
      <c r="Q15" s="182">
        <f t="shared" si="0"/>
        <v>913143036.0766778</v>
      </c>
      <c r="R15" s="182">
        <f t="shared" si="0"/>
        <v>762680905.22764254</v>
      </c>
      <c r="S15" s="182">
        <f t="shared" si="0"/>
        <v>798925212.81119871</v>
      </c>
      <c r="T15" s="182">
        <f>T10-T12</f>
        <v>337055275.75805223</v>
      </c>
      <c r="U15" s="182">
        <f t="shared" si="0"/>
        <v>0</v>
      </c>
      <c r="V15" s="182">
        <f t="shared" si="0"/>
        <v>0</v>
      </c>
      <c r="W15" s="182">
        <f t="shared" si="0"/>
        <v>0</v>
      </c>
      <c r="X15" s="182">
        <f t="shared" si="0"/>
        <v>0</v>
      </c>
    </row>
    <row r="16" spans="2:33" s="184" customFormat="1" x14ac:dyDescent="0.15">
      <c r="B16" s="184" t="s">
        <v>394</v>
      </c>
      <c r="F16" s="185">
        <v>205000000</v>
      </c>
      <c r="G16" s="186">
        <v>-75430000</v>
      </c>
      <c r="H16" s="74">
        <v>-11200000</v>
      </c>
      <c r="I16" s="186">
        <v>-20000000</v>
      </c>
      <c r="J16" s="187">
        <f>Operations!N71</f>
        <v>141826300</v>
      </c>
      <c r="K16" s="187">
        <f>Operations!O71</f>
        <v>157887233.33333334</v>
      </c>
      <c r="L16" s="187">
        <f>Operations!P71</f>
        <v>161440633.33333334</v>
      </c>
      <c r="M16" s="187">
        <f>Operations!Q71</f>
        <v>161174400</v>
      </c>
      <c r="N16" s="187">
        <f>Operations!R71</f>
        <v>161201566.66666669</v>
      </c>
      <c r="O16" s="187">
        <f>Operations!S71</f>
        <v>84401400</v>
      </c>
      <c r="P16" s="187">
        <f>Operations!T71</f>
        <v>91198500</v>
      </c>
      <c r="Q16" s="187">
        <f>Operations!U71</f>
        <v>98392233.333333343</v>
      </c>
      <c r="R16" s="187">
        <f>Operations!V71</f>
        <v>83662466.666666657</v>
      </c>
      <c r="S16" s="187">
        <f>Operations!W71</f>
        <v>85575000.000000015</v>
      </c>
      <c r="T16" s="187">
        <f>Operations!X71</f>
        <v>42450633.333333336</v>
      </c>
      <c r="U16" s="187">
        <f>Operations!Y71</f>
        <v>0</v>
      </c>
    </row>
    <row r="17" spans="2:24" s="184" customFormat="1" x14ac:dyDescent="0.15">
      <c r="B17" s="184" t="s">
        <v>384</v>
      </c>
      <c r="F17" s="188">
        <f>F15+Taxes!J38-F16</f>
        <v>-205000000</v>
      </c>
      <c r="G17" s="188">
        <f>G15+Taxes!K38-G16</f>
        <v>75430000</v>
      </c>
      <c r="H17" s="188">
        <f>H15+Taxes!L38-H16</f>
        <v>11200000</v>
      </c>
      <c r="I17" s="188">
        <f>I15+Taxes!M38-I16</f>
        <v>20000000</v>
      </c>
      <c r="J17" s="188">
        <f>J15+Taxes!N38-J16</f>
        <v>417597472.24924481</v>
      </c>
      <c r="K17" s="188">
        <f>K15+Taxes!O38-K16</f>
        <v>501534648.82526302</v>
      </c>
      <c r="L17" s="188">
        <f>L15+Taxes!P38-L16</f>
        <v>481507091.32885766</v>
      </c>
      <c r="M17" s="188">
        <f>M15+Taxes!Q38-M16</f>
        <v>431412324.63635886</v>
      </c>
      <c r="N17" s="188">
        <f>N15+Taxes!R38-N16</f>
        <v>1285324927.5913799</v>
      </c>
      <c r="O17" s="188">
        <f>O15+Taxes!S38-O16</f>
        <v>506067130.18071961</v>
      </c>
      <c r="P17" s="188">
        <f>P15+Taxes!T38-P16</f>
        <v>634626833.30633259</v>
      </c>
      <c r="Q17" s="188">
        <f>Q15+Taxes!U38-Q16</f>
        <v>756750802.74334443</v>
      </c>
      <c r="R17" s="188">
        <f>R15+Taxes!V38-R16</f>
        <v>647018438.56097591</v>
      </c>
      <c r="S17" s="188">
        <f>S15+Taxes!W38-S16</f>
        <v>698350212.81119871</v>
      </c>
      <c r="T17" s="188">
        <f>T15+Taxes!X38-T16</f>
        <v>284104642.42471892</v>
      </c>
      <c r="U17" s="188">
        <f>U15+Taxes!Y38</f>
        <v>0</v>
      </c>
      <c r="V17" s="188">
        <f>V15+Taxes!Z38</f>
        <v>0</v>
      </c>
      <c r="W17" s="188">
        <f>W15+Taxes!AA38</f>
        <v>0</v>
      </c>
      <c r="X17" s="188">
        <f>X15+Taxes!AB38</f>
        <v>0</v>
      </c>
    </row>
    <row r="21" spans="2:24" s="181" customFormat="1" x14ac:dyDescent="0.15">
      <c r="B21" s="181" t="s">
        <v>385</v>
      </c>
      <c r="F21" s="182">
        <f>F17+'Financials &amp; Metrics'!J24</f>
        <v>-437295554.04907978</v>
      </c>
      <c r="G21" s="182">
        <f>G17+'Financials &amp; Metrics'!K24</f>
        <v>-436010631.60385638</v>
      </c>
      <c r="H21" s="182">
        <f>H17+'Financials &amp; Metrics'!L24</f>
        <v>-941406977.94916749</v>
      </c>
      <c r="I21" s="182">
        <f>I17+'Financials &amp; Metrics'!M24</f>
        <v>-510961266.39789659</v>
      </c>
      <c r="J21" s="182">
        <f>J17+'Financials &amp; Metrics'!N24</f>
        <v>273597472.24924481</v>
      </c>
      <c r="K21" s="182">
        <f>K17+'Financials &amp; Metrics'!O24</f>
        <v>351534648.82526302</v>
      </c>
      <c r="L21" s="182">
        <f>L17+'Financials &amp; Metrics'!P24</f>
        <v>349507091.32885766</v>
      </c>
      <c r="M21" s="182">
        <f>M17+'Financials &amp; Metrics'!Q24</f>
        <v>317412324.63635886</v>
      </c>
      <c r="N21" s="182">
        <f>N17+'Financials &amp; Metrics'!R24</f>
        <v>1207324927.5913799</v>
      </c>
      <c r="O21" s="182">
        <f>O17+'Financials &amp; Metrics'!S24</f>
        <v>488067130.18071961</v>
      </c>
      <c r="P21" s="182">
        <f>P17+'Financials &amp; Metrics'!T24</f>
        <v>612626833.30633259</v>
      </c>
      <c r="Q21" s="182">
        <f>Q17+'Financials &amp; Metrics'!U24</f>
        <v>746750802.74334443</v>
      </c>
      <c r="R21" s="182">
        <f>R17+'Financials &amp; Metrics'!V24</f>
        <v>637018438.56097591</v>
      </c>
      <c r="S21" s="182">
        <f>S17+'Financials &amp; Metrics'!W24</f>
        <v>698350212.81119871</v>
      </c>
      <c r="T21" s="182">
        <f>T17+'Financials &amp; Metrics'!X24</f>
        <v>238104642.42471892</v>
      </c>
      <c r="U21" s="182">
        <f>U17+'Financials &amp; Metrics'!Y24</f>
        <v>-69960000</v>
      </c>
      <c r="V21" s="182">
        <f>V17+'Financials &amp; Metrics'!Z24</f>
        <v>0</v>
      </c>
      <c r="W21" s="182">
        <f>W17+'Financials &amp; Metrics'!AA24</f>
        <v>0</v>
      </c>
      <c r="X21" s="182">
        <f>X17+'Financials &amp; Metrics'!AB24</f>
        <v>0</v>
      </c>
    </row>
    <row r="23" spans="2:24" s="181" customFormat="1" x14ac:dyDescent="0.15">
      <c r="B23" s="181" t="s">
        <v>386</v>
      </c>
      <c r="F23" s="183">
        <f>Debt!J28-Debt!J29</f>
        <v>850000000</v>
      </c>
      <c r="G23" s="183">
        <f>Debt!K28-Debt!K29</f>
        <v>0</v>
      </c>
      <c r="H23" s="183">
        <f>Debt!L28-Debt!L29</f>
        <v>0</v>
      </c>
      <c r="I23" s="183">
        <f ca="1">Debt!M28-Debt!M29</f>
        <v>0</v>
      </c>
      <c r="J23" s="183">
        <f ca="1">Debt!N28-Debt!N29</f>
        <v>-170000000</v>
      </c>
      <c r="K23" s="183">
        <f ca="1">Debt!O28-Debt!O29</f>
        <v>-170000000</v>
      </c>
      <c r="L23" s="183">
        <f ca="1">Debt!P28-Debt!P29</f>
        <v>-170000000</v>
      </c>
      <c r="M23" s="183">
        <f ca="1">Debt!Q28-Debt!Q29</f>
        <v>-170000000</v>
      </c>
      <c r="N23" s="183">
        <f ca="1">Debt!R28-Debt!R29</f>
        <v>-170000000</v>
      </c>
      <c r="O23" s="183">
        <f ca="1">Debt!S28-Debt!S29</f>
        <v>0</v>
      </c>
      <c r="P23" s="183">
        <f ca="1">Debt!T28-Debt!T29</f>
        <v>0</v>
      </c>
      <c r="Q23" s="183">
        <f ca="1">Debt!U28-Debt!U29</f>
        <v>0</v>
      </c>
      <c r="R23" s="183">
        <f ca="1">Debt!V28-Debt!V29</f>
        <v>0</v>
      </c>
      <c r="S23" s="183">
        <f ca="1">Debt!W28-Debt!W29</f>
        <v>0</v>
      </c>
      <c r="T23" s="183">
        <f ca="1">Debt!X28-Debt!X29</f>
        <v>0</v>
      </c>
      <c r="U23" s="183">
        <f ca="1">Debt!Y28-Debt!Y29</f>
        <v>0</v>
      </c>
      <c r="V23" s="183">
        <f ca="1">Debt!Z28-Debt!Z29</f>
        <v>0</v>
      </c>
      <c r="W23" s="183">
        <f ca="1">Debt!AA28-Debt!AA29</f>
        <v>0</v>
      </c>
      <c r="X23" s="183">
        <f ca="1">Debt!AB28-Debt!AB29</f>
        <v>0</v>
      </c>
    </row>
    <row r="25" spans="2:24" s="181" customFormat="1" x14ac:dyDescent="0.15">
      <c r="B25" s="181" t="s">
        <v>387</v>
      </c>
      <c r="F25" s="182">
        <f>F21-Debt!J32+F23</f>
        <v>374454445.95092022</v>
      </c>
      <c r="G25" s="182">
        <f>G21-Debt!K32+G23</f>
        <v>-512510631.60385638</v>
      </c>
      <c r="H25" s="182">
        <f>H21-Debt!L32+H23</f>
        <v>-1017906977.9491675</v>
      </c>
      <c r="I25" s="182">
        <f ca="1">I21-Debt!M32+I23</f>
        <v>-587461266.39789653</v>
      </c>
      <c r="J25" s="182">
        <f ca="1">J21-Debt!N32+J23</f>
        <v>34747472.249244809</v>
      </c>
      <c r="K25" s="182">
        <f ca="1">K21-Debt!O32+K23</f>
        <v>127984648.82526302</v>
      </c>
      <c r="L25" s="182">
        <f ca="1">L21-Debt!P32+L23</f>
        <v>141257091.32885766</v>
      </c>
      <c r="M25" s="182">
        <f ca="1">M21-Debt!Q32+M23</f>
        <v>124462324.63635886</v>
      </c>
      <c r="N25" s="182">
        <f ca="1">N21-Debt!R32+N23</f>
        <v>1029674927.5913799</v>
      </c>
      <c r="O25" s="182">
        <f ca="1">O21-Debt!S32+O23</f>
        <v>488067130.18071961</v>
      </c>
      <c r="P25" s="182">
        <f ca="1">P21-Debt!T32+P23</f>
        <v>612626833.30633259</v>
      </c>
      <c r="Q25" s="182">
        <f ca="1">Q21-Debt!U32+Q23</f>
        <v>746750802.74334443</v>
      </c>
      <c r="R25" s="182">
        <f ca="1">R21-Debt!V32+R23</f>
        <v>637018438.56097591</v>
      </c>
      <c r="S25" s="182">
        <f ca="1">S21-Debt!W32+S23</f>
        <v>698350212.81119871</v>
      </c>
      <c r="T25" s="182">
        <f ca="1">T21-Debt!X32+T23</f>
        <v>238104642.42471892</v>
      </c>
      <c r="U25" s="182">
        <f ca="1">U21-Debt!Y32+U23</f>
        <v>-69960000</v>
      </c>
      <c r="V25" s="182">
        <f ca="1">V21-Debt!Z32+V23</f>
        <v>0</v>
      </c>
      <c r="W25" s="182">
        <f ca="1">W21-Debt!AA32+W23</f>
        <v>0</v>
      </c>
      <c r="X25" s="182">
        <f ca="1">X21-Debt!AB32+X23</f>
        <v>0</v>
      </c>
    </row>
    <row r="26" spans="2:24" s="184" customFormat="1" x14ac:dyDescent="0.15">
      <c r="B26" s="184" t="s">
        <v>382</v>
      </c>
      <c r="F26" s="188">
        <f>F25</f>
        <v>374454445.95092022</v>
      </c>
      <c r="G26" s="188">
        <f>F26+G25</f>
        <v>-138056185.65293616</v>
      </c>
      <c r="H26" s="188">
        <f t="shared" ref="H26:R26" si="1">G26+H25</f>
        <v>-1155963163.6021037</v>
      </c>
      <c r="I26" s="188">
        <f t="shared" ca="1" si="1"/>
        <v>-1743424430.0000002</v>
      </c>
      <c r="J26" s="188">
        <f t="shared" ca="1" si="1"/>
        <v>-1708676957.7507553</v>
      </c>
      <c r="K26" s="188">
        <f t="shared" ca="1" si="1"/>
        <v>-1580692308.9254923</v>
      </c>
      <c r="L26" s="188">
        <f t="shared" ca="1" si="1"/>
        <v>-1439435217.5966346</v>
      </c>
      <c r="M26" s="188">
        <f t="shared" ca="1" si="1"/>
        <v>-1314972892.9602757</v>
      </c>
      <c r="N26" s="189">
        <f t="shared" ca="1" si="1"/>
        <v>-285297965.36889577</v>
      </c>
      <c r="O26" s="188">
        <f t="shared" ca="1" si="1"/>
        <v>202769164.81182384</v>
      </c>
      <c r="P26" s="188">
        <f t="shared" ca="1" si="1"/>
        <v>815395998.11815643</v>
      </c>
      <c r="Q26" s="188">
        <f t="shared" ca="1" si="1"/>
        <v>1562146800.8615007</v>
      </c>
      <c r="R26" s="188">
        <f t="shared" ca="1" si="1"/>
        <v>2199165239.4224768</v>
      </c>
      <c r="S26" s="188">
        <f ca="1">R26+S25</f>
        <v>2897515452.2336755</v>
      </c>
      <c r="T26" s="188">
        <f t="shared" ref="T26" ca="1" si="2">S26+T25</f>
        <v>3135620094.6583943</v>
      </c>
      <c r="U26" s="188">
        <f t="shared" ref="U26" ca="1" si="3">T26+U25</f>
        <v>3065660094.6583943</v>
      </c>
      <c r="V26" s="188"/>
      <c r="W26" s="188">
        <f t="shared" ref="W26" ca="1" si="4">V26+W25</f>
        <v>0</v>
      </c>
      <c r="X26" s="188">
        <f t="shared" ref="X26" ca="1" si="5">W26+X25</f>
        <v>0</v>
      </c>
    </row>
    <row r="30" spans="2:24" x14ac:dyDescent="0.15">
      <c r="B30" s="171" t="s">
        <v>44</v>
      </c>
      <c r="C30" s="174">
        <f ca="1">IRR(G25:U25)</f>
        <v>0.11082898010013986</v>
      </c>
      <c r="D30" s="52"/>
      <c r="E30" s="52"/>
    </row>
    <row r="31" spans="2:24" x14ac:dyDescent="0.15">
      <c r="B31" s="190" t="s">
        <v>395</v>
      </c>
      <c r="C31" s="191">
        <f ca="1">NPV(10.3%,G25:U25)+F25</f>
        <v>470129786.77830839</v>
      </c>
      <c r="D31" s="115"/>
      <c r="E31" s="115"/>
    </row>
    <row r="33" spans="2:6" x14ac:dyDescent="0.15">
      <c r="B33" s="23"/>
      <c r="F33" s="52"/>
    </row>
  </sheetData>
  <conditionalFormatting sqref="F4:AG5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22"/>
  </sheetPr>
  <dimension ref="A1:J16"/>
  <sheetViews>
    <sheetView showGridLines="0" zoomScaleNormal="100" workbookViewId="0">
      <selection activeCell="K26" sqref="K26"/>
    </sheetView>
  </sheetViews>
  <sheetFormatPr baseColWidth="10" defaultColWidth="8.83203125" defaultRowHeight="13" x14ac:dyDescent="0.15"/>
  <cols>
    <col min="1" max="1" width="8.33203125" customWidth="1"/>
    <col min="2" max="2" width="1.6640625" customWidth="1"/>
    <col min="3" max="3" width="18.33203125" bestFit="1" customWidth="1"/>
    <col min="4" max="4" width="6.6640625" bestFit="1" customWidth="1"/>
    <col min="5" max="5" width="11.83203125" bestFit="1" customWidth="1"/>
    <col min="6" max="6" width="16.33203125" customWidth="1"/>
  </cols>
  <sheetData>
    <row r="1" spans="1:10" ht="23" x14ac:dyDescent="0.25">
      <c r="A1" s="12" t="s">
        <v>10</v>
      </c>
      <c r="B1" s="7"/>
      <c r="C1" s="7"/>
      <c r="D1" s="7"/>
      <c r="E1" s="7"/>
      <c r="F1" s="7"/>
      <c r="G1" s="7"/>
      <c r="H1" s="7"/>
      <c r="I1" s="7"/>
      <c r="J1" s="7"/>
    </row>
    <row r="2" spans="1:10" ht="23" x14ac:dyDescent="0.25">
      <c r="A2" s="16"/>
    </row>
    <row r="3" spans="1:10" ht="20" x14ac:dyDescent="0.2">
      <c r="C3" s="4" t="s">
        <v>1</v>
      </c>
    </row>
    <row r="4" spans="1:10" x14ac:dyDescent="0.15">
      <c r="C4" t="s">
        <v>2</v>
      </c>
      <c r="D4" s="5" t="s">
        <v>8</v>
      </c>
      <c r="F4" s="3">
        <v>365</v>
      </c>
    </row>
    <row r="5" spans="1:10" x14ac:dyDescent="0.15">
      <c r="C5" t="s">
        <v>3</v>
      </c>
      <c r="D5" s="5" t="s">
        <v>8</v>
      </c>
      <c r="F5" s="3">
        <v>12</v>
      </c>
    </row>
    <row r="6" spans="1:10" x14ac:dyDescent="0.15">
      <c r="C6" t="s">
        <v>4</v>
      </c>
      <c r="D6" s="5" t="s">
        <v>8</v>
      </c>
      <c r="F6" s="3">
        <v>4</v>
      </c>
    </row>
    <row r="7" spans="1:10" x14ac:dyDescent="0.15">
      <c r="C7" t="s">
        <v>9</v>
      </c>
      <c r="D7" s="5" t="s">
        <v>8</v>
      </c>
      <c r="F7" s="3">
        <v>3</v>
      </c>
    </row>
    <row r="9" spans="1:10" x14ac:dyDescent="0.15">
      <c r="C9" t="s">
        <v>5</v>
      </c>
      <c r="D9" s="5" t="s">
        <v>8</v>
      </c>
      <c r="F9" s="6">
        <v>1000</v>
      </c>
    </row>
    <row r="10" spans="1:10" x14ac:dyDescent="0.15">
      <c r="C10" t="s">
        <v>6</v>
      </c>
      <c r="D10" s="5" t="s">
        <v>8</v>
      </c>
      <c r="F10" s="6">
        <v>1000000</v>
      </c>
    </row>
    <row r="11" spans="1:10" x14ac:dyDescent="0.15">
      <c r="C11" t="s">
        <v>7</v>
      </c>
      <c r="D11" s="5" t="s">
        <v>8</v>
      </c>
      <c r="F11" s="11">
        <v>9.9999999999999995E-8</v>
      </c>
    </row>
    <row r="13" spans="1:10" x14ac:dyDescent="0.15">
      <c r="C13" t="s">
        <v>11</v>
      </c>
      <c r="D13" s="5" t="s">
        <v>8</v>
      </c>
      <c r="F13" s="10">
        <v>31.103476799999999</v>
      </c>
    </row>
    <row r="14" spans="1:10" x14ac:dyDescent="0.15">
      <c r="C14" t="s">
        <v>54</v>
      </c>
      <c r="D14" s="5" t="s">
        <v>8</v>
      </c>
      <c r="F14" s="10">
        <v>2204.62</v>
      </c>
    </row>
    <row r="15" spans="1:10" x14ac:dyDescent="0.15">
      <c r="C15" t="s">
        <v>130</v>
      </c>
      <c r="D15" s="5" t="s">
        <v>8</v>
      </c>
      <c r="F15" s="10">
        <v>2000</v>
      </c>
    </row>
    <row r="16" spans="1:10" x14ac:dyDescent="0.15">
      <c r="C16" t="s">
        <v>185</v>
      </c>
      <c r="D16" s="5" t="s">
        <v>8</v>
      </c>
      <c r="F16" s="10">
        <v>2.2046199999999998</v>
      </c>
    </row>
  </sheetData>
  <phoneticPr fontId="5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Summary</vt:lpstr>
      <vt:lpstr>Scenario Manager</vt:lpstr>
      <vt:lpstr>Operations</vt:lpstr>
      <vt:lpstr>Taxes</vt:lpstr>
      <vt:lpstr>Financials &amp; Metrics</vt:lpstr>
      <vt:lpstr>Debt</vt:lpstr>
      <vt:lpstr>CorporateCF</vt:lpstr>
      <vt:lpstr>FCFE</vt:lpstr>
      <vt:lpstr>N</vt:lpstr>
      <vt:lpstr>Days_Year</vt:lpstr>
      <vt:lpstr>Grams_Oz</vt:lpstr>
      <vt:lpstr>Lbs_per_kg</vt:lpstr>
      <vt:lpstr>Lbs_Ton</vt:lpstr>
      <vt:lpstr>Lbs_Tonne</vt:lpstr>
      <vt:lpstr>Million</vt:lpstr>
      <vt:lpstr>Months_Qtr</vt:lpstr>
      <vt:lpstr>Months_Yr</vt:lpstr>
      <vt:lpstr>Qtrs_Yr</vt:lpstr>
      <vt:lpstr>Thousand</vt:lpstr>
      <vt:lpstr>Verysmallnumber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2019-08-22T21:32:08Z</dcterms:created>
  <dcterms:modified xsi:type="dcterms:W3CDTF">2025-04-19T01:52:04Z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{6036EF5C-73AC-46C2-BAFA-BEC3CC92E02E}</vt:lpwstr>
  </property>
  <property fmtid="{D5CDD505-2E9C-101B-9397-08002B2CF9AE}" pid="3" name="MSIP_Label_6dc48bf4-9a33-46e4-9146-5da3b30b343b_Enabled">
    <vt:lpwstr>true</vt:lpwstr>
  </property>
  <property fmtid="{D5CDD505-2E9C-101B-9397-08002B2CF9AE}" pid="4" name="MSIP_Label_6dc48bf4-9a33-46e4-9146-5da3b30b343b_SetDate">
    <vt:lpwstr>2024-10-19T16:51:14Z</vt:lpwstr>
  </property>
  <property fmtid="{D5CDD505-2E9C-101B-9397-08002B2CF9AE}" pid="5" name="MSIP_Label_6dc48bf4-9a33-46e4-9146-5da3b30b343b_Method">
    <vt:lpwstr>Privileged</vt:lpwstr>
  </property>
  <property fmtid="{D5CDD505-2E9C-101B-9397-08002B2CF9AE}" pid="6" name="MSIP_Label_6dc48bf4-9a33-46e4-9146-5da3b30b343b_Name">
    <vt:lpwstr>Non-BHP</vt:lpwstr>
  </property>
  <property fmtid="{D5CDD505-2E9C-101B-9397-08002B2CF9AE}" pid="7" name="MSIP_Label_6dc48bf4-9a33-46e4-9146-5da3b30b343b_SiteId">
    <vt:lpwstr>4f6e1565-c2c7-43cb-8a4c-0981d022ce20</vt:lpwstr>
  </property>
  <property fmtid="{D5CDD505-2E9C-101B-9397-08002B2CF9AE}" pid="8" name="MSIP_Label_6dc48bf4-9a33-46e4-9146-5da3b30b343b_ActionId">
    <vt:lpwstr>d7d39a02-e120-44a9-86fb-eb46c7fcac78</vt:lpwstr>
  </property>
  <property fmtid="{D5CDD505-2E9C-101B-9397-08002B2CF9AE}" pid="9" name="MSIP_Label_6dc48bf4-9a33-46e4-9146-5da3b30b343b_ContentBits">
    <vt:lpwstr>0</vt:lpwstr>
  </property>
</Properties>
</file>